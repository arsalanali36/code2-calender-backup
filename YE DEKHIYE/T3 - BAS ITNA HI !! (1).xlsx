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LiveExe" sheetId="1" r:id="rId5"/>
    <sheet state="visible" name="JOURNAL- Disc" sheetId="2" r:id="rId6"/>
    <sheet state="visible" name="JOURNAL- NUM" sheetId="3" r:id="rId7"/>
    <sheet state="visible" name="DATA" sheetId="4" r:id="rId8"/>
    <sheet state="visible" name="DHAN TB" sheetId="5" r:id="rId9"/>
    <sheet state="visible" name="CODEBASE" sheetId="6" r:id="rId10"/>
    <sheet state="visible" name="STATEMENT" sheetId="7" r:id="rId11"/>
    <sheet state="visible" name="OLD" sheetId="8" r:id="rId12"/>
    <sheet state="visible" name="YT LINKS" sheetId="9" r:id="rId13"/>
    <sheet state="visible" name="TABLES" sheetId="10" r:id="rId14"/>
  </sheets>
  <definedNames>
    <definedName hidden="1" localSheetId="1" name="_xlnm._FilterDatabase">'JOURNAL- Disc'!$A$1:$H$1005</definedName>
    <definedName hidden="1" localSheetId="2" name="_xlnm._FilterDatabase">'JOURNAL- NUM'!$A$1:$AD$79</definedName>
    <definedName hidden="1" localSheetId="4" name="_xlnm._FilterDatabase">'DHAN TB'!$A$1:$L$921</definedName>
    <definedName hidden="1" localSheetId="6" name="_xlnm._FilterDatabase">STATEMENT!$A$2:$L$37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Zerodha</t>
      </text>
    </comment>
    <comment authorId="0" ref="B43">
      <text>
        <t xml:space="preserve">Zerodha</t>
      </text>
    </comment>
    <comment authorId="0" ref="B46">
      <text>
        <t xml:space="preserve">BTC
</t>
      </text>
    </comment>
    <comment authorId="0" ref="G72">
      <text>
        <t xml:space="preserve">i.e Last day ka Balance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2">
      <text>
        <t xml:space="preserve">3 images
SL/TARGET
ENTRY
EXIT
</t>
      </text>
    </comment>
    <comment authorId="0" ref="AB101">
      <text>
        <t xml:space="preserve">BH buy Hedge</t>
      </text>
    </comment>
    <comment authorId="0" ref="Q211">
      <text>
        <t xml:space="preserve">mauka tha, darr kar miss kar diya, at pp candle bani thi
fir holding ke liye ruk gaye, gap hai to aur jaye ga!! aur wo reverse ho gaya</t>
      </text>
    </comment>
    <comment authorId="0" ref="B221">
      <text>
        <t xml:space="preserve">if hammer 3
else 1</t>
      </text>
    </comment>
    <comment authorId="0" ref="B224">
      <text>
        <t xml:space="preserve">Formed/Wick Touched</t>
      </text>
    </comment>
    <comment authorId="0" ref="B236">
      <text>
        <t xml:space="preserve">lowest /Heigest point of entry</t>
      </text>
    </comment>
    <comment authorId="0" ref="B239">
      <text>
        <t xml:space="preserve">if felt impulsive -1
if not +1</t>
      </text>
    </comment>
    <comment authorId="0" ref="B240">
      <text>
        <t xml:space="preserve"> for second entry</t>
      </text>
    </comment>
    <comment authorId="0" ref="B242">
      <text>
        <t xml:space="preserve">if not confused +1
if confused -1</t>
      </text>
    </comment>
    <comment authorId="0" ref="T242">
      <text>
        <t xml:space="preserve">nifty bnf nifty ulta bhag raha tha </t>
      </text>
    </comment>
    <comment authorId="0" ref="W242">
      <text>
        <t xml:space="preserve">Virendra ka call aa gaya tha, exit pe hath rakh diya tha</t>
      </text>
    </comment>
    <comment authorId="0" ref="X242">
      <text>
        <t xml:space="preserve">zabardasti ka trade pata nahi kasie</t>
      </text>
    </comment>
    <comment authorId="0" ref="B243">
      <text>
        <t xml:space="preserve">darr ka exit -2
no darr +2</t>
      </text>
    </comment>
    <comment authorId="0" ref="T245">
      <text>
        <t xml:space="preserve">bnf ke premium bahut high they to buy kar liya</t>
      </text>
    </comment>
    <comment authorId="0" ref="B246">
      <text>
        <t xml:space="preserve">kite option chain
Nifty / Bnf Chart
Bnf / Premium Chart
agar nahi khule to +1
agar khule to -1
</t>
      </text>
    </comment>
    <comment authorId="0" ref="B247">
      <text>
        <t xml:space="preserve">no Technical Lag +1
if tech lag -1</t>
      </text>
    </comment>
    <comment authorId="0" ref="T247">
      <text>
        <t xml:space="preserve">hedging samjhe ki kaise itne mehnge premium ko control karen!</t>
      </text>
    </comment>
    <comment authorId="0" ref="W247">
      <text>
        <t xml:space="preserve">naya hedging try kar rahe they</t>
      </text>
    </comment>
    <comment authorId="0" ref="D452">
      <text>
        <t xml:space="preserve">0 dte, next Expirty Atm
aaj ke atm ka price bahut kam upar se decay bahut zyada</t>
      </text>
    </comment>
    <comment authorId="0" ref="D457">
      <text>
        <t xml:space="preserve">0 dte, next Expirty Atm
pichli baar kunki next exp loiya to </t>
      </text>
    </comment>
  </commentList>
</comments>
</file>

<file path=xl/sharedStrings.xml><?xml version="1.0" encoding="utf-8"?>
<sst xmlns="http://schemas.openxmlformats.org/spreadsheetml/2006/main" count="8394" uniqueCount="5149">
  <si>
    <t>Total trade</t>
  </si>
  <si>
    <t>Total Point</t>
  </si>
  <si>
    <t>Conti trade</t>
  </si>
  <si>
    <t>Avg Buy</t>
  </si>
  <si>
    <t>Total Pat</t>
  </si>
  <si>
    <t>Reversal Trade</t>
  </si>
  <si>
    <t>Avg sell</t>
  </si>
  <si>
    <t>T FC (Tax)</t>
  </si>
  <si>
    <t xml:space="preserve">Manual Trade </t>
  </si>
  <si>
    <t>%Retrun</t>
  </si>
  <si>
    <t>Avg Inv</t>
  </si>
  <si>
    <t>Long trade</t>
  </si>
  <si>
    <t xml:space="preserve">Lot </t>
  </si>
  <si>
    <t>Per Lot Amt</t>
  </si>
  <si>
    <t>Short trade</t>
  </si>
  <si>
    <t>Max Dur</t>
  </si>
  <si>
    <t>Min Dur</t>
  </si>
  <si>
    <t>Life Time Data</t>
  </si>
  <si>
    <t>ATH Data</t>
  </si>
  <si>
    <t>Net Pt</t>
  </si>
  <si>
    <t>Total Gain</t>
  </si>
  <si>
    <t>Heads</t>
  </si>
  <si>
    <t>AvgPT</t>
  </si>
  <si>
    <t>Avg Amt</t>
  </si>
  <si>
    <t>ATH PT</t>
  </si>
  <si>
    <t>ATH Amt</t>
  </si>
  <si>
    <t>Date</t>
  </si>
  <si>
    <t>Net P/L</t>
  </si>
  <si>
    <t>Total Loss</t>
  </si>
  <si>
    <t>Gain</t>
  </si>
  <si>
    <t>Net %</t>
  </si>
  <si>
    <t>Total Trade</t>
  </si>
  <si>
    <t>Loss</t>
  </si>
  <si>
    <t>T. Brokrage</t>
  </si>
  <si>
    <t>Accu %</t>
  </si>
  <si>
    <t>T. Gov</t>
  </si>
  <si>
    <t>T.FC</t>
  </si>
  <si>
    <t>Str Entry</t>
  </si>
  <si>
    <t>Str</t>
  </si>
  <si>
    <t>Net</t>
  </si>
  <si>
    <t>Sum</t>
  </si>
  <si>
    <t>Count</t>
  </si>
  <si>
    <t>Particular</t>
  </si>
  <si>
    <t>Mon</t>
  </si>
  <si>
    <t>Tue</t>
  </si>
  <si>
    <t>Wed</t>
  </si>
  <si>
    <t>Thu</t>
  </si>
  <si>
    <t>Fri</t>
  </si>
  <si>
    <t>Sat</t>
  </si>
  <si>
    <t>Sun</t>
  </si>
  <si>
    <t>Link</t>
  </si>
  <si>
    <t>Amt</t>
  </si>
  <si>
    <t>Obs</t>
  </si>
  <si>
    <t xml:space="preserve"> </t>
  </si>
  <si>
    <t>- jitni der me soochte ki kyakarna, dusri strategy me boom Order pad gaya!!!
- fib ke premium pe entry kar raha tha
- koi psycology ka tamasha nahi
- jo mai cahta tha wo aaj finally ho raha!!! (64 point ka zone)
approx 44% ja return!!
- 100 rs ka premium me 2000
- dimag clr bahut zyada info ab process nahi 
- strike match ka lable sahi !!, simple elegent solution
- itna bhadiya, mujhe kuch nahi karna!!!!
- hands off approch ho!!, 2/3/5  pe dekh raha tha 
- ATR baised Trail bana diya !!
ema/DEMA,FIB,LL,breakout,PP,Candle , ab to sahii hi hoga!!,Sasta prem, ATM strike, Auto order placement !!
sahi hoga mai janta hun kuch anhi,!!
profit hoga to bada,loss hoga to chota!!
bahut bhadiya, haut bhaut bhaut bhadiya!!</t>
  </si>
  <si>
    <t>Kal se Lot bhadayenge!!⏰↗️↗️🏃🏻😎</t>
  </si>
  <si>
    <t>https://youtu.be/p6MxwE_eP5c?si=D3FJokzw9_tJtr55</t>
  </si>
  <si>
    <t>https://youtu.be/L9IgT-EXNzo?si=C8nAXYV4UGoDpR0W</t>
  </si>
  <si>
    <r>
      <rPr>
        <rFont val="Arial"/>
        <color theme="1"/>
      </rPr>
      <t xml:space="preserve">- auto fib me doubt ho raha
- LL pe entry, Reversal Algo leak, turant square off !!
- prem pe auto fire, samajh aaya ki ye scaleble/predictable nahi hai
- long/short auto candle ho gayi
</t>
    </r>
    <r>
      <rPr>
        <rFont val="Arial"/>
        <b/>
        <color theme="1"/>
      </rPr>
      <t xml:space="preserve">- US SAMAY KYA KAR RAHE THEY!!!
</t>
    </r>
    <r>
      <rPr>
        <rFont val="Arial"/>
        <color theme="1"/>
      </rPr>
      <t xml:space="preserve">itna zyada code me nahi define kar sakta, 
jo hai yahi hai,
</t>
    </r>
    <r>
      <rPr>
        <rFont val="Arial"/>
        <b/>
        <color theme="1"/>
      </rPr>
      <t xml:space="preserve">- lot multiplier add kar diya </t>
    </r>
    <r>
      <rPr>
        <rFont val="Arial"/>
        <color theme="1"/>
      </rPr>
      <t xml:space="preserve">
- entry kun nahi aay!!!, red ke baad turant Green to invalid, visually dikh raha, finally clr!!
- 3 min me proper entry aayi!!, par mai pehle hi bhasam ho jaata hun!!
- table bhi bana di thi, 
-index me bol den ki kahan entry,/exit , khud bana diya jo broker nahi dete
- sell ke failed order se se test kar raha tha 
-22 se ye mat samjhe ki chota hai !!
- saari hi sahi, har me trade lene ke chakkar me nahi aana </t>
    </r>
  </si>
  <si>
    <t>video nahi record hua!</t>
  </si>
  <si>
    <t xml:space="preserve"> - Pehli baar computer band pe trade
- Pehli baar 5000 tak profit dekha!</t>
  </si>
  <si>
    <t>500% tarrif dhanmki</t>
  </si>
  <si>
    <t>https://youtu.be/rEEYsxw6xkg?si=JXSIyk4-8MS2XfF9</t>
  </si>
  <si>
    <t>lag raha hai, ab baat ban rahi hai!🧪😀😎🤖</t>
  </si>
  <si>
    <t>https://youtu.be/kyoVAyp5s6s?si=JWRWHefJHXene8sv</t>
  </si>
  <si>
    <t>-</t>
  </si>
  <si>
    <t>kya se kya ho gaya dekhte dekhte !!😁🎯😎</t>
  </si>
  <si>
    <t>- lekage</t>
  </si>
  <si>
    <t>- sabhai se baat +3000 ja kar palat aaya</t>
  </si>
  <si>
    <t>Mumbai me BMC election</t>
  </si>
  <si>
    <t>https://youtu.be/WBEo5XEM9hA</t>
  </si>
  <si>
    <r>
      <rPr>
        <rFont val="Arial"/>
        <color theme="1"/>
      </rPr>
      <t xml:space="preserve">-reversal ka lot kam kar diya
- continuation ko 2
- pehli baar , confident nahi to size kam_conti me
- single candle me 1700 -&gt; seedhe negative!
- Algo time se exit kara deta !!
- 1.3% index Gira
</t>
    </r>
    <r>
      <rPr>
        <rFont val="Arial"/>
        <b/>
        <color theme="1"/>
      </rPr>
      <t xml:space="preserve">Code
</t>
    </r>
    <r>
      <rPr>
        <rFont val="Arial"/>
        <color theme="1"/>
      </rPr>
      <t>- Use Fresh Zone on kar liya
- USe auto aur manual Strike Use karna start!</t>
    </r>
  </si>
  <si>
    <r>
      <rPr>
        <rFont val="Arial"/>
        <color theme="1"/>
      </rPr>
      <t xml:space="preserve">- bahut der tak baitha tha mai!!
- feel ki algo late karta hai, maual ke liye kuch banao!
-Din bhar </t>
    </r>
    <r>
      <rPr>
        <rFont val="Arial"/>
        <i/>
        <color theme="1"/>
        <u/>
      </rPr>
      <t>light ne tamash</t>
    </r>
    <r>
      <rPr>
        <rFont val="Arial"/>
        <color theme="1"/>
      </rPr>
      <t xml:space="preserve"> kiya, Move miss par Ipad aur mobile pe record Pipleline Clr
- 12:30 aur entry nahi mili
- jald bazi me 2 min pe li li, dikha ki 2/3 me me DEMA alag alag dikhta hai 
- </t>
    </r>
    <r>
      <rPr>
        <rFont val="Arial"/>
        <color theme="1"/>
        <u/>
      </rPr>
      <t>bahut desperate ho raha</t>
    </r>
    <r>
      <rPr>
        <rFont val="Arial"/>
        <color theme="1"/>
      </rPr>
      <t xml:space="preserve">, dil kar raha tha, haath se order punch karo!!
- pura din laga entry nahi aayi,par PC pe dekha to kai jagha entry thi
</t>
    </r>
    <r>
      <rPr>
        <rFont val="Arial"/>
        <b/>
        <color theme="1"/>
      </rPr>
      <t xml:space="preserve">Code
</t>
    </r>
    <r>
      <rPr>
        <rFont val="Arial"/>
        <color theme="1"/>
      </rPr>
      <t>- Dono me short-Short likh diya to entyr nahi aayi thi</t>
    </r>
  </si>
  <si>
    <t>- Introducing Multi TF EQ Curve, and DashBoard
- Excel me bhaut heavy forumle banane aa gaye!!</t>
  </si>
  <si>
    <t>-video jaldi upload kiya kijeye
- continuation ki entry, kaafi der baithata fir fata!
- ghar nikalna tha
- baad me call karte hai,video edit karna , light nahi aa rahi</t>
  </si>
  <si>
    <t>Independence day holiday</t>
  </si>
  <si>
    <t>- 3 v shape bane
-9:28 pe bahut conviction ki manual entry, sahi bhi thi wo 
- 1:32 fir mann bol raha tha, manual., par nahi, sahi kiya !!
- EU deal Sign ho gayi, tab Reversal Alert nahi baja tha!itnaaa fast move aaya tha!!!</t>
  </si>
  <si>
    <r>
      <rPr>
        <rFont val="Arial"/>
        <color theme="1"/>
      </rPr>
      <t xml:space="preserve">- fir lag raha tha , manual le le, test kar raha, tha ki auto SL kahan lagayenge!! Fib/LineVased
aaram se entry aayi thi 
- kal ke loss ke barabar, aaj usse zyada hi le kar jaana hai 
- 42 min tak baitha tha
lag raha tha engulfing, par EMA,Zone,kain to ruke ga!!
- +4200 dikha kar palat gaya!!, 2 candle me, bahut bura lag raha tha!!
</t>
    </r>
    <r>
      <rPr>
        <rFont val="Arial"/>
        <b/>
        <color theme="1"/>
      </rPr>
      <t xml:space="preserve">Code
</t>
    </r>
    <r>
      <rPr>
        <rFont val="Arial"/>
        <color theme="1"/>
      </rPr>
      <t>- Manual target aur exit ke liye code kiya !</t>
    </r>
  </si>
  <si>
    <t>- 9 Trade Le daale
- Aaj sach me kismat aur Algo power ki Gross me profit me they!!
- Trump Possible Attack Iran, Lincon Armada
-Mere saamne price inc irritattion ki algo me signal nahi,
- Tv ke buy/Sell button ko test kar raa 
- Mind bahut panic, 1-3 ke alert, galti se 3 lot ka order 
- Ye to easy moeny hai 
- pagla kar 9 trade le daale
- very embarassed</t>
  </si>
  <si>
    <t xml:space="preserve">- GoodNotes ka syn Clr
-Daily summary, ipad mind maps
-BRD start kar diya 
-organise kar ke Code develop karenge
-realise hua ki TV char pe hi sell order
-partial lot booking
- accha feel aa raha, 3 min pehle alert bajta, to tayyar aur setup karne ka mauka mil jaata </t>
  </si>
  <si>
    <t>- Silver Gold Crashed!!
- Code se hi Sheet me cal, Brokrage/Tax
- Jan ki summary 
- Discriptive, ye calander based view me Observation Record</t>
  </si>
  <si>
    <t>Budget presnt hoga</t>
  </si>
  <si>
    <t>Week</t>
  </si>
  <si>
    <t>unique ID</t>
  </si>
  <si>
    <t>BUY Time</t>
  </si>
  <si>
    <t>SELL Time</t>
  </si>
  <si>
    <t>Strike</t>
  </si>
  <si>
    <t>L/S</t>
  </si>
  <si>
    <t>STR Entry</t>
  </si>
  <si>
    <t>Trade</t>
  </si>
  <si>
    <t>Qty</t>
  </si>
  <si>
    <t>BUY</t>
  </si>
  <si>
    <t>SELL</t>
  </si>
  <si>
    <t>Pt</t>
  </si>
  <si>
    <t>Invested</t>
  </si>
  <si>
    <t>% Return</t>
  </si>
  <si>
    <t>C%</t>
  </si>
  <si>
    <t>C Pt</t>
  </si>
  <si>
    <t>Dur</t>
  </si>
  <si>
    <t>Other Charges</t>
  </si>
  <si>
    <t>Gross P/L</t>
  </si>
  <si>
    <t>Total FC</t>
  </si>
  <si>
    <t>TF</t>
  </si>
  <si>
    <t>High</t>
  </si>
  <si>
    <t>Low</t>
  </si>
  <si>
    <t>Runn</t>
  </si>
  <si>
    <t>DD</t>
  </si>
  <si>
    <t>W1</t>
  </si>
  <si>
    <t>NIFTY 06 JAN 26150 PUT</t>
  </si>
  <si>
    <t>No Record</t>
  </si>
  <si>
    <t>NIFTY 06 JAN 26200 PUT</t>
  </si>
  <si>
    <t>Short</t>
  </si>
  <si>
    <t>FIB ENTRY</t>
  </si>
  <si>
    <t>NIFTY 06 JAN 26200 CALL</t>
  </si>
  <si>
    <t>Long</t>
  </si>
  <si>
    <t>Conti</t>
  </si>
  <si>
    <t>NIFTY 06 JAN 26250 PUT</t>
  </si>
  <si>
    <t>Reversal</t>
  </si>
  <si>
    <t>W2</t>
  </si>
  <si>
    <t>NIFTY 06 JAN 26300 PUT</t>
  </si>
  <si>
    <t>NIFTY 06 JAN 26300 CALL</t>
  </si>
  <si>
    <t>NIFTY 06 JAN 26350 PUT</t>
  </si>
  <si>
    <t>NIFTY 13 JAN 26250 PUT</t>
  </si>
  <si>
    <t>NIFTY 13 JAN 26250 CALL</t>
  </si>
  <si>
    <t>NIFTY 13 JAN 26150 PUT</t>
  </si>
  <si>
    <t>Manual</t>
  </si>
  <si>
    <t>NIFTY 13 JAN 26200 CALL</t>
  </si>
  <si>
    <t>Test</t>
  </si>
  <si>
    <t>NIFTY 13 JAN 26300 PUT</t>
  </si>
  <si>
    <t>NIFTY 13 JAN 25850 PUT</t>
  </si>
  <si>
    <t>NIFTY 13 JAN 25900 CALL</t>
  </si>
  <si>
    <t>W3</t>
  </si>
  <si>
    <t>NIFTY 13 JAN 25650 PUT</t>
  </si>
  <si>
    <t>NIFTY 13 JAN 25600 PUT</t>
  </si>
  <si>
    <t>NIFTY 20 JAN 25850 PUT</t>
  </si>
  <si>
    <t>NIFTY 20 JAN 25750 PUT</t>
  </si>
  <si>
    <t>NIFTY 20 JAN 25750 CALL</t>
  </si>
  <si>
    <t>W4</t>
  </si>
  <si>
    <t>NIFTY 20 JAN 25600 CALL</t>
  </si>
  <si>
    <t>NIFTY 20 JAN 25550 PUT</t>
  </si>
  <si>
    <t>NIFTY 20 JAN 25550 CALL</t>
  </si>
  <si>
    <t>NIFTY 20 JAN 25500 CALL</t>
  </si>
  <si>
    <t>NIFTY 27 JAN 25450 PUT</t>
  </si>
  <si>
    <t>NIFTY 27 JAN 25500 PUT</t>
  </si>
  <si>
    <t>NIFTY 27 JAN 25050 PUT</t>
  </si>
  <si>
    <t>NIFTY 27 JAN 25200 CALL</t>
  </si>
  <si>
    <t>NIFTY 27 JAN 25150 PUT</t>
  </si>
  <si>
    <t>NIFTY 27 JAN 25250 PUT</t>
  </si>
  <si>
    <t>NIFTY 27 JAN 25100 CALL</t>
  </si>
  <si>
    <t>NIFTY 03 FEB 25300 CALL</t>
  </si>
  <si>
    <t>NIFTY 03 FEB 25050 CALL</t>
  </si>
  <si>
    <t>NIFTY 03 FEB 25200 PUT</t>
  </si>
  <si>
    <t>NIFTY 03 FEB 25450 PUT</t>
  </si>
  <si>
    <t>NIFTY 03 FEB 25400 PUT</t>
  </si>
  <si>
    <t>NIFTY 03 FEB 25400 CALL</t>
  </si>
  <si>
    <t>NIFTY 03 FEB 25300 PUT</t>
  </si>
  <si>
    <t>NIFTY 03 FEB 25350 CALL</t>
  </si>
  <si>
    <t>W5</t>
  </si>
  <si>
    <t>NIFTY 03 FEB 24850 PUT</t>
  </si>
  <si>
    <t>NIFTY 10 FEB 25800 PUT</t>
  </si>
  <si>
    <t>NIFTY 10 FEB 25800 CALL</t>
  </si>
  <si>
    <t>NIFTY 10 FEB 25700 PUT</t>
  </si>
  <si>
    <t>NIFTY 10 FEB 25650 PUT</t>
  </si>
  <si>
    <t>NIFTY 10 FEB 25700 CALL</t>
  </si>
  <si>
    <t>NIFTY 10 FEB 25650 CALL</t>
  </si>
  <si>
    <t>NIFTY 10 FEB 25500 PUT</t>
  </si>
  <si>
    <t>NIFTY 10 FEB 25600 CALL</t>
  </si>
  <si>
    <t>P&amp;L</t>
  </si>
  <si>
    <t>NO TRADE</t>
  </si>
  <si>
    <t>START</t>
  </si>
  <si>
    <t>startDate = input.time(timestamp("2025-09-01 03:45"), title="Start Date", group="Date Range")</t>
  </si>
  <si>
    <t>startDate = input.time(timestamp("2025-09-02 03:45"), title="Start Date", group="Date Range")</t>
  </si>
  <si>
    <t>startDate = input.time(timestamp("2025-09-03 03:45"), title="Start Date", group="Date Range")</t>
  </si>
  <si>
    <t>startDate = input.time(timestamp("2025-09-04 03:45"), title="Start Date", group="Date Range")</t>
  </si>
  <si>
    <t>startDate = input.time(timestamp("2025-09-05 03:45"), title="Start Date", group="Date Range")</t>
  </si>
  <si>
    <t>startDate = input.time(timestamp("2025-09-08 03:45"), title="Start Date", group="Date Range")</t>
  </si>
  <si>
    <t>startDate = input.time(timestamp("2025-09-09 03:45"), title="Start Date", group="Date Range")</t>
  </si>
  <si>
    <t>startDate = input.time(timestamp("2025-09-10 03:45"), title="Start Date", group="Date Range")</t>
  </si>
  <si>
    <t>startDate = input.time(timestamp("2025-09-11 03:45"), title="Start Date", group="Date Range")</t>
  </si>
  <si>
    <t>startDate = input.time(timestamp("2025-09-12 03:45"), title="Start Date", group="Date Range")</t>
  </si>
  <si>
    <t>startDate = input.time(timestamp("2025-09-15 03:45"), title="Start Date", group="Date Range")</t>
  </si>
  <si>
    <t>startDate = input.time(timestamp("2025-09-16 03:45"), title="Start Date", group="Date Range")</t>
  </si>
  <si>
    <t>startDate = input.time(timestamp("2025-09-17 03:45"), title="Start Date", group="Date Range")</t>
  </si>
  <si>
    <t>startDate = input.time(timestamp("2025-09-18 03:45"), title="Start Date", group="Date Range")</t>
  </si>
  <si>
    <t>startDate = input.time(timestamp("2025-09-19 03:45"), title="Start Date", group="Date Range")</t>
  </si>
  <si>
    <t>startDate = input.time(timestamp("2025-09-22 03:45"), title="Start Date", group="Date Range")</t>
  </si>
  <si>
    <t>startDate = input.time(timestamp("2025-09-23 03:45"), title="Start Date", group="Date Range")</t>
  </si>
  <si>
    <t>startDate = input.time(timestamp("2025-09-24 03:45"), title="Start Date", group="Date Range")</t>
  </si>
  <si>
    <t>startDate = input.time(timestamp("2025-09-25 03:45"), title="Start Date", group="Date Range")</t>
  </si>
  <si>
    <t>startDate = input.time(timestamp("2025-09-26 03:45"), title="Start Date", group="Date Range")</t>
  </si>
  <si>
    <t>startDate = input.time(timestamp("2025-09-29 03:45"), title="Start Date", group="Date Range")</t>
  </si>
  <si>
    <t>startDate = input.time(timestamp("2025-09-30 03:45"), title="Start Date", group="Date Range")</t>
  </si>
  <si>
    <t>startDate = input.time(timestamp("2025-10-01 03:45"), title="Start Date", group="Date Range")</t>
  </si>
  <si>
    <t>startDate = input.time(timestamp("2025-10-03 03:45"), title="Start Date", group="Date Range")</t>
  </si>
  <si>
    <t>startDate = input.time(timestamp("2025-10-06 03:45"), title="Start Date", group="Date Range")</t>
  </si>
  <si>
    <t>startDate = input.time(timestamp("2025-10-07 03:45"), title="Start Date", group="Date Range")</t>
  </si>
  <si>
    <t>startDate = input.time(timestamp("2025-10-08 03:45"), title="Start Date", group="Date Range")</t>
  </si>
  <si>
    <t>startDate = input.time(timestamp("2025-10-09 03:45"), title="Start Date", group="Date Range")</t>
  </si>
  <si>
    <t>startDate = input.time(timestamp("2025-10-10 03:45"), title="Start Date", group="Date Range")</t>
  </si>
  <si>
    <t>startDate = input.time(timestamp("2025-10-13 03:45"), title="Start Date", group="Date Range")</t>
  </si>
  <si>
    <t>startDate = input.time(timestamp("2025-10-14 03:45"), title="Start Date", group="Date Range")</t>
  </si>
  <si>
    <t>startDate = input.time(timestamp("2025-10-15 03:45"), title="Start Date", group="Date Range")</t>
  </si>
  <si>
    <t>startDate = input.time(timestamp("2025-10-16 03:45"), title="Start Date", group="Date Range")</t>
  </si>
  <si>
    <t>startDate = input.time(timestamp("2025-10-17 03:45"), title="Start Date", group="Date Range")</t>
  </si>
  <si>
    <t>startDate = input.time(timestamp("2025-10-20 03:45"), title="Start Date", group="Date Range")</t>
  </si>
  <si>
    <t>startDate = input.time(timestamp("2025-10-23 03:45"), title="Start Date", group="Date Range")</t>
  </si>
  <si>
    <t>startDate = input.time(timestamp("2025-10-24 03:45"), title="Start Date", group="Date Range")</t>
  </si>
  <si>
    <t>startDate = input.time(timestamp("2025-10-27 03:45"), title="Start Date", group="Date Range")</t>
  </si>
  <si>
    <t>startDate = input.time(timestamp("2025-10-28 03:45"), title="Start Date", group="Date Range")</t>
  </si>
  <si>
    <t>startDate = input.time(timestamp("2025-10-29 03:45"), title="Start Date", group="Date Range")</t>
  </si>
  <si>
    <t>startDate = input.time(timestamp("2025-10-30 03:45"), title="Start Date", group="Date Range")</t>
  </si>
  <si>
    <t>startDate = input.time(timestamp("2025-10-31 03:45"), title="Start Date", group="Date Range")</t>
  </si>
  <si>
    <t>startDate = input.time(timestamp("2025-11-03 03:45"), title="Start Date", group="Date Range")</t>
  </si>
  <si>
    <t>startDate = input.time(timestamp("2025-11-04 03:45"), title="Start Date", group="Date Range")</t>
  </si>
  <si>
    <t>startDate = input.time(timestamp("2025-11-06 03:45"), title="Start Date", group="Date Range")</t>
  </si>
  <si>
    <t>startDate = input.time(timestamp("2025-11-07 03:45"), title="Start Date", group="Date Range")</t>
  </si>
  <si>
    <t>startDate = input.time(timestamp("2025-11-10 03:45"), title="Start Date", group="Date Range")</t>
  </si>
  <si>
    <t>startDate = input.time(timestamp("2025-11-11 03:45"), title="Start Date", group="Date Range")</t>
  </si>
  <si>
    <t>startDate = input.time(timestamp("2025-11-12 03:45"), title="Start Date", group="Date Range")</t>
  </si>
  <si>
    <t>startDate = input.time(timestamp("2025-11-13 03:45"), title="Start Date", group="Date Range")</t>
  </si>
  <si>
    <t>startDate = input.time(timestamp("2025-11-14 03:45"), title="Start Date", group="Date Range")</t>
  </si>
  <si>
    <t>startDate = input.time(timestamp("2025-11-17 03:45"), title="Start Date", group="Date Range")</t>
  </si>
  <si>
    <t>startDate = input.time(timestamp("2025-11-18 03:45"), title="Start Date", group="Date Range")</t>
  </si>
  <si>
    <t>startDate = input.time(timestamp("2025-11-19 03:45"), title="Start Date", group="Date Range")</t>
  </si>
  <si>
    <t>startDate = input.time(timestamp("2025-11-20 03:45"), title="Start Date", group="Date Range")</t>
  </si>
  <si>
    <t>startDate = input.time(timestamp("2025-11-21 03:45"), title="Start Date", group="Date Range")</t>
  </si>
  <si>
    <t>startDate = input.time(timestamp("2025-11-24 03:45"), title="Start Date", group="Date Range")</t>
  </si>
  <si>
    <t>startDate = input.time(timestamp("2025-11-25 03:45"), title="Start Date", group="Date Range")</t>
  </si>
  <si>
    <t>startDate = input.time(timestamp("2025-11-28603:45"), title="Start Date", group="Date Range")</t>
  </si>
  <si>
    <t>startDate = input.time(timestamp("2025-11-27 03:45"), title="Start Date", group="Date Range")</t>
  </si>
  <si>
    <t>startDate = input.time(timestamp("2025-11-28 03:45"), title="Start Date", group="Date Range")</t>
  </si>
  <si>
    <t>startDate = input.time(timestamp("2025-12-01 03:45"), title="Start Date", group="Date Range")</t>
  </si>
  <si>
    <t>startDate = input.time(timestamp("2025-12-02 03:45"), title="Start Date", group="Date Range")</t>
  </si>
  <si>
    <t>startDate = input.time(timestamp("2025-12-03 03:45"), title="Start Date", group="Date Range")</t>
  </si>
  <si>
    <t>startDate = input.time(timestamp("2025-12-04 03:45"), title="Start Date", group="Date Range")</t>
  </si>
  <si>
    <t>startDate = input.time(timestamp("2025-12-05 03:45"), title="Start Date", group="Date Range")</t>
  </si>
  <si>
    <t>startDate = input.time(timestamp("2025-12-08 03:45"), title="Start Date", group="Date Range")</t>
  </si>
  <si>
    <t>startDate = input.time(timestamp("2025-12-09 03:45"), title="Start Date", group="Date Range")</t>
  </si>
  <si>
    <t>startDate = input.time(timestamp("2025-12-10 03:45"), title="Start Date", group="Date Range")</t>
  </si>
  <si>
    <t>startDate = input.time(timestamp("2025-12-11 03:45"), title="Start Date", group="Date Range")</t>
  </si>
  <si>
    <t>startDate = input.time(timestamp("2025-12-12 03:45"), title="Start Date", group="Date Range")</t>
  </si>
  <si>
    <t>startDate = input.time(timestamp("2025-12-15 03:45"), title="Start Date", group="Date Range")</t>
  </si>
  <si>
    <t>startDate = input.time(timestamp("2025-12-16 03:45"), title="Start Date", group="Date Range")</t>
  </si>
  <si>
    <t>startDate = input.time(timestamp("2025-12-17 03:45"), title="Start Date", group="Date Range")</t>
  </si>
  <si>
    <t>startDate = input.time(timestamp("2025-12-18 03:45"), title="Start Date", group="Date Range")</t>
  </si>
  <si>
    <t>startDate = input.time(timestamp("2025-12-19 03:45"), title="Start Date", group="Date Range")</t>
  </si>
  <si>
    <t>startDate = input.time(timestamp("2025-12-22 03:45"), title="Start Date", group="Date Range")</t>
  </si>
  <si>
    <t>startDate = input.time(timestamp("2025-12-23 03:45"), title="Start Date", group="Date Range")</t>
  </si>
  <si>
    <t>startDate = input.time(timestamp("2025-12-24 03:45"), title="Start Date", group="Date Range")</t>
  </si>
  <si>
    <t>tartDate = input.time(timestamp("2025-12-26 03:45"), title="Start Date", group="Date Range")</t>
  </si>
  <si>
    <t>startDate = input.time(timestamp("2025-12-29 03:45"), title="Start Date", group="Date Range")</t>
  </si>
  <si>
    <t>startDate = input.time(timestamp("2025-12-31 03:45"), title="Start Date", group="Date Range")</t>
  </si>
  <si>
    <t>startDate = input.time(timestamp("2026-01-01 03:45"), title="Start Date", group="Date Range")</t>
  </si>
  <si>
    <t>startDate = input.time(timestamp("2026-01-02 03:45"), title="Start Date", group="Date Range")</t>
  </si>
  <si>
    <t>startDate = input.time(timestamp("2026-01-05 03:45"), title="Start Date", group="Date Range")</t>
  </si>
  <si>
    <t>startDate = input.time(timestamp("2026-01-08 03:45"), title="Start Date", group="Date Range")</t>
  </si>
  <si>
    <t>startDate = input.time(timestamp("2026-01-09 03:45"), title="Start Date", group="Date Range")</t>
  </si>
  <si>
    <t>startDate = input.time(timestamp("2026-01-12 03:45"), title="Start Date", group="Date Range")</t>
  </si>
  <si>
    <t>tartDate = input.time(timestamp("2026-01-13 03:45"), title="Start Date", group="Date Range")</t>
  </si>
  <si>
    <t>tartDate = input.time(timestamp("2026-01-19 03:45"), title="Start Date", group="Date Range")</t>
  </si>
  <si>
    <t>startDate = input.time(timestamp("2026-01-20 03:45"), title="Start Date", group="Date Range")</t>
  </si>
  <si>
    <t>startDate = input.time(timestamp("2026-01-28 03:45"), title="Start Date", group="Date Range")</t>
  </si>
  <si>
    <t>startDate = input.time(timestamp("2026-01-29 03:45"), title="Start Date", group="Date Range")</t>
  </si>
  <si>
    <t>startDate = input.time(timestamp("2026-01-30 03:45"), title="Start Date", group="Date Range")</t>
  </si>
  <si>
    <t>startDate = input.time(timestamp("2026-02-02 03:45"), title="Start Date", group="Date Range")</t>
  </si>
  <si>
    <t>startDate = input.time(timestamp("2026-02-03 03:45"), title="Start Date", group="Date Range")</t>
  </si>
  <si>
    <t>startDate = input.time(timestamp("2026-02-04 03:45"), title="Start Date", group="Date Range")</t>
  </si>
  <si>
    <t>startDate = input.time(timestamp("2026-02-05 03:45"), title="Start Date", group="Date Range")</t>
  </si>
  <si>
    <t>startDate = input.time(timestamp("2026-02-09 03:45"), title="Start Date", group="Date Range")</t>
  </si>
  <si>
    <t>startDate = input.time(timestamp("2026-02-10 03:45"), title="Start Date", group="Date Range")</t>
  </si>
  <si>
    <t>startDate = input.time(timestamp("2026-02-11 03:45"), title="Start Date", group="Date Range")</t>
  </si>
  <si>
    <t>startDate = input.time(timestamp("2026-02-16 03:45"), title="Start Date", group="Date Range")</t>
  </si>
  <si>
    <t>startDate = input.time(timestamp("2026-02-17 03:45"), title="Start Date", group="Date Range")</t>
  </si>
  <si>
    <t>startDate = input.time(timestamp("2026-02-18 03:45"), title="Start Date", group="Date Range")</t>
  </si>
  <si>
    <t>startDate = input.time(timestamp("2026-02-19 03:45"), title="Start Date", group="Date Range")</t>
  </si>
  <si>
    <t>startDate = input.time(timestamp("2026-02-20 03:45"), title="Start Date", group="Date Range")</t>
  </si>
  <si>
    <t>startDate = input.time(timestamp("2026-02-23 03:45"), title="Start Date", group="Date Range")</t>
  </si>
  <si>
    <t>startDate = input.time(timestamp("2026-02-24 03:45"), title="Start Date", group="Date Range")</t>
  </si>
  <si>
    <t>startDate = input.time(timestamp("2026-02-25 03:45"), title="Start Date", group="Date Range")</t>
  </si>
  <si>
    <t>startDate = input.time(timestamp("2026-02-26 03:45"), title="Start Date", group="Date Range")</t>
  </si>
  <si>
    <t>END</t>
  </si>
  <si>
    <t>endDate = input.time(timestamp("2025-09-01 10:00"), title="End Date", group="Date Range")//10:00</t>
  </si>
  <si>
    <t>endDate = input.time(timestamp("2025-09-02 10:00"), title="End Date", group="Date Range")//10:00</t>
  </si>
  <si>
    <t>endDate = input.time(timestamp("2025-09-03 10:00"), title="End Date", group="Date Range")//10:00</t>
  </si>
  <si>
    <t>endDate = input.time(timestamp("2025-09-04 10:00"), title="End Date", group="Date Range")//10:00</t>
  </si>
  <si>
    <t>endDate = input.time(timestamp("2025-09-05 10:00"), title="End Date", group="Date Range")//10:00</t>
  </si>
  <si>
    <t>endDate = input.time(timestamp("2025-09-08 10:00"), title="End Date", group="Date Range")//10:00</t>
  </si>
  <si>
    <t>endDate = input.time(timestamp("2025-09-09 10:00"), title="End Date", group="Date Range")//10:00</t>
  </si>
  <si>
    <t>endDate = input.time(timestamp("2025-09-10 10:00"), title="End Date", group="Date Range")//10:00</t>
  </si>
  <si>
    <t>endDate = input.time(timestamp("2025-09-11 10:00"), title="End Date", group="Date Range")//10:00</t>
  </si>
  <si>
    <t>endDate = input.time(timestamp("2025-09-12 10:00"), title="End Date", group="Date Range")//10:00</t>
  </si>
  <si>
    <t>endDate = input.time(timestamp("2025-09-15 10:00"), title="End Date", group="Date Range")//10:00</t>
  </si>
  <si>
    <t>endDate = input.time(timestamp("2025-09-16 10:00"), title="End Date", group="Date Range")//10:00</t>
  </si>
  <si>
    <t>endDate = input.time(timestamp("2025-09-17 10:00"), title="End Date", group="Date Range")//10:00</t>
  </si>
  <si>
    <t>endDate = input.time(timestamp("2025-09-18 10:00"), title="End Date", group="Date Range")//10:00</t>
  </si>
  <si>
    <t>endDate = input.time(timestamp("2025-09-19 10:00"), title="End Date", group="Date Range")//10:00</t>
  </si>
  <si>
    <t>endDate = input.time(timestamp("2025-09-22 10:00"), title="End Date", group="Date Range")//10:00</t>
  </si>
  <si>
    <t>endDate = input.time(timestamp("2025-09-23 10:00"), title="End Date", group="Date Range")//10:00</t>
  </si>
  <si>
    <t>endDate = input.time(timestamp("2025-09-24 10:00"), title="End Date", group="Date Range")//10:00</t>
  </si>
  <si>
    <t>endDate = input.time(timestamp("2025-09-25 10:00"), title="End Date", group="Date Range")//10:00</t>
  </si>
  <si>
    <t>endDate = input.time(timestamp("2025-09-26 10:00"), title="End Date", group="Date Range")//10:00</t>
  </si>
  <si>
    <t>endDate = input.time(timestamp("2025-09-29 10:00"), title="End Date", group="Date Range")//10:00</t>
  </si>
  <si>
    <t>endDate = input.time(timestamp("2025-09-30 10:00"), title="End Date", group="Date Range")//10:00</t>
  </si>
  <si>
    <t>endDate = input.time(timestamp("2025-10-01 10:00"), title="End Date", group="Date Range")//10:00</t>
  </si>
  <si>
    <t>endDate = input.time(timestamp("2025-10-03 10:00"), title="End Date", group="Date Range")//10:00</t>
  </si>
  <si>
    <t>endDate = input.time(timestamp("2025-10-06 10:00"), title="End Date", group="Date Range")//10:00</t>
  </si>
  <si>
    <t>endDate = input.time(timestamp("2025-10-07 10:00"), title="End Date", group="Date Range")//10:00</t>
  </si>
  <si>
    <t>endDate = input.time(timestamp("2025-10-08 10:00"), title="End Date", group="Date Range")//10:00</t>
  </si>
  <si>
    <t>endDate = input.time(timestamp("2025-10-09 10:00"), title="End Date", group="Date Range")//10:00</t>
  </si>
  <si>
    <t>endDate = input.time(timestamp("2025-10-10 10:00"), title="End Date", group="Date Range")//10:00</t>
  </si>
  <si>
    <t>endDate = input.time(timestamp("2025-10-13 10:00"), title="End Date", group="Date Range")//10:00</t>
  </si>
  <si>
    <t>endDate = input.time(timestamp("2025-10-14 10:00"), title="End Date", group="Date Range")//10:00</t>
  </si>
  <si>
    <t>endDate = input.time(timestamp("2025-10-15 10:00"), title="End Date", group="Date Range")//10:00</t>
  </si>
  <si>
    <t>endDate = input.time(timestamp("2025-10-16 10:00"), title="End Date", group="Date Range")//10:00</t>
  </si>
  <si>
    <t>endDate = input.time(timestamp("2025-10-17 10:00"), title="End Date", group="Date Range")//10:00</t>
  </si>
  <si>
    <t>endDate = input.time(timestamp("2025-10-20 10:00"), title="End Date", group="Date Range")//10:00</t>
  </si>
  <si>
    <t>endDate = input.time(timestamp("2025-10-23 10:00"), title="End Date", group="Date Range")//10:00</t>
  </si>
  <si>
    <t>endDate = input.time(timestamp("2025-10-24 10:00"), title="End Date", group="Date Range")//10:00</t>
  </si>
  <si>
    <t>endDate = input.time(timestamp("2025-10-27 10:00"), title="End Date", group="Date Range")//10:00</t>
  </si>
  <si>
    <t>endDate = input.time(timestamp("2025-10-28 10:00"), title="End Date", group="Date Range")//10:00</t>
  </si>
  <si>
    <t>endDate = input.time(timestamp("2025-10-29 10:00"), title="End Date", group="Date Range")//10:00</t>
  </si>
  <si>
    <t>endDate = input.time(timestamp("2025-10-30 10:00"), title="End Date", group="Date Range")//10:00</t>
  </si>
  <si>
    <t>endDate = input.time(timestamp("2025-10-31 10:00"), title="End Date", group="Date Range")//10:00</t>
  </si>
  <si>
    <t>endDate = input.time(timestamp("2025-11-03 10:00"), title="End Date", group="Date Range")//10:00</t>
  </si>
  <si>
    <t>endDate = input.time(timestamp("2025-11-04 10:00"), title="End Date", group="Date Range")//10:00</t>
  </si>
  <si>
    <t>endDate = input.time(timestamp("2025-11-06 10:00"), title="End Date", group="Date Range")//10:00</t>
  </si>
  <si>
    <t>endDate = input.time(timestamp("2025-11-07 10:00"), title="End Date", group="Date Range")//10:00</t>
  </si>
  <si>
    <t>endDate = input.time(timestamp("2025-11-10 10:00"), title="End Date", group="Date Range")//10:00</t>
  </si>
  <si>
    <t>endDate = input.time(timestamp("2025-11-11 10:00"), title="End Date", group="Date Range")//10:00</t>
  </si>
  <si>
    <t>endDate = input.time(timestamp("2025-11-12 10:00"), title="End Date", group="Date Range")//10:00</t>
  </si>
  <si>
    <t>endDate = input.time(timestamp("2025-11-13 10:00"), title="End Date", group="Date Range")//10:00</t>
  </si>
  <si>
    <t>endDate = input.time(timestamp("2025-11-14 10:00"), title="End Date", group="Date Range")//10:00</t>
  </si>
  <si>
    <t>endDate = input.time(timestamp("2025-11-17 10:00"), title="End Date", group="Date Range")//10:00</t>
  </si>
  <si>
    <t>endDate = input.time(timestamp("2025-11-18 10:00"), title="End Date", group="Date Range")//10:00</t>
  </si>
  <si>
    <t>endDate = input.time(timestamp("2025-11-19 10:00"), title="End Date", group="Date Range")//10:00</t>
  </si>
  <si>
    <t>endDate = input.time(timestamp("2025-11-20 10:00"), title="End Date", group="Date Range")//10:00</t>
  </si>
  <si>
    <t>endDate = input.time(timestamp("2025-11-21 10:00"), title="End Date", group="Date Range")//10:00</t>
  </si>
  <si>
    <t>endDate = input.time(timestamp("2025-11-24 10:00"), title="End Date", group="Date Range")//10:00</t>
  </si>
  <si>
    <t>endDate = input.time(timestamp("2025-11-25 10:00"), title="End Date", group="Date Range")//10:00</t>
  </si>
  <si>
    <t>endDate = input.time(timestamp("2025-11-26 10:00"), title="End Date", group="Date Range")//10:00</t>
  </si>
  <si>
    <t>endDate = input.time(timestamp("2025-11-27 10:00"), title="End Date", group="Date Range")//10:00</t>
  </si>
  <si>
    <t>endDate = input.time(timestamp("2025-11-28 10:00"), title="End Date", group="Date Range")//10:00</t>
  </si>
  <si>
    <t>endDate = input.time(timestamp("2025-12-01 10:00"), title="End Date", group="Date Range")//10:00</t>
  </si>
  <si>
    <t>endDate = input.time(timestamp("2025-12-02 10:00"), title="End Date", group="Date Range")//10:00</t>
  </si>
  <si>
    <t>endDate = input.time(timestamp("2025-12-03 10:00"), title="End Date", group="Date Range")//10:00</t>
  </si>
  <si>
    <t>endDate = input.time(timestamp("2025-12-04 10:00"), title="End Date", group="Date Range")//10:00</t>
  </si>
  <si>
    <t>endDate = input.time(timestamp("2025-12-05 10:00"), title="End Date", group="Date Range")//10:00</t>
  </si>
  <si>
    <t>endDate = input.time(timestamp("2025-12-08 10:00"), title="End Date", group="Date Range")//10:00</t>
  </si>
  <si>
    <t>endDate = input.time(timestamp("2025-12-09 10:00"), title="End Date", group="Date Range")//10:00</t>
  </si>
  <si>
    <t>endDate = input.time(timestamp("2025-12-10 10:00"), title="End Date", group="Date Range")//10:00</t>
  </si>
  <si>
    <t>endDate = input.time(timestamp("2025-12-11 10:00"), title="End Date", group="Date Range")//10:00</t>
  </si>
  <si>
    <t>endDate = input.time(timestamp("2025-12-12 10:00"), title="End Date", group="Date Range")//10:00</t>
  </si>
  <si>
    <t>endDate = input.time(timestamp("2025-12-15 10:00"), title="End Date", group="Date Range")//10:00</t>
  </si>
  <si>
    <t>endDate = input.time(timestamp("2025-12-16 10:00"), title="End Date", group="Date Range")//10:00</t>
  </si>
  <si>
    <t>endDate = input.time(timestamp("2025-12-17 10:00"), title="End Date", group="Date Range")//10:00</t>
  </si>
  <si>
    <t>endDate = input.time(timestamp("2025-12-18 10:00"), title="End Date", group="Date Range")//10:00</t>
  </si>
  <si>
    <t>endDate = input.time(timestamp("2025-12-19 10:00"), title="End Date", group="Date Range")//10:00</t>
  </si>
  <si>
    <t>endDate = input.time(timestamp("2025-12-22 10:00"), title="End Date", group="Date Range")//10:00</t>
  </si>
  <si>
    <t>endDate = input.time(timestamp("2025-12-23 10:00"), title="End Date", group="Date Range")//10:00</t>
  </si>
  <si>
    <t>endDate = input.time(timestamp("2025-12-24 10:00"), title="End Date", group="Date Range")//10:00</t>
  </si>
  <si>
    <t>endDate = input.time(timestamp("2025-12-26 10:00"), title="End Date", group="Date Range")//10:00</t>
  </si>
  <si>
    <t>endDate = input.time(timestamp("2025-12-29 10:00"), title="End Date", group="Date Range")//10:00</t>
  </si>
  <si>
    <t>endDate = input.time(timestamp("2025-12-31 10:00"), title="End Date", group="Date Range")//10:00</t>
  </si>
  <si>
    <t>endDate = input.time(timestamp("2026-01-01 10:00"), title="End Date", group="Date Range")//10:00</t>
  </si>
  <si>
    <t>endDate = input.time(timestamp("2026-01-02 10:00"), title="End Date", group="Date Range")//10:00</t>
  </si>
  <si>
    <t>endDate = input.time(timestamp("2026-01-05 10:00"), title="End Date", group="Date Range")//10:00</t>
  </si>
  <si>
    <t>endDate = input.time(timestamp("2026-01-08 10:00"), title="End Date", group="Date Range")//10:00</t>
  </si>
  <si>
    <t>endDate = input.time(timestamp("2026-01-09 10:00"), title="End Date", group="Date Range")//10:00</t>
  </si>
  <si>
    <t>endDate = input.time(timestamp("2026-01-12 10:00"), title="End Date", group="Date Range")//10:00</t>
  </si>
  <si>
    <t>endDate = input.time(timestamp("2026-01-13 10:00"), title="End Date", group="Date Range")//10:00</t>
  </si>
  <si>
    <t>endDate = input.time(timestamp("2026-01-19 10:00"), title="End Date", group="Date Range")//10:00</t>
  </si>
  <si>
    <t>endDate = input.time(timestamp("2026-01-20 10:00"), title="End Date", group="Date Range")//10:00</t>
  </si>
  <si>
    <t>endDate = input.time(timestamp("2026-01-28 10:00"), title="End Date", group="Date Range")//10:00</t>
  </si>
  <si>
    <t>endDate = input.time(timestamp("2026-01-29 10:00"), title="End Date", group="Date Range")//10:00</t>
  </si>
  <si>
    <t>endDate = input.time(timestamp("2026-01-30 10:00"), title="End Date", group="Date Range")//10:00</t>
  </si>
  <si>
    <t>endDate = input.time(timestamp("2026-02-02 10:00"), title="End Date", group="Date Range")//10:00</t>
  </si>
  <si>
    <t>endDate = input.time(timestamp("2026-02-03 10:00"), title="End Date", group="Date Range")//10:00</t>
  </si>
  <si>
    <t>endDate = input.time(timestamp("2026-02-04 10:00"), title="End Date", group="Date Range")//10:00</t>
  </si>
  <si>
    <t>endDate = input.time(timestamp("2026-02-05 10:00"), title="End Date", group="Date Range")//10:00</t>
  </si>
  <si>
    <t>endDate = input.time(timestamp("2026-02-09 10:00"), title="End Date", group="Date Range")//10:00</t>
  </si>
  <si>
    <t>endDate = input.time(timestamp("2026-02-10 10:00"), title="End Date", group="Date Range")//10:00</t>
  </si>
  <si>
    <t>endDate = input.time(timestamp("2026-02-11 10:00"), title="End Date", group="Date Range")//10:00</t>
  </si>
  <si>
    <t>endDate = input.time(timestamp("2026-02-16 10:00"), title="End Date", group="Date Range")//10:00</t>
  </si>
  <si>
    <t>endDate = input.time(timestamp("2026-02-17 10:00"), title="End Date", group="Date Range")//10:00</t>
  </si>
  <si>
    <t>endDate = input.time(timestamp("2026-02-18 10:00"), title="End Date", group="Date Range")//10:00</t>
  </si>
  <si>
    <t>endDate = input.time(timestamp("2026-02-19 10:00"), title="End Date", group="Date Range")//10:00</t>
  </si>
  <si>
    <t>endDate = input.time(timestamp("2026-02-20 10:00"), title="End Date", group="Date Range")//10:00</t>
  </si>
  <si>
    <t>endDate = input.time(timestamp("2026-02-23 10:00"), title="End Date", group="Date Range")//10:00</t>
  </si>
  <si>
    <t>endDate = input.time(timestamp("2026-02-24 10:00"), title="End Date", group="Date Range")//10:00</t>
  </si>
  <si>
    <t>endDate = input.time(timestamp("2026-02-25 10:00"), title="End Date", group="Date Range")//10:00</t>
  </si>
  <si>
    <t>endDate = input.time(timestamp("2026-02-26 10:00"), title="End Date", group="Date Range")//10:00</t>
  </si>
  <si>
    <t>DATE RANGE</t>
  </si>
  <si>
    <t>inDateRange = (time &gt;= startDate and time &lt;= endDate)</t>
  </si>
  <si>
    <t>inDateRange = (time &gt;= startDate and time &lt;= endDate</t>
  </si>
  <si>
    <t>BNF_PD_H</t>
  </si>
  <si>
    <t>=</t>
  </si>
  <si>
    <t>BNF_PD_H=57134.95</t>
  </si>
  <si>
    <t>BNF_PD_H=57276.55</t>
  </si>
  <si>
    <t>BNF_PD_H=57262.85</t>
  </si>
  <si>
    <t>BNF_PD_H=56705.15</t>
  </si>
  <si>
    <t>BNF_PD_H=56983.45</t>
  </si>
  <si>
    <t>BNF_PD_H=57286.15</t>
  </si>
  <si>
    <t>BNF_PD_H=57249</t>
  </si>
  <si>
    <t>BNF_PD_H=57316.6</t>
  </si>
  <si>
    <t>BNF_PD_H=57170.7</t>
  </si>
  <si>
    <t>BNF_PD_H=56578.4</t>
  </si>
  <si>
    <t>BNF_PD_H=56296.4</t>
  </si>
  <si>
    <t>BNF_PD_H=56321.15</t>
  </si>
  <si>
    <t>BNF_PD_H=56406.2</t>
  </si>
  <si>
    <t>BNF_PD_H=56097.6</t>
  </si>
  <si>
    <t>BNF_PD_H=55752.45</t>
  </si>
  <si>
    <t>BNF_PD_H=55648.15</t>
  </si>
  <si>
    <t>BNF_PD_H=55559.4</t>
  </si>
  <si>
    <t>BNF_PD_H=55614.85</t>
  </si>
  <si>
    <t>BNF_PD_H=55652.6</t>
  </si>
  <si>
    <t>BNF_PD_H=55582.15</t>
  </si>
  <si>
    <t>BNF_PD_H=55566.7</t>
  </si>
  <si>
    <t>BNF_PD_H=55340.05</t>
  </si>
  <si>
    <t>BNF_PD_H=55472.8</t>
  </si>
  <si>
    <t>BNF_PD_H=56156.3</t>
  </si>
  <si>
    <t>BNF_PD_H=55965.55</t>
  </si>
  <si>
    <t>BNF_PD_H=55812.6</t>
  </si>
  <si>
    <t>BNF_PD_H=55993.65</t>
  </si>
  <si>
    <t>BNF_PD_H=55745</t>
  </si>
  <si>
    <t>BNF_PD_H=55306</t>
  </si>
  <si>
    <t>BNF_PD_H=55068.9</t>
  </si>
  <si>
    <t>BNF_PD_H=54382.25</t>
  </si>
  <si>
    <t>BNF_PD_H = 54086</t>
  </si>
  <si>
    <t>BNF_PD_H=54035.85</t>
  </si>
  <si>
    <t>BNF_PD_H=54160.95</t>
  </si>
  <si>
    <t>BNF_PD_H=54136.15</t>
  </si>
  <si>
    <t>BNF_PD_H=54450.55</t>
  </si>
  <si>
    <t>BNF_PD_H = 54308.05</t>
  </si>
  <si>
    <t>BNF_PD_H = 54518.7</t>
  </si>
  <si>
    <t>BNF_PD_H = 54351.35</t>
  </si>
  <si>
    <t>BNF_PD_H = 55705.9</t>
  </si>
  <si>
    <t>BNF_PD_H = 54757.45</t>
  </si>
  <si>
    <t>BNF_PD_H = 54852.25</t>
  </si>
  <si>
    <t>BNF_PD_H = 55018</t>
  </si>
  <si>
    <t>BNF_PD_H = 55186.65</t>
  </si>
  <si>
    <t>BNF_PD_H = 55543.8</t>
  </si>
  <si>
    <t>BNF_PD_H = 55837.90</t>
  </si>
  <si>
    <t>BNF_PD_H = 55688.45</t>
  </si>
  <si>
    <t>BNF_PD_H = 55669</t>
  </si>
  <si>
    <t>BNF_PD_H = 55662</t>
  </si>
  <si>
    <t>BNF_PD_H = 55508.8</t>
  </si>
  <si>
    <t>BNF_PD_H = 55276.65</t>
  </si>
  <si>
    <t>BNF_PD_H = 54897</t>
  </si>
  <si>
    <t>BNF_PD_H = 54686.05</t>
  </si>
  <si>
    <t>BNF_PD_H = 54793.05</t>
  </si>
  <si>
    <t>BNF_PD_H = 57526.20</t>
  </si>
  <si>
    <t>BNF_PD_H = 55616.45</t>
  </si>
  <si>
    <t>BNF_PD_H = 56164.2</t>
  </si>
  <si>
    <t>BNF_PD_H = 56502.45</t>
  </si>
  <si>
    <t>BNF_PD_H = 56303</t>
  </si>
  <si>
    <t>BNF_PD_H = 56286.25</t>
  </si>
  <si>
    <t>BNF_PD_H = 56760.25</t>
  </si>
  <si>
    <t>BNF_PD_H = 56770.9</t>
  </si>
  <si>
    <t>BNF_PD_H = 56721.3</t>
  </si>
  <si>
    <t>BNF_PD_H = 56922.7</t>
  </si>
  <si>
    <t>BNF_PD_H = 57525.8</t>
  </si>
  <si>
    <t>BNF_PD_H = 57830.2</t>
  </si>
  <si>
    <t>BNF_PD_H = 58155.55</t>
  </si>
  <si>
    <t>BNF_PD_H = 58577.5</t>
  </si>
  <si>
    <t>BNF_PD_H = 58232.9</t>
  </si>
  <si>
    <t>BNF_PD_H = 58224.55</t>
  </si>
  <si>
    <t>BNF_PD_H = 58313.8</t>
  </si>
  <si>
    <t>BNF_PD_H = 58469.9</t>
  </si>
  <si>
    <t>BNF_PD_H = 58331.2</t>
  </si>
  <si>
    <t>BNF_PD_H = 58254.95</t>
  </si>
  <si>
    <t>BNF_PD_H = 58247.55</t>
  </si>
  <si>
    <t>BNF_PD_H = 58119.65</t>
  </si>
  <si>
    <t>BNF_PD_H = 57945.05</t>
  </si>
  <si>
    <t>BNF_PD_H = 58001.35</t>
  </si>
  <si>
    <t>BNF_PD_H = 58097.2</t>
  </si>
  <si>
    <t>BNF_PD_H = 58187.35</t>
  </si>
  <si>
    <t>BNF_PD_H = 58505.35</t>
  </si>
  <si>
    <t>BNF_PD_H = 58615.95</t>
  </si>
  <si>
    <t>BNF_PD_H = 58590.15</t>
  </si>
  <si>
    <t>BNF_PD_H = 59001.55</t>
  </si>
  <si>
    <t>BNF_PD_H = 59103.65</t>
  </si>
  <si>
    <t>BNF_PD_H = 59264.25</t>
  </si>
  <si>
    <t>BNF_PD_H = 59440.1</t>
  </si>
  <si>
    <t>BNF_PD_H = 59232.15</t>
  </si>
  <si>
    <t>BNF_PD_H = 59309.9</t>
  </si>
  <si>
    <t>BNF_PD_H = 59166.15</t>
  </si>
  <si>
    <t>BNF_PD_H = 59554.95</t>
  </si>
  <si>
    <t>BNF_PD_H = 59866.6</t>
  </si>
  <si>
    <t>BNF_PD_H = 59597.5</t>
  </si>
  <si>
    <t>BNF_PD_H = 60114.3</t>
  </si>
  <si>
    <t>BNF_PD_H = 59656.55</t>
  </si>
  <si>
    <t>BNF_PD_H = 59414.9</t>
  </si>
  <si>
    <t>BNF_PD_H = 59548.7</t>
  </si>
  <si>
    <t>BNF_PD_H = 59806.6</t>
  </si>
  <si>
    <t>BNF_PD_H = 59713.15</t>
  </si>
  <si>
    <t>BNF_PD_H = 59358.25</t>
  </si>
  <si>
    <t>BNF_PD_H = 59440.9</t>
  </si>
  <si>
    <t>BNF_PD_H = 59423.35</t>
  </si>
  <si>
    <t>BNF_PD_H = 59545.7</t>
  </si>
  <si>
    <t>BNF_PD_H = 59533</t>
  </si>
  <si>
    <t>BNF_PD_H = 59335.25</t>
  </si>
  <si>
    <t>BNF_PD_H = 59127.2</t>
  </si>
  <si>
    <t>BNF_PD_H = 59211</t>
  </si>
  <si>
    <t>BNF_PD_H = 59140.55</t>
  </si>
  <si>
    <t>BNF_PD_H = 59371.2</t>
  </si>
  <si>
    <t>BNF_PD_H = 59402.35</t>
  </si>
  <si>
    <t>BNF_PD_H = 59478.15</t>
  </si>
  <si>
    <t>BNF_PD_H = 59180.65</t>
  </si>
  <si>
    <t>BNF_PD_H = 59140.4</t>
  </si>
  <si>
    <t>BNF_PD_H = 59272.7</t>
  </si>
  <si>
    <t>BNF_PD_H = 59766.2</t>
  </si>
  <si>
    <t>BNF_PD_H = 60203.75</t>
  </si>
  <si>
    <t>BNF_PD_C</t>
  </si>
  <si>
    <t>BNF_PD_C=56765.35</t>
  </si>
  <si>
    <t>BNF_PD_C=57006.65</t>
  </si>
  <si>
    <t>BNF_PD_C=57168.95</t>
  </si>
  <si>
    <t>BNF_PD_C=56828.8</t>
  </si>
  <si>
    <t>BNF_PD_C=56283</t>
  </si>
  <si>
    <t>BNF_PD_C=56952.75</t>
  </si>
  <si>
    <t>BNF_PD_C=56756</t>
  </si>
  <si>
    <t>BNF_PD_C=5721.45</t>
  </si>
  <si>
    <t>BNF_PD_C=57066.05</t>
  </si>
  <si>
    <t>BNF_PD_C=56528.9</t>
  </si>
  <si>
    <t>BNF_PD_C=56084.9</t>
  </si>
  <si>
    <t>BNF_PD_C=56222</t>
  </si>
  <si>
    <t>BNF_PD_C=56150.7</t>
  </si>
  <si>
    <t>BNF_PD_C=55961.95</t>
  </si>
  <si>
    <t>BNF_PD_C=55617.6</t>
  </si>
  <si>
    <t>BNF_PD_C=55619.35</t>
  </si>
  <si>
    <t>BNF_PD_C=55360.25</t>
  </si>
  <si>
    <t>BNF_PD_C=55411.15</t>
  </si>
  <si>
    <t>BNF_PD_C=55521.15</t>
  </si>
  <si>
    <t>BNF_PD_C=55004.9</t>
  </si>
  <si>
    <t>BNF_PD_C=55510.75</t>
  </si>
  <si>
    <t>BNF_PD_C=55043.7</t>
  </si>
  <si>
    <t>BNF_PD_C=55181.45</t>
  </si>
  <si>
    <t>BNF_PD_C=55341.85</t>
  </si>
  <si>
    <t>BNF_PD_C=55734.9</t>
  </si>
  <si>
    <t>BNF_PD_C=55865.15</t>
  </si>
  <si>
    <t>BNF_PD_C=55698.5</t>
  </si>
  <si>
    <t>BNF_PD_C=55755.45</t>
  </si>
  <si>
    <t>BNF_PD_C=55149.4</t>
  </si>
  <si>
    <t>BNF_PD_C=55139.3</t>
  </si>
  <si>
    <t>BNF_PD_C=54450.45</t>
  </si>
  <si>
    <t>BNF_PD_C=53820</t>
  </si>
  <si>
    <t>BNF_PD_C = 53655</t>
  </si>
  <si>
    <t>BNF_PD_C=54002.45</t>
  </si>
  <si>
    <t>BNF_PD_C=53661</t>
  </si>
  <si>
    <t>BNF_PD_C=54067.55</t>
  </si>
  <si>
    <t>BNF_PD_C=54075.45</t>
  </si>
  <si>
    <t>BNF_PD_C = 54115.55</t>
  </si>
  <si>
    <t>BNF_PD_C = 54186.9</t>
  </si>
  <si>
    <t>BNF_PD_C = 54215.4</t>
  </si>
  <si>
    <t>BNF_PD_C = 55535.55</t>
  </si>
  <si>
    <t>BNF_PD_C = 54669.6</t>
  </si>
  <si>
    <t>BNF_PD_C = 54809.3</t>
  </si>
  <si>
    <t>BNF_PD_C = 54887.85</t>
  </si>
  <si>
    <t>BNF_PD_C = 55146.5</t>
  </si>
  <si>
    <t>BNF_PD_C = 55491.9</t>
  </si>
  <si>
    <t>BNF_PD_C = 55728.95</t>
  </si>
  <si>
    <t>BNF_PD_C = 55485.5</t>
  </si>
  <si>
    <t>BNF_PD_C = 55284</t>
  </si>
  <si>
    <t>BNF_PD_C = 55509.75</t>
  </si>
  <si>
    <t>BNF_PD_C = 55121.5</t>
  </si>
  <si>
    <t>BNF_PD_C = 54976.20</t>
  </si>
  <si>
    <t>BNF_PD_C = 54389.35</t>
  </si>
  <si>
    <t>BNF_PD_C = 54461</t>
  </si>
  <si>
    <t>BNF_PD_C = 54635.85</t>
  </si>
  <si>
    <t>BNF_PD_C = 55347.95</t>
  </si>
  <si>
    <t>BNF_PD_C = 55589.25</t>
  </si>
  <si>
    <t>BNF_PD_C = 56104.85</t>
  </si>
  <si>
    <t>BNF_PD_C = 56239.35</t>
  </si>
  <si>
    <t>BNF_PD_C = 56018.25</t>
  </si>
  <si>
    <t>BNF_PD_C = 56192.05</t>
  </si>
  <si>
    <t>BNF_PD_C = 56609.75</t>
  </si>
  <si>
    <t>BNF_PD_C = 56625</t>
  </si>
  <si>
    <t>BNF_PD_C = 56496.45</t>
  </si>
  <si>
    <t>BNF_PD_C = 56799.9</t>
  </si>
  <si>
    <t>BNF_PD_C = 57422.55</t>
  </si>
  <si>
    <t>BNF_PD_C = 57713.35</t>
  </si>
  <si>
    <t>BNF_PD_C = 58007.2</t>
  </si>
  <si>
    <t>BNF_PD_C = 58078.05</t>
  </si>
  <si>
    <t>BNF_PD_C = 57699.6</t>
  </si>
  <si>
    <t>BNF_PD_C = 58114.25</t>
  </si>
  <si>
    <t>BNF_PD_C = 58214.1</t>
  </si>
  <si>
    <t>BNF_PD_C = 58385.25</t>
  </si>
  <si>
    <t>BNF_PD_C = 58031.1</t>
  </si>
  <si>
    <t>BNF_PD_C = 57776.35</t>
  </si>
  <si>
    <t>BNF_PD_C = 58101.45</t>
  </si>
  <si>
    <t>BNF_PD_C = 57827.05</t>
  </si>
  <si>
    <t>BNF_PD_C = 57554.25</t>
  </si>
  <si>
    <t>BNF_PD_C = 57876.8</t>
  </si>
  <si>
    <t>BNF_PD_C = 57937.55</t>
  </si>
  <si>
    <t>BNF_PD_C = 58138.15</t>
  </si>
  <si>
    <t>BNF_PD_C = 58274.65</t>
  </si>
  <si>
    <t>BNF_PD_C = 58381</t>
  </si>
  <si>
    <t>BNF_PD_C = 58517.55</t>
  </si>
  <si>
    <t>BNF_PD_C = 58962.7</t>
  </si>
  <si>
    <t>BNF_PD_C = 58899.25</t>
  </si>
  <si>
    <t>BNF_PD_C = 59216.05</t>
  </si>
  <si>
    <t>BNF_PD_C = 59347.7</t>
  </si>
  <si>
    <t>BNF_PD_C = 58867.7</t>
  </si>
  <si>
    <t>BNF_PD_C = 58835.35</t>
  </si>
  <si>
    <t>BNF_PD_C = 58820.3</t>
  </si>
  <si>
    <t>BNF_PD_C = 59528.05</t>
  </si>
  <si>
    <t>BNF_PD_C = 59737.3</t>
  </si>
  <si>
    <t>BNF_PD_C = 59752.7</t>
  </si>
  <si>
    <t>BNF_PD_C = 59681.35</t>
  </si>
  <si>
    <t>BNF_PD_C = 59273.8</t>
  </si>
  <si>
    <t>BNF_PD_C = 59348.25</t>
  </si>
  <si>
    <t>BNF_PD_C = 59288.7</t>
  </si>
  <si>
    <t>BNF_PD_C = 59777.2</t>
  </si>
  <si>
    <t>BNF_PD_C = 59228.55</t>
  </si>
  <si>
    <t>BNF_PD_C = 59222.35</t>
  </si>
  <si>
    <t>BNF_PD_C = 58960.4</t>
  </si>
  <si>
    <t>BNF_PD_C = 59209.85</t>
  </si>
  <si>
    <t>BNF_PD_C = 59389.95</t>
  </si>
  <si>
    <t>BNF_PD_C = 59461.8</t>
  </si>
  <si>
    <t>BNF_PD_C = 59034.6</t>
  </si>
  <si>
    <t>BNF_PD_C = 58926.75</t>
  </si>
  <si>
    <t>BNF_PD_C = 58912.85</t>
  </si>
  <si>
    <t>BNF_PD_C = 59069.2</t>
  </si>
  <si>
    <t>BNF_PD_C = 59304</t>
  </si>
  <si>
    <t>BNF_PD_C = 59299.55</t>
  </si>
  <si>
    <t>BNF_PD_C = 59183.6</t>
  </si>
  <si>
    <t>BNF_PD_C = 59011.35</t>
  </si>
  <si>
    <t>BNF_PD_C = 58932.35</t>
  </si>
  <si>
    <t>BNF_PD_C = 59171.25</t>
  </si>
  <si>
    <t>BNF_PD_C = 59581.85</t>
  </si>
  <si>
    <t>BNF_PD_C = 59711.55</t>
  </si>
  <si>
    <t>BNF_PD_C = 60150.95</t>
  </si>
  <si>
    <t>BNF_PD_L</t>
  </si>
  <si>
    <t>BNF_PD_L=56594.25</t>
  </si>
  <si>
    <t>BNF_PD_L=56707.8</t>
  </si>
  <si>
    <t>BNF_PD_L=56937.6</t>
  </si>
  <si>
    <t>BNF_PD_L=56780.15</t>
  </si>
  <si>
    <t>BNF_PD_L=56204.85</t>
  </si>
  <si>
    <t>BNF_PD_L=56255.7</t>
  </si>
  <si>
    <t>BNF_PD_L=56692</t>
  </si>
  <si>
    <t>BNF_PD_L=56715.8</t>
  </si>
  <si>
    <t>BNF_PD_L=56850.9</t>
  </si>
  <si>
    <t>BNF_PD_L=56439.4</t>
  </si>
  <si>
    <t>BNF_PD_L=55997.45</t>
  </si>
  <si>
    <t>BNF_PD_L=55843.25</t>
  </si>
  <si>
    <t>BNF_PD_L=56064.55</t>
  </si>
  <si>
    <t>BNF_PD_L=55547.35</t>
  </si>
  <si>
    <t>BNF_PD_L=55562.1</t>
  </si>
  <si>
    <t>BNF_PD_L=55437.3</t>
  </si>
  <si>
    <t>BNF_PD_L=55202.85</t>
  </si>
  <si>
    <t>BNF_PD_L=55227.7</t>
  </si>
  <si>
    <t>BNF_PD_L=54973.5</t>
  </si>
  <si>
    <t>BNF_PD_L=54905.6</t>
  </si>
  <si>
    <t>BNF_PD_L=54927.55</t>
  </si>
  <si>
    <t>BNF_PD_L=55001.5</t>
  </si>
  <si>
    <t>BNF_PD_L=55026.95</t>
  </si>
  <si>
    <t>BNF_PD_L=55074.3</t>
  </si>
  <si>
    <t>BNF_PD_L=55647.65</t>
  </si>
  <si>
    <t>BNF_PD_L=55608.15</t>
  </si>
  <si>
    <t>BNF_PD_L=55577.35</t>
  </si>
  <si>
    <t>BNF_PD_L=55708.2</t>
  </si>
  <si>
    <t>BNF_PD_L=55102.6</t>
  </si>
  <si>
    <t>BNF_PD_L=55048.4</t>
  </si>
  <si>
    <t>BNF_PD_L=54396.1</t>
  </si>
  <si>
    <t>BNF_PD_L=53768.45</t>
  </si>
  <si>
    <t>BNF_PD_L = 53606.45</t>
  </si>
  <si>
    <t>BNF_PD_L=83658.18</t>
  </si>
  <si>
    <t>BNF_PD_L=53578</t>
  </si>
  <si>
    <t>BNF_PD_L=53561.75</t>
  </si>
  <si>
    <t>BNF_PD_L=53971.85</t>
  </si>
  <si>
    <t>BNF_PD_L = 53719.55</t>
  </si>
  <si>
    <t>BNF_PD_L = 54067.15</t>
  </si>
  <si>
    <t>BNF_PD_L = 54080.15</t>
  </si>
  <si>
    <t>BNF_PD_L = 55399.55</t>
  </si>
  <si>
    <t>BNF_PD_L = 54402.4</t>
  </si>
  <si>
    <t>BNF_PD_L = 54580.35</t>
  </si>
  <si>
    <t>BNF_PD_L = 54807.5</t>
  </si>
  <si>
    <t>BNF_PD_L = 55780.9</t>
  </si>
  <si>
    <t>BNF_PD_L = 55146.9</t>
  </si>
  <si>
    <t>BNF_PD_L = 55491.3</t>
  </si>
  <si>
    <t>BNF_PD_L = 55355.9</t>
  </si>
  <si>
    <t>BNF_PD_L = 55221</t>
  </si>
  <si>
    <t>BNF_PD_L = 55159</t>
  </si>
  <si>
    <t>BNF_PD_L = 55040.45</t>
  </si>
  <si>
    <t>BNF_PD_L = 54903.30</t>
  </si>
  <si>
    <t>BNF_PD_L = 54310.95</t>
  </si>
  <si>
    <t>BNF_PD_L = 54226.6</t>
  </si>
  <si>
    <t>BNF_PD_L = 54502.95</t>
  </si>
  <si>
    <t>BNF_PD_L = 54582.55</t>
  </si>
  <si>
    <t>BNF_PD_L = 55177</t>
  </si>
  <si>
    <t>BNF_PD_L = 55727.25</t>
  </si>
  <si>
    <t>BNF_PD_L = 56025.05</t>
  </si>
  <si>
    <t>BNF_PD_L = 55821</t>
  </si>
  <si>
    <t>BNF_PD_L = 55843.9</t>
  </si>
  <si>
    <t>BNF_PD_L = 56152.45</t>
  </si>
  <si>
    <t>BNF_PD_L = 56327.4</t>
  </si>
  <si>
    <t>BNF_PD_L = 56230.15</t>
  </si>
  <si>
    <t>BNF_PD_L = 56491.85</t>
  </si>
  <si>
    <t>BNF_PD_L = 56994.7</t>
  </si>
  <si>
    <t>BNF_PD_L = 57238.65</t>
  </si>
  <si>
    <t>BNF_PD_L = 57887.2</t>
  </si>
  <si>
    <t>BNF_PD_L = 57951.45</t>
  </si>
  <si>
    <t>BNF_PD_L = 57482.05</t>
  </si>
  <si>
    <t>BNF_PD_L = 57652.75</t>
  </si>
  <si>
    <t>BNF_PD_L = 57770.35</t>
  </si>
  <si>
    <t>BNF_PD_L = 58087.05</t>
  </si>
  <si>
    <t>BNF_PD_L = 57999.2</t>
  </si>
  <si>
    <t>BNF_PD_L = 57656.95</t>
  </si>
  <si>
    <t>BNF_PD_L = 57718.4</t>
  </si>
  <si>
    <t>BNF_PD_L = 57714.8</t>
  </si>
  <si>
    <t>BNF_PD_L = 57521</t>
  </si>
  <si>
    <t>BNF_PD_L = 57157.85</t>
  </si>
  <si>
    <t>BNF_PD_L = 57846.2</t>
  </si>
  <si>
    <t>BNF_PD_L = 57594.25</t>
  </si>
  <si>
    <t>BNF_PD_L = 58171.85</t>
  </si>
  <si>
    <t>BNF_PD_L = 58127.1</t>
  </si>
  <si>
    <t>BNF_PD_L = 58050</t>
  </si>
  <si>
    <t>BNF_PD_L = 58605.3</t>
  </si>
  <si>
    <t>BNF_PD_L = 58798.9</t>
  </si>
  <si>
    <t>BNF_PD_L = 58688.55</t>
  </si>
  <si>
    <t>BNF_PD_L = 59125.25</t>
  </si>
  <si>
    <t>BNF_PD_L = 58823.65</t>
  </si>
  <si>
    <t>BNF_PD_L = 58649.5</t>
  </si>
  <si>
    <t>BNF_PD_L = 58746.2</t>
  </si>
  <si>
    <t>BNF_PD_L = 58783.05</t>
  </si>
  <si>
    <t>BNF_PD_L = 59523</t>
  </si>
  <si>
    <t>BNF_PD_L = 59598.95</t>
  </si>
  <si>
    <t>BNF_PD_L = 59527.6</t>
  </si>
  <si>
    <t>BNF_PD_L = 59251.9</t>
  </si>
  <si>
    <t>BNF_PD_L = 58925.7</t>
  </si>
  <si>
    <t>BNF_PD_L = 59062.15</t>
  </si>
  <si>
    <t>BNF_PD_L = 59106.55</t>
  </si>
  <si>
    <t>BNF_PD_L = 59030.6</t>
  </si>
  <si>
    <t>BNF_PD_L = 58878.45</t>
  </si>
  <si>
    <t>BNF_PD_L = 58853.9</t>
  </si>
  <si>
    <t>BNF_PD_L = 58799.9</t>
  </si>
  <si>
    <t>BNF_PD_L = 59224.85</t>
  </si>
  <si>
    <t>BNF_PD_L = 59052.3</t>
  </si>
  <si>
    <t>BNF_PD_L = 58966.35</t>
  </si>
  <si>
    <t>BNF_PD_L = 58801.4</t>
  </si>
  <si>
    <t>BNF_PD_L = 58712.7</t>
  </si>
  <si>
    <t>BNF_PD_L = 58897.5</t>
  </si>
  <si>
    <t>BNF_PD_L = 59155.5</t>
  </si>
  <si>
    <t>BNF_PD_L = 59216.75</t>
  </si>
  <si>
    <t>BNF_PD_L = 59118.25</t>
  </si>
  <si>
    <t>BNF_PD_L = 58947.05</t>
  </si>
  <si>
    <t>BNF_PD_L = 58809.55</t>
  </si>
  <si>
    <t>BNF_PD_L = 58737.6</t>
  </si>
  <si>
    <t>BNF_PD_L = 59187.1</t>
  </si>
  <si>
    <t>BNF_PD_L = 59569.65</t>
  </si>
  <si>
    <t>BNF_PD_L = 59738.25</t>
  </si>
  <si>
    <t>BNF_R5</t>
  </si>
  <si>
    <t>BNF_R5=57527.15</t>
  </si>
  <si>
    <t>BNF_R5=58102.95</t>
  </si>
  <si>
    <t>BNF_R5=58036.95</t>
  </si>
  <si>
    <t>BNF_R5=57971.3</t>
  </si>
  <si>
    <t>BNF_R5=57476.4</t>
  </si>
  <si>
    <t>BNF_R5=58883.2</t>
  </si>
  <si>
    <t>BNF_R5=58163.7</t>
  </si>
  <si>
    <t>BNF_R5=58619.45</t>
  </si>
  <si>
    <t>BNF_R5=58224.4</t>
  </si>
  <si>
    <t>BNF_R5=58265.1</t>
  </si>
  <si>
    <t>BNF_R5=57469.6</t>
  </si>
  <si>
    <t>BNF_R5=57405.6</t>
  </si>
  <si>
    <t>BNF_R5=56778.15</t>
  </si>
  <si>
    <t>BNF_R5=58104.15</t>
  </si>
  <si>
    <t>BNF_R5=56885.6</t>
  </si>
  <si>
    <t>BNF_R5=56415.4</t>
  </si>
  <si>
    <t>BNF_R5=56451.75</t>
  </si>
  <si>
    <t>BNF_R5=56246.25</t>
  </si>
  <si>
    <t>BNF_R5=57199.95</t>
  </si>
  <si>
    <t>BNF_R5=56781</t>
  </si>
  <si>
    <t>BNF_R5=57232.55</t>
  </si>
  <si>
    <t>BNF_R5=56376.55</t>
  </si>
  <si>
    <t>BNF_R5=55963.5</t>
  </si>
  <si>
    <t>BNF_R5=56360.85</t>
  </si>
  <si>
    <t>BNF_R5=56950.85</t>
  </si>
  <si>
    <t>BNF_R5=56784.75</t>
  </si>
  <si>
    <t>BNF_R5=56287.8</t>
  </si>
  <si>
    <t>BNF_R5=56437.25</t>
  </si>
  <si>
    <t>BNF_R5=56663.95</t>
  </si>
  <si>
    <t>BNF_R5=55770.65</t>
  </si>
  <si>
    <t>BNF_R5=56038.45</t>
  </si>
  <si>
    <t>BNF_R5=55269.85</t>
  </si>
  <si>
    <t>BNF_R5 = 54791</t>
  </si>
  <si>
    <t>BNF_R5=54998.5</t>
  </si>
  <si>
    <t>BNF_R5=55048.9</t>
  </si>
  <si>
    <t>BNF_R5=55576.4</t>
  </si>
  <si>
    <t>BNF_R5=55226.95</t>
  </si>
  <si>
    <t>BNF_R5 = 55619.4</t>
  </si>
  <si>
    <t>BNF_R5 = 55280.45</t>
  </si>
  <si>
    <t>BNF_R5 = 54894.45</t>
  </si>
  <si>
    <t>BNF_R5 = 55293.45</t>
  </si>
  <si>
    <t>BNF_R5 = 55587.1</t>
  </si>
  <si>
    <t>BNF_R5 = 55520.05</t>
  </si>
  <si>
    <t>BNF_R5 = 55407.45</t>
  </si>
  <si>
    <t>BNF_R5 = 56222.2</t>
  </si>
  <si>
    <t>BNF_R5 = 56528.7</t>
  </si>
  <si>
    <t>BNF_R5 = 56609.8</t>
  </si>
  <si>
    <t>BNF_R5 = 56271.4</t>
  </si>
  <si>
    <t>BNF_R5 = 56359.55</t>
  </si>
  <si>
    <t>BNF_R5 = 56800.35</t>
  </si>
  <si>
    <t>BNF_R5 = 56246.7</t>
  </si>
  <si>
    <t>BNF_R5 = 55871.65</t>
  </si>
  <si>
    <t>BNF_R5 = 55782.95</t>
  </si>
  <si>
    <t>BNF_R5 = 55611.2</t>
  </si>
  <si>
    <t>BNF_R5 = 55357.05</t>
  </si>
  <si>
    <t>BNF_R5 = 55510</t>
  </si>
  <si>
    <t>BNF_R5 = 56752.05</t>
  </si>
  <si>
    <t>BNF_R5 = 57250.25</t>
  </si>
  <si>
    <t>BNF_R5 = 57424.7</t>
  </si>
  <si>
    <t>BNF_R5 = 57210.05</t>
  </si>
  <si>
    <t>BNF_R5 = 57340.25</t>
  </si>
  <si>
    <t>BNF_R5 = 58180.4</t>
  </si>
  <si>
    <t>BNF_R5 = 57759.05</t>
  </si>
  <si>
    <t>BNF_R5 = 57731.25</t>
  </si>
  <si>
    <t>BNF_R5 = 57907.9</t>
  </si>
  <si>
    <t>BNF_R5 = 58804.4</t>
  </si>
  <si>
    <t>BNF_R5 = 59251.85</t>
  </si>
  <si>
    <t>BNF_R5 = 58673.35</t>
  </si>
  <si>
    <t>BNF_R5 = 59581.05</t>
  </si>
  <si>
    <t>BNF_R5 = 59524.1</t>
  </si>
  <si>
    <t>BNF_R5 = 59602.3</t>
  </si>
  <si>
    <t>BNF_R5 = 59630.05</t>
  </si>
  <si>
    <t>BNF_R5 = 59377.95</t>
  </si>
  <si>
    <t>BNF_R5 = 58816.4</t>
  </si>
  <si>
    <t>BNF_R5 = 59211.5</t>
  </si>
  <si>
    <t>BNF_R5 = 59463.8</t>
  </si>
  <si>
    <t>BNF_R5 = 58760.7</t>
  </si>
  <si>
    <t>BNF_R5 = 58554.8</t>
  </si>
  <si>
    <t>BNF_R5 = 60084.6</t>
  </si>
  <si>
    <t>BNF_R5 = 58553.65</t>
  </si>
  <si>
    <t>BNF_R5 = 59703.35</t>
  </si>
  <si>
    <t>BNF_R5 = 59092.55</t>
  </si>
  <si>
    <t>BNF_R5 = 59607.55</t>
  </si>
  <si>
    <t>BNF_R5 = 59933.75</t>
  </si>
  <si>
    <t>BNF_R5 = 60006.4</t>
  </si>
  <si>
    <t>BNF_R5 = 59643.8</t>
  </si>
  <si>
    <t>BNF_R5 = 60735.2</t>
  </si>
  <si>
    <t>BNF_R5 = 60156.5</t>
  </si>
  <si>
    <t>BNF_R5 = 59835.55</t>
  </si>
  <si>
    <t>BNF_R5 = 60438.25</t>
  </si>
  <si>
    <t>BNF_R5 = 59824.9</t>
  </si>
  <si>
    <t>BNF_R5 = 61577.5</t>
  </si>
  <si>
    <t>BNF_R5 = 60610.45</t>
  </si>
  <si>
    <t>BNF_R5 = 60500.55</t>
  </si>
  <si>
    <t>BNF_R5 = 61101.55</t>
  </si>
  <si>
    <t>BNF_R5 = 60225.15</t>
  </si>
  <si>
    <t>BNF_R5 = 60630.55</t>
  </si>
  <si>
    <t>BNF_R5 = 60499.5</t>
  </si>
  <si>
    <t>BNF_R5 = 61634.2</t>
  </si>
  <si>
    <t>BNF_R5 = 60900.5</t>
  </si>
  <si>
    <t>BNF_R5 = 60456.5</t>
  </si>
  <si>
    <t>BNF_R5 = 60365.5</t>
  </si>
  <si>
    <t>BNF_R5 = 60801.2</t>
  </si>
  <si>
    <t>BNF_R5 = 60193.65</t>
  </si>
  <si>
    <t>BNF_R5 = 60719.95</t>
  </si>
  <si>
    <t>BNF_R5 = 59918.1</t>
  </si>
  <si>
    <t>BNF_R5 = 59728.75</t>
  </si>
  <si>
    <t>BNF_R5 = 60142.25</t>
  </si>
  <si>
    <t>BNF_R5 = 59693.55</t>
  </si>
  <si>
    <t>BNF_R5 = 59856.8</t>
  </si>
  <si>
    <t>BNF_R5 = 59760.2</t>
  </si>
  <si>
    <t>BNF_R5 = 60045.15</t>
  </si>
  <si>
    <t>BNF_R5 = 59577.85</t>
  </si>
  <si>
    <t>BNF_R5 = 59745.25</t>
  </si>
  <si>
    <t>BNF_R5 = 60564.35</t>
  </si>
  <si>
    <t>BNF_R5 = 61064.65</t>
  </si>
  <si>
    <t>BNF_R5 = 60163.8</t>
  </si>
  <si>
    <t>BNF_R5 = 61374.7</t>
  </si>
  <si>
    <t>BNF_R4</t>
  </si>
  <si>
    <t>BNF_R4=57369.45</t>
  </si>
  <si>
    <t>BNF_R4=5780.95</t>
  </si>
  <si>
    <t>BNF_R4=57846.85</t>
  </si>
  <si>
    <t>BNF_R4=57794.2</t>
  </si>
  <si>
    <t>BNF_R4=57283.6</t>
  </si>
  <si>
    <t>BNF_R4=58408.25</t>
  </si>
  <si>
    <t>BNF_R4=57944.3</t>
  </si>
  <si>
    <t>BNF_R4=58276.85</t>
  </si>
  <si>
    <t>BNF_R4=57997.45</t>
  </si>
  <si>
    <t>BNF_R4=57991.5</t>
  </si>
  <si>
    <t>BNF_R4=57246.8</t>
  </si>
  <si>
    <t>BNF_R4=57128.3</t>
  </si>
  <si>
    <t>BNF_R4=56663.9</t>
  </si>
  <si>
    <t>BNF_R4=57679.65</t>
  </si>
  <si>
    <t>BNF_R4=56688.6</t>
  </si>
  <si>
    <t>BNF_R4=56249.65</t>
  </si>
  <si>
    <t>BNF_R4=56250.85</t>
  </si>
  <si>
    <t>BNF_R4=560754.55</t>
  </si>
  <si>
    <t>BNF_R4=56803.65</t>
  </si>
  <si>
    <t>BNF_R4=56498.8</t>
  </si>
  <si>
    <t>BNF_R4=56819.95</t>
  </si>
  <si>
    <t>BNF_R4=56174.1</t>
  </si>
  <si>
    <t>BNF_R4=55807.65</t>
  </si>
  <si>
    <t>BNF_R4=56138.85</t>
  </si>
  <si>
    <t>BNF_R4=56752.2</t>
  </si>
  <si>
    <t>BNF_R4=56579.95</t>
  </si>
  <si>
    <t>BNF_R4=56169</t>
  </si>
  <si>
    <t>BNF_R4=56326.35</t>
  </si>
  <si>
    <t>BNF_R4=56434.2</t>
  </si>
  <si>
    <t>BNF_R4=55654.5</t>
  </si>
  <si>
    <t>BNF_R4=55796.05</t>
  </si>
  <si>
    <t>BNF_R4=55047.95</t>
  </si>
  <si>
    <t>BNF_R4 = 54614.75</t>
  </si>
  <si>
    <t>BNF_R4=54757.85</t>
  </si>
  <si>
    <t>BNF_R4=54826.9</t>
  </si>
  <si>
    <t>BNF_R4=55216.35</t>
  </si>
  <si>
    <t>BNF_R4=55032.85</t>
  </si>
  <si>
    <t>BNF_R4 = 55291.55</t>
  </si>
  <si>
    <t>BNF_R4 = 55090</t>
  </si>
  <si>
    <t>BNF_R4 = 54758.5</t>
  </si>
  <si>
    <t>BNF_R4 = 55146.4</t>
  </si>
  <si>
    <t>BNF_R4 = 55379.7</t>
  </si>
  <si>
    <t>BNF_R4 = 55353.1</t>
  </si>
  <si>
    <t>BNF_R4 = 55310.25</t>
  </si>
  <si>
    <t>BNF_R4 = 55963</t>
  </si>
  <si>
    <t>BNF_R4 = 56281.7</t>
  </si>
  <si>
    <t>BNF_R4 = 56416.15</t>
  </si>
  <si>
    <t>BNF_R4 = 56125.75</t>
  </si>
  <si>
    <t>BNF_R4 = 56186.25</t>
  </si>
  <si>
    <t>BNF_R4 = 56515.75</t>
  </si>
  <si>
    <t>BNF_R4 = 56062.8</t>
  </si>
  <si>
    <t>BNF_R4 = 55722.90</t>
  </si>
  <si>
    <t>BNF_R4 = 55561.45</t>
  </si>
  <si>
    <t>BNF_R4 = 55379.9</t>
  </si>
  <si>
    <t>BNF_R4 = 55216.05</t>
  </si>
  <si>
    <t>BNF_R4 = 56996.35</t>
  </si>
  <si>
    <t>BNF_R4 = 56468.15</t>
  </si>
  <si>
    <t>BNF_R4 = 56978.75</t>
  </si>
  <si>
    <t>BNF_R4 = 57194.15</t>
  </si>
  <si>
    <t>BNF_R4 = 56983.45</t>
  </si>
  <si>
    <t>BNF_R4 = 57076.75</t>
  </si>
  <si>
    <t>BNF_R4 = 57825.35</t>
  </si>
  <si>
    <t>BNF_R4 = 57512</t>
  </si>
  <si>
    <t>BNF_R4 = 57478.75</t>
  </si>
  <si>
    <t>BNF_R4 = 57661.6</t>
  </si>
  <si>
    <t>BNF_R4 = 58484.75</t>
  </si>
  <si>
    <t>BNF_R4 = 58896.45</t>
  </si>
  <si>
    <t>BNF_R4 = 58543.9</t>
  </si>
  <si>
    <t>BNF_R4 = 59330.15</t>
  </si>
  <si>
    <t>BNF_R4 = 59201.3</t>
  </si>
  <si>
    <t>BNF_R4 = 59257.85</t>
  </si>
  <si>
    <t>BNF_R4 = 59301</t>
  </si>
  <si>
    <t>BNF_R4 = 59150.95</t>
  </si>
  <si>
    <t>BNF_R4 = 58695.1</t>
  </si>
  <si>
    <t>BNF_R4 = 58972.35</t>
  </si>
  <si>
    <t>BNF_R4 = 59159.75</t>
  </si>
  <si>
    <t>BNF_R4 = 58600.45</t>
  </si>
  <si>
    <t>BNF_R4 = 58402.35</t>
  </si>
  <si>
    <t>BNF_R4 = 59563.8</t>
  </si>
  <si>
    <t>BNF_R4 = 58439.55</t>
  </si>
  <si>
    <t>BNF_R4 = 59324.35</t>
  </si>
  <si>
    <t>BNF_R4 = 58946.35</t>
  </si>
  <si>
    <t>BNF_R4 = 59359.65</t>
  </si>
  <si>
    <t>BNF_R4 = 59597.85</t>
  </si>
  <si>
    <t>BNF_R4 = 59755.2</t>
  </si>
  <si>
    <t>BNF_R4 = 59508.75</t>
  </si>
  <si>
    <t>BNF_R4 = 60367.45</t>
  </si>
  <si>
    <t>BNF_R4 = 59977.4</t>
  </si>
  <si>
    <t>BNF_R4 = 59684.7</t>
  </si>
  <si>
    <t>BNF_R4 = 60156.15</t>
  </si>
  <si>
    <t>BNF_R4 = 59660.2</t>
  </si>
  <si>
    <t>BNF_R4 = 61071.85</t>
  </si>
  <si>
    <t>BNF_R4 = 60424.5</t>
  </si>
  <si>
    <t>BNF_R4 = 60349.8</t>
  </si>
  <si>
    <t>BNF_R4 = 60854.75</t>
  </si>
  <si>
    <t>BNF_R4 = 60083</t>
  </si>
  <si>
    <t>BNF_R4 = 60326.65</t>
  </si>
  <si>
    <t>BNF_R4 = 60261.8</t>
  </si>
  <si>
    <t>BNF_R4 = 61177.3</t>
  </si>
  <si>
    <t>BNF_R4 = 60603.65</t>
  </si>
  <si>
    <t>BNF_R4 = 60181.95</t>
  </si>
  <si>
    <t>BNF_R4 = 60134.4</t>
  </si>
  <si>
    <t>BNF_R4 = 60456.75</t>
  </si>
  <si>
    <t>BNF_R4 = 60031.65</t>
  </si>
  <si>
    <t>BNF_R4 = 60423.2</t>
  </si>
  <si>
    <t>BNF_R4 = 59772.4</t>
  </si>
  <si>
    <t>BNF_R4 = 59578.35</t>
  </si>
  <si>
    <t>BNF_R4 = 59909.45</t>
  </si>
  <si>
    <t>BNF_R4 = 59555.3</t>
  </si>
  <si>
    <t>BNF_R4 = 59735.4</t>
  </si>
  <si>
    <t>BNF_R4 = 59670.75</t>
  </si>
  <si>
    <t>BNF_R4 = 59903.4</t>
  </si>
  <si>
    <t>BNF_R4 = 59478.55</t>
  </si>
  <si>
    <t>BNF_R4 = 59594.05</t>
  </si>
  <si>
    <t>BNF_R4 = 60241.45</t>
  </si>
  <si>
    <t>BNF_R4 = 60740.05</t>
  </si>
  <si>
    <t>BNF_R4 = 60058.65</t>
  </si>
  <si>
    <t>BNF_R4 = 61081.95</t>
  </si>
  <si>
    <t>BNF_R3</t>
  </si>
  <si>
    <t>BNF_R3=57211.75</t>
  </si>
  <si>
    <t>BNF_R3=57618.95</t>
  </si>
  <si>
    <t>BNF_R3=57656.75</t>
  </si>
  <si>
    <t>BNF_R3=57617.1</t>
  </si>
  <si>
    <t>BNF_R3=57090.8</t>
  </si>
  <si>
    <t>BNF_R3=57933.3</t>
  </si>
  <si>
    <t>BNF_R3=57724.9</t>
  </si>
  <si>
    <t>BNF_R3=57934.25</t>
  </si>
  <si>
    <t>BNF_R3=57770.5</t>
  </si>
  <si>
    <t>BNF_R3=57717.9</t>
  </si>
  <si>
    <t>BNF_R3=57024</t>
  </si>
  <si>
    <t>BNF_R3=5651</t>
  </si>
  <si>
    <t>BNF_R3=56549.65</t>
  </si>
  <si>
    <t>BNF_R3=57255.15</t>
  </si>
  <si>
    <t>BNF_R3=56491.6</t>
  </si>
  <si>
    <t>BNF_R3=56083.9</t>
  </si>
  <si>
    <t>BNF_R3=56049.95</t>
  </si>
  <si>
    <t>BNF_R3=55902.85</t>
  </si>
  <si>
    <t>BNF_R3=56407.35</t>
  </si>
  <si>
    <t>BNF_R3=56216.8</t>
  </si>
  <si>
    <t>BNF_R3=55971.65</t>
  </si>
  <si>
    <t>BNF_R3=55651.8</t>
  </si>
  <si>
    <t>BNF_R3=55916.85</t>
  </si>
  <si>
    <t>BNF_R3=56553.55</t>
  </si>
  <si>
    <t>BNF_R3=56375.15</t>
  </si>
  <si>
    <t>BNF_R3=56050.2</t>
  </si>
  <si>
    <t>BNF_R3=56215.45</t>
  </si>
  <si>
    <t>BNF_R3=56204.45</t>
  </si>
  <si>
    <t>BNF_R3=55538.35</t>
  </si>
  <si>
    <t>BNF_R3=55553.65</t>
  </si>
  <si>
    <t>BNF_R3=54826.05</t>
  </si>
  <si>
    <t>BNF_R3 = 54438.5</t>
  </si>
  <si>
    <t>BNF_R3=54517.2</t>
  </si>
  <si>
    <t>BNF_R3=54604.9</t>
  </si>
  <si>
    <t>BNF_R3=54856.3</t>
  </si>
  <si>
    <t>BNF_R3=54838.75</t>
  </si>
  <si>
    <t>BNF_R3 = 54963.7</t>
  </si>
  <si>
    <t>BNF_R3 = 54899.55</t>
  </si>
  <si>
    <t>BNF_R3 = 54622.55</t>
  </si>
  <si>
    <t>BNF_R3 = 54999.35</t>
  </si>
  <si>
    <t>BNF_R3 = 55172.3</t>
  </si>
  <si>
    <t>BNF_R3 = 55186.15</t>
  </si>
  <si>
    <t>BNF_R3 = 55213.05</t>
  </si>
  <si>
    <t>BNF_R3 = 55703.8</t>
  </si>
  <si>
    <t>BNF_R3 = 56034.7</t>
  </si>
  <si>
    <t>BNF_R3 = 56222.5</t>
  </si>
  <si>
    <t>BNF_R3 = 55980.1</t>
  </si>
  <si>
    <t>BNF_R3 = 56012.95</t>
  </si>
  <si>
    <t>BNF_R3 = 56231.15</t>
  </si>
  <si>
    <t>BNF_R3 = 55878.9</t>
  </si>
  <si>
    <t>BNF_R3 = 55574.15</t>
  </si>
  <si>
    <t>BNF_R3 = 55339.95</t>
  </si>
  <si>
    <t>BNF_R3 = 55148.6</t>
  </si>
  <si>
    <t>BNF_R3 = 55075.05</t>
  </si>
  <si>
    <t>BNF_R3 = 56466.5</t>
  </si>
  <si>
    <t>BNF_R3 = 56184.25</t>
  </si>
  <si>
    <t>BNF_R3 = 56707.25</t>
  </si>
  <si>
    <t>BNF_R3 = 56963.6</t>
  </si>
  <si>
    <t>BNF_R3 = 56756.85</t>
  </si>
  <si>
    <t>BNF_R3 = 56813.25</t>
  </si>
  <si>
    <t>BNF_R3 = 57470.3</t>
  </si>
  <si>
    <t>BNF_R3 = 57264.95</t>
  </si>
  <si>
    <t>BNF_R3 = 57226.25</t>
  </si>
  <si>
    <t>BNF_R3 = 57415.3</t>
  </si>
  <si>
    <t>BNF_R3 = 58165.1</t>
  </si>
  <si>
    <t>BNF_R3 = 58541.05</t>
  </si>
  <si>
    <t>BNF_R3 = 58414.45</t>
  </si>
  <si>
    <t>BNF_R3 = 59079.25</t>
  </si>
  <si>
    <t>BNF_R3 = 58878.5</t>
  </si>
  <si>
    <t>BNF_R3 = 58913.4</t>
  </si>
  <si>
    <t>BNF_R3 = 58971.95</t>
  </si>
  <si>
    <t>BNF_R3 = 58923.95</t>
  </si>
  <si>
    <t>BNF_R3 = 58573.8</t>
  </si>
  <si>
    <t>BNF_R3 = 58733.2</t>
  </si>
  <si>
    <t>BNF_R3 = 58885.7</t>
  </si>
  <si>
    <t>BNF_R3 = 58440.2</t>
  </si>
  <si>
    <t>BNF_R3 = 58249.9</t>
  </si>
  <si>
    <t>BNF_R3 = 59043</t>
  </si>
  <si>
    <t>BNF_R3 = 58325.45</t>
  </si>
  <si>
    <t>BNF_R3 = 58945.35</t>
  </si>
  <si>
    <t>BNF_R3 = 58800.15</t>
  </si>
  <si>
    <t>BNF_R3 = 59111.75</t>
  </si>
  <si>
    <t>BNF_R3 = 59261.95</t>
  </si>
  <si>
    <t>BNF_R3 = 59504</t>
  </si>
  <si>
    <t>BNF_R3 = 59373.7</t>
  </si>
  <si>
    <t>BNF_R3 = 59999.7</t>
  </si>
  <si>
    <t>BNF_R3 = 59798.3</t>
  </si>
  <si>
    <t>BNF_R3 = 59533.85</t>
  </si>
  <si>
    <t>BNF_R3 = 59874.05</t>
  </si>
  <si>
    <t>BNF_R3 = 59495.5</t>
  </si>
  <si>
    <t>BNF_R3 = 60566.2</t>
  </si>
  <si>
    <t>BNF_R3 = 60238.55</t>
  </si>
  <si>
    <t>BNF_R3 = 60199.05</t>
  </si>
  <si>
    <t>BNF_R3 = 60607.95</t>
  </si>
  <si>
    <t>BNF_R3 = 59940.85</t>
  </si>
  <si>
    <t>BNF_R3 = 60022.75</t>
  </si>
  <si>
    <t>BNF_R3 = 60024.1</t>
  </si>
  <si>
    <t>BNF_R3 = 60720.4</t>
  </si>
  <si>
    <t>BNF_R3 = 60306.8</t>
  </si>
  <si>
    <t>BNF_R3 = 59907.4</t>
  </si>
  <si>
    <t>BNF_R3 = 59903.25</t>
  </si>
  <si>
    <t>BNF_R3 = 60112.3</t>
  </si>
  <si>
    <t>BNF_R3 = 59869.65</t>
  </si>
  <si>
    <t>BNF_R3 = 60126.45</t>
  </si>
  <si>
    <t>BNF_R3 = 59626.7</t>
  </si>
  <si>
    <t>BNF_R3 = 59427.95</t>
  </si>
  <si>
    <t>BNF_R3 = 59676.65</t>
  </si>
  <si>
    <t>BNF_R3 = 59417.05</t>
  </si>
  <si>
    <t>BNF_R3 = 59614</t>
  </si>
  <si>
    <t>BNF_R3 = 59581.3</t>
  </si>
  <si>
    <t>BNF_R3 = 59761.65</t>
  </si>
  <si>
    <t>BNF_R3 = 59379.25</t>
  </si>
  <si>
    <t>BNF_R3 = 59442.85</t>
  </si>
  <si>
    <t>BNF_R3 = 59918.55</t>
  </si>
  <si>
    <t>BNF_R3 = 60415.45</t>
  </si>
  <si>
    <t>BNF_R3 = 59953.5</t>
  </si>
  <si>
    <t>BNF_R3 = 60789.2</t>
  </si>
  <si>
    <t>BNF_R2</t>
  </si>
  <si>
    <t>BNF_R2=57054</t>
  </si>
  <si>
    <t>BNF_R2=5737.95</t>
  </si>
  <si>
    <t>BNF_R2=57466.65</t>
  </si>
  <si>
    <t>BNF_R2=57439.95</t>
  </si>
  <si>
    <t>BNF_R2=56897.95</t>
  </si>
  <si>
    <t>BNF_R2=57458.4</t>
  </si>
  <si>
    <t>BNF_R2=57505.55</t>
  </si>
  <si>
    <t>BNF_R2=57591.6</t>
  </si>
  <si>
    <t>BNF_R2=57543.55</t>
  </si>
  <si>
    <t>BNF_R2=57444.3</t>
  </si>
  <si>
    <t>BNF_R2=56801.2</t>
  </si>
  <si>
    <t>BNF_R2=56573.7</t>
  </si>
  <si>
    <t>BNF_R2=56435.4</t>
  </si>
  <si>
    <t>BNF_R2=56830.7</t>
  </si>
  <si>
    <t>BNF_R2=56294.6</t>
  </si>
  <si>
    <t>BNF_R2=55918.2</t>
  </si>
  <si>
    <t>BNF_R2=55849.05</t>
  </si>
  <si>
    <t>BNF_R2=55731.1</t>
  </si>
  <si>
    <t>BNF_R2=56011.1</t>
  </si>
  <si>
    <t>BNF_R2=5593.7</t>
  </si>
  <si>
    <t>BNF_R2=55994.75</t>
  </si>
  <si>
    <t>BNF_R2=55769.15</t>
  </si>
  <si>
    <t>BNF_R2=55495.9</t>
  </si>
  <si>
    <t>BNF_R2=55694.8</t>
  </si>
  <si>
    <t>BNF_R2=56354.95</t>
  </si>
  <si>
    <t>BNF_R2=6170.35</t>
  </si>
  <si>
    <t>BNF_R2=55931.4</t>
  </si>
  <si>
    <t>BNF_R2=56104.55</t>
  </si>
  <si>
    <t>BNF_R2=55974.75</t>
  </si>
  <si>
    <t>BNF_R2=55422.15</t>
  </si>
  <si>
    <t>BNF_R2=55311.3</t>
  </si>
  <si>
    <t>BNF_R2=54604.15</t>
  </si>
  <si>
    <t>BNF_R2 = 54262.25</t>
  </si>
  <si>
    <t>BNF_R2=54276.5</t>
  </si>
  <si>
    <t>BNF_R2=54382.95</t>
  </si>
  <si>
    <t>BNF_R2=54496.2</t>
  </si>
  <si>
    <t>BNF_R2=54644.65</t>
  </si>
  <si>
    <t>BNF_R2 = 54635.9</t>
  </si>
  <si>
    <t>BNF_R2 = 54709.15</t>
  </si>
  <si>
    <t>BNF_R2 = 54486.6</t>
  </si>
  <si>
    <t>BNF_R2 = 54852.25</t>
  </si>
  <si>
    <t>BNF_R2 = 54964.85</t>
  </si>
  <si>
    <t>BNF_R2 = 55019.2</t>
  </si>
  <si>
    <t>BNF_R2 = 55115.9</t>
  </si>
  <si>
    <t>BNF_R2 = 55444.65</t>
  </si>
  <si>
    <t>BNF_R2 = 55787.75</t>
  </si>
  <si>
    <t>BNF_R2 = 56028.9</t>
  </si>
  <si>
    <t>BNF_R2 = 55834.4</t>
  </si>
  <si>
    <t>BNF_R2 = 55839.65</t>
  </si>
  <si>
    <t>BNF_R2 = 55946.6</t>
  </si>
  <si>
    <t>BNF_R2 = 55695</t>
  </si>
  <si>
    <t>BNF_R2 = 55425.40</t>
  </si>
  <si>
    <t>BNF_R2 = 55118.5</t>
  </si>
  <si>
    <t>BNF_R2 = 54917.35</t>
  </si>
  <si>
    <t>BNF_R2 = 54934.05</t>
  </si>
  <si>
    <t>BNF_R2 = 55936.6</t>
  </si>
  <si>
    <t>BNF_R2 = 55900.35</t>
  </si>
  <si>
    <t>BNF_R2 = 56435.7</t>
  </si>
  <si>
    <t>BNF_R2 = 56733</t>
  </si>
  <si>
    <t>BNF_R2 = 56530.2</t>
  </si>
  <si>
    <t>BNF_R2 = 56549.75</t>
  </si>
  <si>
    <t>BNF_R2 = 57115.3</t>
  </si>
  <si>
    <t>BNF_R2 = 57017.95</t>
  </si>
  <si>
    <t>BNF_R2 = 56973.8</t>
  </si>
  <si>
    <t>BNF_R2 = 57169</t>
  </si>
  <si>
    <t>BNF_R2 = 57845.45</t>
  </si>
  <si>
    <t>BNF_R2 = 58185.6</t>
  </si>
  <si>
    <t>BNF_R2 = 58285</t>
  </si>
  <si>
    <t>BNF_R2 = 58828.4</t>
  </si>
  <si>
    <t>BNF_R2 = 58555.7</t>
  </si>
  <si>
    <t>BNF_R2 = 58569</t>
  </si>
  <si>
    <t>BNF_R2 = 58642.85</t>
  </si>
  <si>
    <t>BNF_R2 = 58696.9</t>
  </si>
  <si>
    <t>BNF_R2 = 58452.5</t>
  </si>
  <si>
    <t>BNF_R2 = 58494.1</t>
  </si>
  <si>
    <t>BNF_R2 = 58551.6</t>
  </si>
  <si>
    <t>BNF_R2 = 58279.9</t>
  </si>
  <si>
    <t>BNF_R2 = 58097.5</t>
  </si>
  <si>
    <t>BNF_R2 = 58522.15</t>
  </si>
  <si>
    <t>BNF_R2 = 58211.3</t>
  </si>
  <si>
    <t>BNF_R2 = 58566.35</t>
  </si>
  <si>
    <t>BNF_R2 = 58653.9</t>
  </si>
  <si>
    <t>BNF_R2 = 58863.85</t>
  </si>
  <si>
    <t>BNF_R2 = 58926.05</t>
  </si>
  <si>
    <t>BNF_R2 = 59252.75</t>
  </si>
  <si>
    <t>BNF_R2 = 59238.7</t>
  </si>
  <si>
    <t>BNF_R2 = 59632</t>
  </si>
  <si>
    <t>BNF_R2 = 59619.2</t>
  </si>
  <si>
    <t>BNF_R2 = 59383</t>
  </si>
  <si>
    <t>BNF_R2 = 59592</t>
  </si>
  <si>
    <t>BNF_R2 = 59330.85</t>
  </si>
  <si>
    <t>BNF_R2 = 60060.6</t>
  </si>
  <si>
    <t>BNF_R2 = 60052.55</t>
  </si>
  <si>
    <t>BNF_R2 = 60048.25</t>
  </si>
  <si>
    <t>BNF_R2 = 60361.1</t>
  </si>
  <si>
    <t>BNF_R2 = 59798.7</t>
  </si>
  <si>
    <t>BNF_R2 = 59718.8</t>
  </si>
  <si>
    <t>BNF_R2 = 59786.4</t>
  </si>
  <si>
    <t>BNF_R2 = 60263.5</t>
  </si>
  <si>
    <t>BNF_R2 = 60010</t>
  </si>
  <si>
    <t>BNF_R2 = 59632.8</t>
  </si>
  <si>
    <t>BNF_R2 = 59672.05</t>
  </si>
  <si>
    <t>BNF_R2 = 59767.8</t>
  </si>
  <si>
    <t>BNF_R2 = 59707.7</t>
  </si>
  <si>
    <t>BNF_R2 = 59829.75</t>
  </si>
  <si>
    <t>BNF_R2 = 59480.95</t>
  </si>
  <si>
    <t>BNF_R2 = 59277.6</t>
  </si>
  <si>
    <t>BNF_R2 = 59443.8</t>
  </si>
  <si>
    <t>BNF_R2 = 59278.8</t>
  </si>
  <si>
    <t>BNF_R2 = 59492.6</t>
  </si>
  <si>
    <t>BNF_R2 = 59491.8</t>
  </si>
  <si>
    <t>BNF_R2 = 59619.9</t>
  </si>
  <si>
    <t>BNF_R2 = 59279.95</t>
  </si>
  <si>
    <t>BNF_R2 = 59291.65</t>
  </si>
  <si>
    <t>BNF_R2 = 59595.6</t>
  </si>
  <si>
    <t>BNF_R2 = 60090.8</t>
  </si>
  <si>
    <t>BNF_R2 = 59848.35</t>
  </si>
  <si>
    <t>BNF_R2 = 60496.5</t>
  </si>
  <si>
    <t>BNF_R1</t>
  </si>
  <si>
    <t>BNF_R1=56909.7</t>
  </si>
  <si>
    <t>BNF_R1=57191.8</t>
  </si>
  <si>
    <t>BNF_R1=57317.8</t>
  </si>
  <si>
    <t>BNF_R1=57134.4</t>
  </si>
  <si>
    <t>BNF_R1=56590.5</t>
  </si>
  <si>
    <t>BNF_R1=57205.55</t>
  </si>
  <si>
    <t>BNF_R1=57130.75</t>
  </si>
  <si>
    <t>BNF_R1=57401.05</t>
  </si>
  <si>
    <t>BNF_R1=57304.8</t>
  </si>
  <si>
    <t>BNF_R1=56956.6</t>
  </si>
  <si>
    <t>BNF_R1=56443.05</t>
  </si>
  <si>
    <t>BNF_R1=56397.85</t>
  </si>
  <si>
    <t>BNF_R1=56293.05</t>
  </si>
  <si>
    <t>BNF_R1=56396.3</t>
  </si>
  <si>
    <t>BNF_R1=55956.1</t>
  </si>
  <si>
    <t>BNF_R1=55768.5</t>
  </si>
  <si>
    <t>BNF_R1=55604.65</t>
  </si>
  <si>
    <t>BNF_R1=55571.1</t>
  </si>
  <si>
    <t>BNF_R1=55766.1</t>
  </si>
  <si>
    <t>BNF_R1=55469.8</t>
  </si>
  <si>
    <t>BNF_R1=55752.75</t>
  </si>
  <si>
    <t>BNF_R1=55406.45</t>
  </si>
  <si>
    <t>BNF_R1=55338.7</t>
  </si>
  <si>
    <t>BNF_R1=55518.35</t>
  </si>
  <si>
    <t>BNF_R1=56044.9</t>
  </si>
  <si>
    <t>BNF_R1=56017.75</t>
  </si>
  <si>
    <t>BNF_R1=55814.95</t>
  </si>
  <si>
    <t>BNF_R1=55930</t>
  </si>
  <si>
    <t>BNF_R1=55562.05</t>
  </si>
  <si>
    <t>BNF_R1=55280.75</t>
  </si>
  <si>
    <t>BNF_R1=54880.85</t>
  </si>
  <si>
    <t>BNF_R1=54212.25</t>
  </si>
  <si>
    <t>BNF_R1 = 53958.95</t>
  </si>
  <si>
    <t>BNF_R1=54139.5</t>
  </si>
  <si>
    <t>BNF_R1=54021.95</t>
  </si>
  <si>
    <t>BNF_R1=54281.9</t>
  </si>
  <si>
    <t>BNF_R1=54360.05</t>
  </si>
  <si>
    <t>BNF_R1 = 54375.2</t>
  </si>
  <si>
    <t>BNF_R1 = 54448</t>
  </si>
  <si>
    <t>BNF_R1 = 54351.35</t>
  </si>
  <si>
    <t>BNF_R1 = 54694.15</t>
  </si>
  <si>
    <t>BNF_R1 = 54817.25</t>
  </si>
  <si>
    <t>BNF_R1 = 54914.25</t>
  </si>
  <si>
    <t>BNF_R1 = 55001.85</t>
  </si>
  <si>
    <t>BNF_R1 = 55296.1</t>
  </si>
  <si>
    <t>BNF_R1 = 55640.5</t>
  </si>
  <si>
    <t>BNF_R1 = 55878.15</t>
  </si>
  <si>
    <t>BNF_R1 = 55646.65</t>
  </si>
  <si>
    <t>BNF_R1 = 55562.2</t>
  </si>
  <si>
    <t>BNF_R1 = 55728.15</t>
  </si>
  <si>
    <t>BNF_R1 = 55408.25</t>
  </si>
  <si>
    <t>BNF_R1 = 55200.80</t>
  </si>
  <si>
    <t>BNF_R1 = 54753.9</t>
  </si>
  <si>
    <t>BNF_R1 = 54689.15</t>
  </si>
  <si>
    <t>BNF_R1 = 54784.95</t>
  </si>
  <si>
    <t>BNF_R1 = 55642.3</t>
  </si>
  <si>
    <t>BNF_R1 = 55744.8</t>
  </si>
  <si>
    <t>BNF_R1 = 56270.3</t>
  </si>
  <si>
    <t>BNF_R1 = 56486.2</t>
  </si>
  <si>
    <t>BNF_R1 = 56274.25</t>
  </si>
  <si>
    <t>BNF_R1 = 56370.9</t>
  </si>
  <si>
    <t>BNF_R1 = 56862.5</t>
  </si>
  <si>
    <t>BNF_R1 = 56821.45</t>
  </si>
  <si>
    <t>BNF_R1 = 56735.1</t>
  </si>
  <si>
    <t>BNF_R1 = 56984.45</t>
  </si>
  <si>
    <t>BNF_R1 = 57634</t>
  </si>
  <si>
    <t>BNF_R1 = 57949.5</t>
  </si>
  <si>
    <t>BNF_R1 = 58146.1</t>
  </si>
  <si>
    <t>BNF_R1 = 58453.2</t>
  </si>
  <si>
    <t>BNF_R1 = 58127.65</t>
  </si>
  <si>
    <t>BNF_R1 = 58341.6</t>
  </si>
  <si>
    <t>BNF_R1 = 58428.5</t>
  </si>
  <si>
    <t>BNF_R1 = 58541.1</t>
  </si>
  <si>
    <t>BNF_R1 = 58241.8</t>
  </si>
  <si>
    <t>BNF_R1 = 58135.2</t>
  </si>
  <si>
    <t>BNF_R1 = 58326.55</t>
  </si>
  <si>
    <t>BNF_R1 = 58053.5</t>
  </si>
  <si>
    <t>BNF_R1 = 57825.85</t>
  </si>
  <si>
    <t>BNF_R1 = 58199.5</t>
  </si>
  <si>
    <t>BNF_R1 = 58074.45</t>
  </si>
  <si>
    <t>BNF_R1 = 58352.25</t>
  </si>
  <si>
    <t>BNF_R1 = 58464.3</t>
  </si>
  <si>
    <t>BNF_R1 = 58622.9</t>
  </si>
  <si>
    <t>BNF_R1 = 58721.8</t>
  </si>
  <si>
    <t>BNF_R1 = 59107.75</t>
  </si>
  <si>
    <t>BNF_R1 = 59068.95</t>
  </si>
  <si>
    <t>BNF_R1 = 59424</t>
  </si>
  <si>
    <t>BNF_R1 = 59483.45</t>
  </si>
  <si>
    <t>BNF_R1 = 59125.35</t>
  </si>
  <si>
    <t>BNF_R1 = 59213.65</t>
  </si>
  <si>
    <t>BNF_R1 = 59075.55</t>
  </si>
  <si>
    <t>BNF_R1 = 59794.3</t>
  </si>
  <si>
    <t>BNF_R1 = 59894.95</t>
  </si>
  <si>
    <t>BNF_R1 = 59900.5</t>
  </si>
  <si>
    <t>BNF_R1 = 60021.25</t>
  </si>
  <si>
    <t>BNF_R1 = 59536.25</t>
  </si>
  <si>
    <t>BNF_R1 = 59533.55</t>
  </si>
  <si>
    <t>BNF_R1 = 59537.55</t>
  </si>
  <si>
    <t>BNF_R1 = 60020.35</t>
  </si>
  <si>
    <t>BNF_R1 = 59624.25</t>
  </si>
  <si>
    <t>BNF_R1 = 59427.6</t>
  </si>
  <si>
    <t>BNF_R1 = 59316.25</t>
  </si>
  <si>
    <t>BNF_R1 = 59488.85</t>
  </si>
  <si>
    <t>BNF_R1 = 59548.8</t>
  </si>
  <si>
    <t>BNF_R1 = 59645.75</t>
  </si>
  <si>
    <t>BNF_R1 = 59257.8</t>
  </si>
  <si>
    <t>BNF_R1 = 59102.15</t>
  </si>
  <si>
    <t>BNF_R1 = 59178.35</t>
  </si>
  <si>
    <t>BNF_R1 = 59174</t>
  </si>
  <si>
    <t>BNF_R1 = 59398.3</t>
  </si>
  <si>
    <t>BNF_R1 = 59395.7</t>
  </si>
  <si>
    <t>BNF_R1 = 59401.75</t>
  </si>
  <si>
    <t>BNF_R1 = 59145.65</t>
  </si>
  <si>
    <t>BNF_R1 = 59112</t>
  </si>
  <si>
    <t>BNF_R1 = 59383.45</t>
  </si>
  <si>
    <t>BNF_R1 = 59836.35</t>
  </si>
  <si>
    <t>BNF_R1 = 59779.95</t>
  </si>
  <si>
    <t>BNF_R1 = 60323.7</t>
  </si>
  <si>
    <t>BNF_CP</t>
  </si>
  <si>
    <t>BNF_CP=56751.95</t>
  </si>
  <si>
    <t>BNF_CP=56949.8</t>
  </si>
  <si>
    <t>BNF_CP=57127.7</t>
  </si>
  <si>
    <t>BNF_CP=56957.25</t>
  </si>
  <si>
    <t>BNF_CP=56397.65</t>
  </si>
  <si>
    <t>BNF_CP=56730.65</t>
  </si>
  <si>
    <t>BNF_CP=56911.4</t>
  </si>
  <si>
    <t>BNF_CP=57058.4</t>
  </si>
  <si>
    <t>BNF_CP=57077.85</t>
  </si>
  <si>
    <t>BNF_CP=56713</t>
  </si>
  <si>
    <t>BNF_CP=56220.25</t>
  </si>
  <si>
    <t>BNF_CP=56120.55</t>
  </si>
  <si>
    <t>BNF_CP=56178.8</t>
  </si>
  <si>
    <t>BNF_CP=55971.85</t>
  </si>
  <si>
    <t>BNF_CP=55759.1</t>
  </si>
  <si>
    <t>BNF_CP=55603.05</t>
  </si>
  <si>
    <t>BNF_CP=55403.75</t>
  </si>
  <si>
    <t>BNF_CP=55399.4</t>
  </si>
  <si>
    <t>BNF_CP=55369.85</t>
  </si>
  <si>
    <t>BNF_CP=55187.7</t>
  </si>
  <si>
    <t>BNF_CP=55340.15</t>
  </si>
  <si>
    <t>BNF_CP=55203.95</t>
  </si>
  <si>
    <t>BNF_CP=55182</t>
  </si>
  <si>
    <t>BNF_CP=55296.3</t>
  </si>
  <si>
    <t>BNF_CP=55846.3</t>
  </si>
  <si>
    <t>BNF_CP=55812.95</t>
  </si>
  <si>
    <t>BNF_CP=55896.15</t>
  </si>
  <si>
    <t>BNF_CP=55819.1</t>
  </si>
  <si>
    <t>BNF_CP=55332.35</t>
  </si>
  <si>
    <t>BNF_CP=55184.55</t>
  </si>
  <si>
    <t>BNF_CP=54638.5</t>
  </si>
  <si>
    <t>BNF_CP=53990.35</t>
  </si>
  <si>
    <t>BNF_CP = 53782.7</t>
  </si>
  <si>
    <t>BNF_CP=53898.8</t>
  </si>
  <si>
    <t>BNF_CP=53800</t>
  </si>
  <si>
    <t>BNF_CP=53921.8</t>
  </si>
  <si>
    <t>BNF_CP=54165.95</t>
  </si>
  <si>
    <t>BNF_CP = 54047.4</t>
  </si>
  <si>
    <t>BNF_CP = 54257.6</t>
  </si>
  <si>
    <t>BNF_CP = 54215.4</t>
  </si>
  <si>
    <t>BNF_CP = 54547.05</t>
  </si>
  <si>
    <t>BNF_CP = 54609.8</t>
  </si>
  <si>
    <t>BNF_CP = 54747.3</t>
  </si>
  <si>
    <t>BNF_CP = 54904.7</t>
  </si>
  <si>
    <t>BNF_CP = 55036.95</t>
  </si>
  <si>
    <t>BNF_CP = 55393.55</t>
  </si>
  <si>
    <t>BNF_CP = 55684.55</t>
  </si>
  <si>
    <t>BNF_CP = 55500.95</t>
  </si>
  <si>
    <t>BNF_CP = 55388.9</t>
  </si>
  <si>
    <t>BNF_CP = 55443.6</t>
  </si>
  <si>
    <t>BNF_CP = 55224.35</t>
  </si>
  <si>
    <t>BNF_CP = 55052.05</t>
  </si>
  <si>
    <t>BNF_CP = 54532.45</t>
  </si>
  <si>
    <t>BNF_CP = 54457.9</t>
  </si>
  <si>
    <t>BNF_CP = 54643.95</t>
  </si>
  <si>
    <t>BNF_CP = 55112.4</t>
  </si>
  <si>
    <t>BNF_CP = 55460.9</t>
  </si>
  <si>
    <t>BNF_CP = 55998.75</t>
  </si>
  <si>
    <t>BNF_CP = 56255.6</t>
  </si>
  <si>
    <t>BNF_CP = 56047.6</t>
  </si>
  <si>
    <t>BNF_CP = 56107.4</t>
  </si>
  <si>
    <t>BNF_CP = 56507.5</t>
  </si>
  <si>
    <t>BNF_CP = 56574.45</t>
  </si>
  <si>
    <t>BNF_CP = 56482.65</t>
  </si>
  <si>
    <t>BNF_CP = 56738.15</t>
  </si>
  <si>
    <t>BNF_CP = 57314.35</t>
  </si>
  <si>
    <t>BNF_CP = 57594.05</t>
  </si>
  <si>
    <t>BNF_CP = 58016.65</t>
  </si>
  <si>
    <t>BNF_CP = 58202.35</t>
  </si>
  <si>
    <t>BNF_CP = 57804.85</t>
  </si>
  <si>
    <t>BNF_CP = 57997.2</t>
  </si>
  <si>
    <t>BNF_CP = 58099.4</t>
  </si>
  <si>
    <t>BNF_CP = 58314.05</t>
  </si>
  <si>
    <t>BNF_CP = 58120.5</t>
  </si>
  <si>
    <t>BNF_CP = 57896.1</t>
  </si>
  <si>
    <t>BNF_CP = 58022.45</t>
  </si>
  <si>
    <t>BNF_CP = 57893.2</t>
  </si>
  <si>
    <t>BNF_CP = 57673.45</t>
  </si>
  <si>
    <t>BNF_CP = 57678.65</t>
  </si>
  <si>
    <t>BNF_CP = 57960.3</t>
  </si>
  <si>
    <t>BNF_CP = 57973.25</t>
  </si>
  <si>
    <t>BNF_CP = 58318.05</t>
  </si>
  <si>
    <t>BNF_CP = 58375</t>
  </si>
  <si>
    <t>BNF_CP = 58385.9</t>
  </si>
  <si>
    <t>BNF_CP = 58856.5</t>
  </si>
  <si>
    <t>BNF_CP = 58933.95</t>
  </si>
  <si>
    <t>BNF_CP = 59056.3</t>
  </si>
  <si>
    <t>BNF_CP = 59304.35</t>
  </si>
  <si>
    <t>BNF_CP = 58974.5</t>
  </si>
  <si>
    <t>BNF_CP = 58931.6</t>
  </si>
  <si>
    <t>BNF_CP = 58910.9</t>
  </si>
  <si>
    <t>BNF_CP = 59288.7</t>
  </si>
  <si>
    <t>BNF_CP = 59708.95</t>
  </si>
  <si>
    <t>BNF_CP = 59749.7</t>
  </si>
  <si>
    <t>BNF_CP = 59774.4</t>
  </si>
  <si>
    <t>BNF_CP = 59394.1</t>
  </si>
  <si>
    <t>BNF_CP = 59229.6</t>
  </si>
  <si>
    <t>BNF_CP = 59299.85</t>
  </si>
  <si>
    <t>BNF_CP = 59563.45</t>
  </si>
  <si>
    <t>BNF_CP = 59327.45</t>
  </si>
  <si>
    <t>BNF_CP = 59153</t>
  </si>
  <si>
    <t>BNF_CP = 59085.05</t>
  </si>
  <si>
    <t>BNF_CP = 59144.35</t>
  </si>
  <si>
    <t>BNF_CP = 59386.85</t>
  </si>
  <si>
    <t>BNF_CP = 59349.05</t>
  </si>
  <si>
    <t>BNF_CP = 59112.05</t>
  </si>
  <si>
    <t>BNF_CP = 58951.8</t>
  </si>
  <si>
    <t>BNF_CP = 58945.5</t>
  </si>
  <si>
    <t>BNF_CP = 59035.75</t>
  </si>
  <si>
    <t>BNF_CP = 59276.9</t>
  </si>
  <si>
    <t>BNF_CP = 59306.2</t>
  </si>
  <si>
    <t>BNF_CP = 59260</t>
  </si>
  <si>
    <t>BNF_CP = 59046.35</t>
  </si>
  <si>
    <t>BNF_CP = 58960.75</t>
  </si>
  <si>
    <t>BNF_CP = 59060.5</t>
  </si>
  <si>
    <t>BNF_CP = 59511.7</t>
  </si>
  <si>
    <t>BNF_CP = 59674.8</t>
  </si>
  <si>
    <t>BNF_CP = 60031</t>
  </si>
  <si>
    <t>BNF_S1</t>
  </si>
  <si>
    <t>BNF_S1=56607.65</t>
  </si>
  <si>
    <t>BNF_S1=56764.65</t>
  </si>
  <si>
    <t>BNF_S1=56978.85</t>
  </si>
  <si>
    <t>BNF_S1=56651.7</t>
  </si>
  <si>
    <t>BNF_S1=56090.2</t>
  </si>
  <si>
    <t>BNF_S1=56477.8</t>
  </si>
  <si>
    <t>BNF_S1=56536.6</t>
  </si>
  <si>
    <t>BNF_S1=56867.85</t>
  </si>
  <si>
    <t>BNF_S1=56839.1</t>
  </si>
  <si>
    <t>BNF_S1=56255.3</t>
  </si>
  <si>
    <t>BNF_S1=55862.1</t>
  </si>
  <si>
    <t>BNF_S1=55944.7</t>
  </si>
  <si>
    <t>BNF_S1=56036.45</t>
  </si>
  <si>
    <t>BNF_S1=55537.45</t>
  </si>
  <si>
    <t>BNF_S1=55420.6</t>
  </si>
  <si>
    <t>BNF_S1=55453.6</t>
  </si>
  <si>
    <t>BNF_S1=55159.35</t>
  </si>
  <si>
    <t>BNF_S1=55239.45</t>
  </si>
  <si>
    <t>BNF_S1=55124.85</t>
  </si>
  <si>
    <t>BNF_S1=54722.8</t>
  </si>
  <si>
    <t>BNF_S1=55098.15</t>
  </si>
  <si>
    <t>BNF_S1=54841.25</t>
  </si>
  <si>
    <t>BNF_S1=55025.6</t>
  </si>
  <si>
    <t>BNF_S1=5519.85</t>
  </si>
  <si>
    <t>BNF_S1=55536.25</t>
  </si>
  <si>
    <t>BNF_S1=55660.35</t>
  </si>
  <si>
    <t>BNF_S1=55579.7</t>
  </si>
  <si>
    <t>BNF_S1=55644.55</t>
  </si>
  <si>
    <t>BNF_S1=54919.65</t>
  </si>
  <si>
    <t>BNF_S1=55023.15</t>
  </si>
  <si>
    <t>BNF_S1=54208.05</t>
  </si>
  <si>
    <t>BNF_S1=53598.45</t>
  </si>
  <si>
    <t>BNF_S1 = 53479.4</t>
  </si>
  <si>
    <t>BNF_S1=53761</t>
  </si>
  <si>
    <t>BNF_S1=53439</t>
  </si>
  <si>
    <t>BNF_S1=53707.5</t>
  </si>
  <si>
    <t>BNF_S1=53881.35</t>
  </si>
  <si>
    <t>BNF_S1 = 53786.7</t>
  </si>
  <si>
    <t>BNF_S1 = 53996.45</t>
  </si>
  <si>
    <t>BNF_S1 = 54080.15</t>
  </si>
  <si>
    <t>BNF_S1 = 54388.95</t>
  </si>
  <si>
    <t>BNF_S1 = 54462.2</t>
  </si>
  <si>
    <t>BNF_S1 = 54642.35</t>
  </si>
  <si>
    <t>BNF_S1 = 54790.65</t>
  </si>
  <si>
    <t>BNF_S1 = 54888.4</t>
  </si>
  <si>
    <t>BNF_S1 = 55246.3</t>
  </si>
  <si>
    <t>BNF_S1 = 55533.8</t>
  </si>
  <si>
    <t>BNF_S1 = 55313.2</t>
  </si>
  <si>
    <t>BNF_S1 = 55111.45</t>
  </si>
  <si>
    <t>BNF_S1 = 55225.15</t>
  </si>
  <si>
    <t>BNF_S1 = 54937.6</t>
  </si>
  <si>
    <t>BNF_S1 = 54827.45</t>
  </si>
  <si>
    <t>BNF_S1 = 54167.85</t>
  </si>
  <si>
    <t>BNF_S1 = 54229.7</t>
  </si>
  <si>
    <t>BNF_S1 = 54494.85</t>
  </si>
  <si>
    <t>BNF_S1 = 54818.1</t>
  </si>
  <si>
    <t>BNF_S1 = 55305.35</t>
  </si>
  <si>
    <t>BNF_S1 = 55833.35</t>
  </si>
  <si>
    <t>BNF_S1 = 56008.8</t>
  </si>
  <si>
    <t>BNF_S1 = 55791.65</t>
  </si>
  <si>
    <t>BNF_S1 = 55928.55</t>
  </si>
  <si>
    <t>BNF_S1 = 56254.7</t>
  </si>
  <si>
    <t>BNF_S1 = 56377.95</t>
  </si>
  <si>
    <t>BNF_S1 = 56243.95</t>
  </si>
  <si>
    <t>BNF_S1 = 56553.6</t>
  </si>
  <si>
    <t>BNF_S1 = 57102.9</t>
  </si>
  <si>
    <t>BNF_S1 = 57357.95</t>
  </si>
  <si>
    <t>BNF_S1 = 57877.75</t>
  </si>
  <si>
    <t>BNF_S1 = 57827.15</t>
  </si>
  <si>
    <t>BNF_S1 = 57376.8</t>
  </si>
  <si>
    <t>BNF_S1 = 57769.8</t>
  </si>
  <si>
    <t>BNF_S1 = 57885.05</t>
  </si>
  <si>
    <t>BNF_S1 = 58158.25</t>
  </si>
  <si>
    <t>BNF_S1 = 57909.8</t>
  </si>
  <si>
    <t>BNF_S1 = 57537.2</t>
  </si>
  <si>
    <t>BNF_S1 = 57797.4</t>
  </si>
  <si>
    <t>BNF_S1 = 57666.8</t>
  </si>
  <si>
    <t>BNF_S1 = 57401.8</t>
  </si>
  <si>
    <t>BNF_S1 = 57356</t>
  </si>
  <si>
    <t>BNF_S1 = 57823.45</t>
  </si>
  <si>
    <t>BNF_S1 = 57759.15</t>
  </si>
  <si>
    <t>BNF_S1 = 58128.45</t>
  </si>
  <si>
    <t>BNF_S1 = 58134.05</t>
  </si>
  <si>
    <t>BNF_S1 = 58181.65</t>
  </si>
  <si>
    <t>BNF_S1 = 58711.5</t>
  </si>
  <si>
    <t>BNF_S1 = 58764.2</t>
  </si>
  <si>
    <t>BNF_S1 = 58848.3</t>
  </si>
  <si>
    <t>BNF_S1 = 59168.6</t>
  </si>
  <si>
    <t>BNF_S1 = 58716.85</t>
  </si>
  <si>
    <t>BNF_S1 = 58553.25</t>
  </si>
  <si>
    <t>BNF_S1 = 58655.6</t>
  </si>
  <si>
    <t>BNF_S1 = 59022.4</t>
  </si>
  <si>
    <t>BNF_S1 = 59551.35</t>
  </si>
  <si>
    <t>BNF_S1 = 59601.95</t>
  </si>
  <si>
    <t>BNF_S1 = 59434.55</t>
  </si>
  <si>
    <t>BNF_S1 = 59131.65</t>
  </si>
  <si>
    <t>BNF_S1 = 59044.35</t>
  </si>
  <si>
    <t>BNF_S1 = 59051</t>
  </si>
  <si>
    <t>BNF_S1 = 59320.3</t>
  </si>
  <si>
    <t>BNF_S1 = 58941.7</t>
  </si>
  <si>
    <t>BNF_S1 = 58947.8</t>
  </si>
  <si>
    <t>BNF_S1 = 58729.25</t>
  </si>
  <si>
    <t>BNF_S1 = 58865.4</t>
  </si>
  <si>
    <t>BNF_S1 = 59227.95</t>
  </si>
  <si>
    <t>BNF_S1 = 59165.05</t>
  </si>
  <si>
    <t>BNF_S1 = 58888.9</t>
  </si>
  <si>
    <t>BNF_S1 = 58776.35</t>
  </si>
  <si>
    <t>BNF_S1 = 58680.05</t>
  </si>
  <si>
    <t>BNF_S1 = 58930.95</t>
  </si>
  <si>
    <t>BNF_S1 = 59182.6</t>
  </si>
  <si>
    <t>BNF_S1 = 59210.1</t>
  </si>
  <si>
    <t>BNF_S1 = 59041.85</t>
  </si>
  <si>
    <t>BNF_S1 = 58912.05</t>
  </si>
  <si>
    <t>BNF_S1 = 58781.15</t>
  </si>
  <si>
    <t>BNF_S1 = 58848.35</t>
  </si>
  <si>
    <t>BNF_S1 = 59257.25</t>
  </si>
  <si>
    <t>BNF_S1 = 59606.4</t>
  </si>
  <si>
    <t>BNF_S1 = 59858.2</t>
  </si>
  <si>
    <t>BNF_S2</t>
  </si>
  <si>
    <t>BNF_S2=56449.9</t>
  </si>
  <si>
    <t>BNF_S2=56522.65</t>
  </si>
  <si>
    <t>BNF_S2=56788.75</t>
  </si>
  <si>
    <t>BNF_S2=56474.55</t>
  </si>
  <si>
    <t>BNF_S2=55897.35</t>
  </si>
  <si>
    <t>BNF_S2=56002.9</t>
  </si>
  <si>
    <t>BNF_S2=56317.25</t>
  </si>
  <si>
    <t>BNF_S2=56525.2</t>
  </si>
  <si>
    <t>BNF_S2=56612.15</t>
  </si>
  <si>
    <t>BNF_S2=55981.7</t>
  </si>
  <si>
    <t>BNF_S2=55639.3</t>
  </si>
  <si>
    <t>BNF_S2=55667.4</t>
  </si>
  <si>
    <t>BNF_S2=55922.2</t>
  </si>
  <si>
    <t>BNF_S2=55113</t>
  </si>
  <si>
    <t>BNF_S2=55223.6</t>
  </si>
  <si>
    <t>BNF_S2=55287.9</t>
  </si>
  <si>
    <t>BNF_S2=54958.45</t>
  </si>
  <si>
    <t>BNF_S2=55067.7</t>
  </si>
  <si>
    <t>BNF_S2=54728.6</t>
  </si>
  <si>
    <t>BNF_S2=54440.7</t>
  </si>
  <si>
    <t>BNF_S2=54685.55</t>
  </si>
  <si>
    <t>BNF_S2=54638.75</t>
  </si>
  <si>
    <t>BNF_S2=54869.7</t>
  </si>
  <si>
    <t>BNF_S2=54897.8</t>
  </si>
  <si>
    <t>BNF_S2=55337.65</t>
  </si>
  <si>
    <t>BNF_S2=55455.55</t>
  </si>
  <si>
    <t>BNF_S2=55460.9</t>
  </si>
  <si>
    <t>BNF_S2=55533.65</t>
  </si>
  <si>
    <t>BNF_S2=54689.95</t>
  </si>
  <si>
    <t>BNF_S2=54906.95</t>
  </si>
  <si>
    <t>BNF_S2=53965.7</t>
  </si>
  <si>
    <t>BNF_S2=53376.55</t>
  </si>
  <si>
    <t>BNF_S2 = 53303.15</t>
  </si>
  <si>
    <t>BNF_S2=53521.1</t>
  </si>
  <si>
    <t>BNF_S2=53217.05</t>
  </si>
  <si>
    <t>BNF_S2=53347.4</t>
  </si>
  <si>
    <t>BNF_S2=53687.25</t>
  </si>
  <si>
    <t>BNF_S2 = 53458.9</t>
  </si>
  <si>
    <t>BNF_S2 = 53806.05</t>
  </si>
  <si>
    <t>BNF_S2 = 53944.2</t>
  </si>
  <si>
    <t>BNF_S2 = 54241.85</t>
  </si>
  <si>
    <t>BNF_S2 = 54254.75</t>
  </si>
  <si>
    <t>BNF_S2 = 54475.4</t>
  </si>
  <si>
    <t>BNF_S2 = 54693.5</t>
  </si>
  <si>
    <t>BNF_S2 = 54629.25</t>
  </si>
  <si>
    <t>BNF_S2 = 54999.35</t>
  </si>
  <si>
    <t>BNF_S2 = 55340.2</t>
  </si>
  <si>
    <t>BNF_S2 = 55167.5</t>
  </si>
  <si>
    <t>BNF_S2 = 54938.15</t>
  </si>
  <si>
    <t>BNF_S2 = 54940.6</t>
  </si>
  <si>
    <t>BNF_S2 = 54753.7</t>
  </si>
  <si>
    <t>BNF_S2 = 54678.70</t>
  </si>
  <si>
    <t>BNF_S2 = 53946.4</t>
  </si>
  <si>
    <t>BNF_S2 = 53998.45</t>
  </si>
  <si>
    <t>BNF_S2 = 54353.85</t>
  </si>
  <si>
    <t>BNF_S2 = 54288.2</t>
  </si>
  <si>
    <t>BNF_S2 = 55021.45</t>
  </si>
  <si>
    <t>BNF_S2 = 55561.8</t>
  </si>
  <si>
    <t>BNF_S2 = 55778.2</t>
  </si>
  <si>
    <t>BNF_S2 = 55565</t>
  </si>
  <si>
    <t>BNF_S2 = 55665.05</t>
  </si>
  <si>
    <t>BNF_S2 = 55899.7</t>
  </si>
  <si>
    <t>BNF_S2 = 56130.95</t>
  </si>
  <si>
    <t>BNF_S2 = 55991.5</t>
  </si>
  <si>
    <t>BNF_S2 = 56307.3</t>
  </si>
  <si>
    <t>BNF_S2 = 56783.25</t>
  </si>
  <si>
    <t>BNF_S2 = 57002.5</t>
  </si>
  <si>
    <t>BNF_S2 = 57748.3</t>
  </si>
  <si>
    <t>BNF_S2 = 57576.3</t>
  </si>
  <si>
    <t>BNF_S2 = 57054</t>
  </si>
  <si>
    <t>BNF_S2 = 57425.4</t>
  </si>
  <si>
    <t>BNF_S2 = 57555.95</t>
  </si>
  <si>
    <t>BNF_S2 = 57931.2</t>
  </si>
  <si>
    <t>BNF_S2 = 57788.5</t>
  </si>
  <si>
    <t>BNF_S2 = 57298.1</t>
  </si>
  <si>
    <t>BNF_S2 = 57493.3</t>
  </si>
  <si>
    <t>BNF_S2 = 58506.5</t>
  </si>
  <si>
    <t>BNF_S2 = 57249.4</t>
  </si>
  <si>
    <t>BNF_S2 = 56835.15</t>
  </si>
  <si>
    <t>BNF_S2 = 57709.3</t>
  </si>
  <si>
    <t>BNF_S2 = 57380.15</t>
  </si>
  <si>
    <t>BNF_S2 = 57982.2</t>
  </si>
  <si>
    <t>BNF_S2 = 57886.15</t>
  </si>
  <si>
    <t>BNF_S2 = 57845.75</t>
  </si>
  <si>
    <t>BNF_S2 = 58460.25</t>
  </si>
  <si>
    <t>BNF_S2 = 58629.2</t>
  </si>
  <si>
    <t>BNF_S2 = 58480.6</t>
  </si>
  <si>
    <t>BNF_S2 = 58989.5</t>
  </si>
  <si>
    <t>BNF_S2 = 58566</t>
  </si>
  <si>
    <t>BNF_S2 = 58271.2</t>
  </si>
  <si>
    <t>BNF_S2 = 58490.95</t>
  </si>
  <si>
    <t>BNF_S2 = 58516.8</t>
  </si>
  <si>
    <t>BNF_S2 = 59365.35</t>
  </si>
  <si>
    <t>BNF_S2 = 59451.15</t>
  </si>
  <si>
    <t>BNF_S2 = 59187.7</t>
  </si>
  <si>
    <t>BNF_S2 = 58740.4</t>
  </si>
  <si>
    <t>BNF_S2 = 58813.3</t>
  </si>
  <si>
    <t>BNF_S2 = 58863.4</t>
  </si>
  <si>
    <t>BNF_S2 = 58644.9</t>
  </si>
  <si>
    <t>BNF_S2 = 58673.2</t>
  </si>
  <si>
    <t>BNF_S2 = 58498.05</t>
  </si>
  <si>
    <t>BNF_S2 = 58520.9</t>
  </si>
  <si>
    <t>BNF_S2 = 59066</t>
  </si>
  <si>
    <t>BNF_S2 = 58868.35</t>
  </si>
  <si>
    <t>BNF_S2 = 58743.15</t>
  </si>
  <si>
    <t>BNF_S2 = 58626</t>
  </si>
  <si>
    <t>BNF_S2 = 58447.2</t>
  </si>
  <si>
    <t>BNF_S2 = 58792.7</t>
  </si>
  <si>
    <t>BNF_S2 = 59061.2</t>
  </si>
  <si>
    <t>BNF_S2 = 59120.6</t>
  </si>
  <si>
    <t>BNF_S2 = 58900.1</t>
  </si>
  <si>
    <t>BNF_S2 = 58812.75</t>
  </si>
  <si>
    <t>BNF_S2 = 58629.9</t>
  </si>
  <si>
    <t>BNF_S2 = 58525.4</t>
  </si>
  <si>
    <t>BNF_S2 = 58932.6</t>
  </si>
  <si>
    <t>BNF_S2 = 59501.25</t>
  </si>
  <si>
    <t>BNF_S2 = 59565.5</t>
  </si>
  <si>
    <t>BNF_S3</t>
  </si>
  <si>
    <t>BNF_S3=56305.6</t>
  </si>
  <si>
    <t>BNF_S3=56337.5</t>
  </si>
  <si>
    <t>BNF_S3=56639.9</t>
  </si>
  <si>
    <t>BNF_S3=56169</t>
  </si>
  <si>
    <t>BNF_S3=55589.9</t>
  </si>
  <si>
    <t>BNF_S3=55750.05</t>
  </si>
  <si>
    <t>BNF_S3=55942.45</t>
  </si>
  <si>
    <t>BNF_S3=56334.65</t>
  </si>
  <si>
    <t>BNF_S3=56373.4</t>
  </si>
  <si>
    <t>BNF_S3=55524</t>
  </si>
  <si>
    <t>BNF_S3=55281.15</t>
  </si>
  <si>
    <t>BNF_S3=55491.55</t>
  </si>
  <si>
    <t>BNF_S3=55779.85</t>
  </si>
  <si>
    <t>BNF_S3=54678.6</t>
  </si>
  <si>
    <t>BNF_S3=54885.1</t>
  </si>
  <si>
    <t>BNF_S3=55138.45</t>
  </si>
  <si>
    <t>BNF_S3=54958.45</t>
  </si>
  <si>
    <t>BNF_S3=54907.75</t>
  </si>
  <si>
    <t>BNF_S3=54483.6</t>
  </si>
  <si>
    <t>BNF_S3=53975.8</t>
  </si>
  <si>
    <t>BNF_S3=54443.55</t>
  </si>
  <si>
    <t>BNF_S3=54276.05</t>
  </si>
  <si>
    <t>BNF_S3=54712.5</t>
  </si>
  <si>
    <t>BNF_S3=54721.35</t>
  </si>
  <si>
    <t>BNF_S3=55027.6</t>
  </si>
  <si>
    <t>BNF_S3=55302.95</t>
  </si>
  <si>
    <t>BNF_S3=55344.45</t>
  </si>
  <si>
    <t>BNF_S3=55359.1</t>
  </si>
  <si>
    <t>BNF_S3=5477.25</t>
  </si>
  <si>
    <t>BNF_S3=54765.55</t>
  </si>
  <si>
    <t>BNF_S3=53535.25</t>
  </si>
  <si>
    <t>BNF_S3=53984.65</t>
  </si>
  <si>
    <t>BNF_S3 = 52999.5</t>
  </si>
  <si>
    <t>BNF_S3=53384.1</t>
  </si>
  <si>
    <t>BNF_S3=52856.8</t>
  </si>
  <si>
    <t>BNF_S3=53133.1</t>
  </si>
  <si>
    <t>BNF_S3=53402.65</t>
  </si>
  <si>
    <t>BNF_S3 = 53198.2</t>
  </si>
  <si>
    <t>BNF_S3 = 53544.9</t>
  </si>
  <si>
    <t>BNF_S3 = 53808.95</t>
  </si>
  <si>
    <t>BNF_S3 = 54083.75</t>
  </si>
  <si>
    <t>BNF_S3 = 54107.15</t>
  </si>
  <si>
    <t>BNF_S3 = 54370.45</t>
  </si>
  <si>
    <t>BNF_S3 = 54579.45</t>
  </si>
  <si>
    <t>BNF_S3 = 54480.7</t>
  </si>
  <si>
    <t>BNF_S3 = 54852.1</t>
  </si>
  <si>
    <t>BNF_S3 = 55189.45</t>
  </si>
  <si>
    <t>BNF_S3 = 54979.75</t>
  </si>
  <si>
    <t>BNF_S3 = 54660.7</t>
  </si>
  <si>
    <t>BNF_S3 = 54722.15</t>
  </si>
  <si>
    <t>BNF_S3 = 54466.95</t>
  </si>
  <si>
    <t>BNF_S3 = 54454.10</t>
  </si>
  <si>
    <t>BNF_S3 = 53581.8</t>
  </si>
  <si>
    <t>BNF_S3 = 53770.25</t>
  </si>
  <si>
    <t>BNF_S3 = 54204.75</t>
  </si>
  <si>
    <t>BNF_S3 = 53993.9</t>
  </si>
  <si>
    <t>BNF_S3 = 54865.9</t>
  </si>
  <si>
    <t>BNF_S3 = 55396.4</t>
  </si>
  <si>
    <t>BNF_S3 = 55531.4</t>
  </si>
  <si>
    <t>BNF_S3 = 55309.05</t>
  </si>
  <si>
    <t>BNF_S3 = 55486.2</t>
  </si>
  <si>
    <t>BNF_S3 = 55646.9</t>
  </si>
  <si>
    <t>BNF_S3 = 55934.45</t>
  </si>
  <si>
    <t>BNF_S3 = 55752.8</t>
  </si>
  <si>
    <t>BNF_S3 = 56122.75</t>
  </si>
  <si>
    <t>BNF_S3 = 56571.8</t>
  </si>
  <si>
    <t>BNF_S3 = 56766.4</t>
  </si>
  <si>
    <t>BNF_S3 = 57609.4</t>
  </si>
  <si>
    <t>BNF_S3 = 57201.1</t>
  </si>
  <si>
    <t>BNF_S3 = 56625.95</t>
  </si>
  <si>
    <t>BNF_S3 = 57198</t>
  </si>
  <si>
    <t>BNF_S3 = 57341.6</t>
  </si>
  <si>
    <t>BNF_S3 = 57775.4</t>
  </si>
  <si>
    <t>BNF_S3 = 57577.8</t>
  </si>
  <si>
    <t>BNF_S3 = 56939.2</t>
  </si>
  <si>
    <t>BNF_S3 = 57268.25</t>
  </si>
  <si>
    <t>BNF_S3 = 57280.1</t>
  </si>
  <si>
    <t>BNF_S3 = 56977.75</t>
  </si>
  <si>
    <t>BNF_S3 = 56512.5</t>
  </si>
  <si>
    <t>BNF_S3 = 57572.45</t>
  </si>
  <si>
    <t>BNF_S3 = 57166.05</t>
  </si>
  <si>
    <t>BNF_S3 = 57792.6</t>
  </si>
  <si>
    <t>BNF_S3 = 57645.2</t>
  </si>
  <si>
    <t>BNF_S3 = 57641.5</t>
  </si>
  <si>
    <t>BNF_S3 = 58315.25</t>
  </si>
  <si>
    <t>BNF_S3 = 58459.45</t>
  </si>
  <si>
    <t>BNF_S3 = 58274.6</t>
  </si>
  <si>
    <t>BNF_S3 = 58853.75</t>
  </si>
  <si>
    <t>BNF_S3 = 58308.35</t>
  </si>
  <si>
    <t>BNF_S3 = 57892.85</t>
  </si>
  <si>
    <t>BNF_S3 = 58235.65</t>
  </si>
  <si>
    <t>BNF_S3 = 58250.5</t>
  </si>
  <si>
    <t>BNF_S3 = 59207.75</t>
  </si>
  <si>
    <t>BNF_S3 = 59303.4</t>
  </si>
  <si>
    <t>BNF_S3 = 58847.85</t>
  </si>
  <si>
    <t>BNF_S3 = 58727.05</t>
  </si>
  <si>
    <t>BNF_S3 = 58555.15</t>
  </si>
  <si>
    <t>BNF_S3 = 58564.45</t>
  </si>
  <si>
    <t>BNF_S3 = 58620.25</t>
  </si>
  <si>
    <t>BNF_S3 = 58259.15</t>
  </si>
  <si>
    <t>BNF_S3 = 58468</t>
  </si>
  <si>
    <t>BNF_S3 = 58142.25</t>
  </si>
  <si>
    <t>BNF_S3 = 58241.95</t>
  </si>
  <si>
    <t>BNF_S3 = 58907.1</t>
  </si>
  <si>
    <t>BNF_S3 = 58684.35</t>
  </si>
  <si>
    <t>BNF_S3 = 58520</t>
  </si>
  <si>
    <t>BNF_S3 = 58450.55</t>
  </si>
  <si>
    <t>BNF_S3 = 58181.75</t>
  </si>
  <si>
    <t>BNF_S3 = 58687.9</t>
  </si>
  <si>
    <t>BNF_S3 = 58966.9</t>
  </si>
  <si>
    <t>BNF_S3 = 59024.5</t>
  </si>
  <si>
    <t>BNF_S3 = 58681.95</t>
  </si>
  <si>
    <t>BNF_S3 = 58678.45</t>
  </si>
  <si>
    <t>BNF_S3 = 58450.3</t>
  </si>
  <si>
    <t>BNF_S3 = 58313.25</t>
  </si>
  <si>
    <t>BNF_S3 = 58678.15</t>
  </si>
  <si>
    <t>BNF_S3 = 59432.85</t>
  </si>
  <si>
    <t>BNF_S3 = 59392.7</t>
  </si>
  <si>
    <t>BNF_S4</t>
  </si>
  <si>
    <t>BNF_S4=56161.25</t>
  </si>
  <si>
    <t>BNF_S4=56152.35</t>
  </si>
  <si>
    <t>BNF_S4=56491.05</t>
  </si>
  <si>
    <t>BNF_S4=55863.4</t>
  </si>
  <si>
    <t>BNF_S4=55282.4</t>
  </si>
  <si>
    <t>BNF_S4=55497.25</t>
  </si>
  <si>
    <t>BNF_S4=55567.7</t>
  </si>
  <si>
    <t>BNF_S4=56144.05</t>
  </si>
  <si>
    <t>BNF_S4=56134.65</t>
  </si>
  <si>
    <t>BNF_S4=55066.3</t>
  </si>
  <si>
    <t>BNF_S4=54923</t>
  </si>
  <si>
    <t>BNF_S4=55313.7</t>
  </si>
  <si>
    <t>BNF_S4=55637.5</t>
  </si>
  <si>
    <t>BNF_S4=54244.25</t>
  </si>
  <si>
    <t>BNF_S4=54546.6</t>
  </si>
  <si>
    <t>BNF_S4=54989.05</t>
  </si>
  <si>
    <t>BNF_S4=54469.65</t>
  </si>
  <si>
    <t>BNF_S4=54747.75</t>
  </si>
  <si>
    <t>BNF_S4=54238.65</t>
  </si>
  <si>
    <t>BNF_S4=53510.9</t>
  </si>
  <si>
    <t>BNF_S4=54201.55</t>
  </si>
  <si>
    <t>BNF_S4=53913.3</t>
  </si>
  <si>
    <t>BNF_S4=54555.25</t>
  </si>
  <si>
    <t>BNF_S4=54544.85</t>
  </si>
  <si>
    <t>BNF_S4=54717.6</t>
  </si>
  <si>
    <t>BNF_S4=55150.35</t>
  </si>
  <si>
    <t>BNF_S4=5528</t>
  </si>
  <si>
    <t>BNF_S4=55184.55</t>
  </si>
  <si>
    <t>BNF_S4=53864.6</t>
  </si>
  <si>
    <t>BNF_S4=54624.1</t>
  </si>
  <si>
    <t>BNF_S4=53104.85</t>
  </si>
  <si>
    <t>BNF_S4=52592.75</t>
  </si>
  <si>
    <t>BNF_S4 = 52696.55</t>
  </si>
  <si>
    <t>BNF_S4=53247.05</t>
  </si>
  <si>
    <t>BNF_S4=52495.41</t>
  </si>
  <si>
    <t>BNF_S4=52918.75</t>
  </si>
  <si>
    <t>BNF_S4=53118.05</t>
  </si>
  <si>
    <t>BNF_S4 = 52937.55</t>
  </si>
  <si>
    <t>BNF_S4 = 53283.8</t>
  </si>
  <si>
    <t>BNF_S4 = 53673.7</t>
  </si>
  <si>
    <t>BNF_S4 = 53925.6</t>
  </si>
  <si>
    <t>BNF_S4 = 53959.5</t>
  </si>
  <si>
    <t>BNF_S4 = 54265.5</t>
  </si>
  <si>
    <t>BNF_S4 = 54465.45</t>
  </si>
  <si>
    <t>BNF_S4 = 54332.2</t>
  </si>
  <si>
    <t>BNF_S4 = 54704.9</t>
  </si>
  <si>
    <t>BNF_S4 = 55038.75</t>
  </si>
  <si>
    <t>BNF_S4 = 54791.95</t>
  </si>
  <si>
    <t>BNF_S4 = 54383.25</t>
  </si>
  <si>
    <t>BNF_S4 = 54503.75</t>
  </si>
  <si>
    <t>BNF_S4 = 54180.2</t>
  </si>
  <si>
    <t>BNF_S4 = 54229.90</t>
  </si>
  <si>
    <t>BNF_S4 = 53217.25</t>
  </si>
  <si>
    <t>BNF_S4 = 53542.1</t>
  </si>
  <si>
    <t>BNF_S4 = 54055.65</t>
  </si>
  <si>
    <t>BNF_S4 = 53699.55</t>
  </si>
  <si>
    <t>BNF_S4 = 54710.35</t>
  </si>
  <si>
    <t>BNF_S4 = 55230.95</t>
  </si>
  <si>
    <t>BNF_S4 = 55284.55</t>
  </si>
  <si>
    <t>BNF_S4 = 55053.05</t>
  </si>
  <si>
    <t>BNF_S4 = 55307.35</t>
  </si>
  <si>
    <t>BNF_S4 = 55394.15</t>
  </si>
  <si>
    <t>BNF_S4 = 55738</t>
  </si>
  <si>
    <t>BNF_S4 = 55514.15</t>
  </si>
  <si>
    <t>BNF_S4 = 55938.2</t>
  </si>
  <si>
    <t>BNF_S4 = 56360.35</t>
  </si>
  <si>
    <t>BNF_S4 = 56530.25</t>
  </si>
  <si>
    <t>BNF_S4 = 57470.5</t>
  </si>
  <si>
    <t>BNF_S4 = 56825.95</t>
  </si>
  <si>
    <t>BNF_S4 = 56197.9</t>
  </si>
  <si>
    <t>BNF_S4 = 56970.65</t>
  </si>
  <si>
    <t>BNF_S4 = 57127.2</t>
  </si>
  <si>
    <t>BNF_S4 = 57619.55</t>
  </si>
  <si>
    <t>BNF_S4 = 57367.1</t>
  </si>
  <si>
    <t>BNF_S4 = 56580.35</t>
  </si>
  <si>
    <t>BNF_S4 = 57043.15</t>
  </si>
  <si>
    <t>BNF_S4 = 57053.65</t>
  </si>
  <si>
    <t>BNF_S4 = 56706.15</t>
  </si>
  <si>
    <t>BNF_S4 = 56189.8</t>
  </si>
  <si>
    <t>BNF_S4 = 57435.55</t>
  </si>
  <si>
    <t>BNF_S4 = 56951.95</t>
  </si>
  <si>
    <t>BNF_S4 = 57602.95</t>
  </si>
  <si>
    <t>BNF_S4 = 57404.25</t>
  </si>
  <si>
    <t>BNF_S4 = 57437.25</t>
  </si>
  <si>
    <t>BNF_S4 = 58170.2</t>
  </si>
  <si>
    <t>BNF_S4 = 58289.75</t>
  </si>
  <si>
    <t>BNF_S4 = 58064.65</t>
  </si>
  <si>
    <t>BNF_S4 = 58718</t>
  </si>
  <si>
    <t>BNF_S4 = 58050.7</t>
  </si>
  <si>
    <t>BNF_S4 = 57514.55</t>
  </si>
  <si>
    <t>BNF_S4 = 57980.4</t>
  </si>
  <si>
    <t>BNF_S4 = 57984.25</t>
  </si>
  <si>
    <t>BNF_S4 = 59050.1</t>
  </si>
  <si>
    <t>BNF_S4 = 59155.6</t>
  </si>
  <si>
    <t>BNF_S4 = 58507.95</t>
  </si>
  <si>
    <t>BNF_S4 = 58464.6</t>
  </si>
  <si>
    <t>BNF_S4 = 58369.85</t>
  </si>
  <si>
    <t>BNF_S4 = 58315.6</t>
  </si>
  <si>
    <t>BNF_S4 = 58377.1</t>
  </si>
  <si>
    <t>BNF_S4 = 57873.45</t>
  </si>
  <si>
    <t>BNF_S4 = 58262.75</t>
  </si>
  <si>
    <t>BNF_S4 = 57786.4</t>
  </si>
  <si>
    <t>BNF_S4 = 57962.95</t>
  </si>
  <si>
    <t>BNF_S4 = 58748.25</t>
  </si>
  <si>
    <t>BNF_S4 = 58500.4</t>
  </si>
  <si>
    <t>BNF_S4 = 58296.8</t>
  </si>
  <si>
    <t>BNF_S4 = 58275.15</t>
  </si>
  <si>
    <t>BNF_S4 = 57916.25</t>
  </si>
  <si>
    <t>BNF_S4 = 58583.1</t>
  </si>
  <si>
    <t>BNF_S4 = 58872.6</t>
  </si>
  <si>
    <t>BNF_S4 = 58928.35</t>
  </si>
  <si>
    <t>BNF_S4 = 58463.8</t>
  </si>
  <si>
    <t>BNF_S4 = 58544.15</t>
  </si>
  <si>
    <t>BNF_S4 = 58270.65</t>
  </si>
  <si>
    <t>BNF_S4 = 58101.05</t>
  </si>
  <si>
    <t>BNF_S4 = 58423.65</t>
  </si>
  <si>
    <t>BNF_S4 = 59364.45</t>
  </si>
  <si>
    <t>BNF_S4 = 59219.95</t>
  </si>
  <si>
    <t>BNF_S5</t>
  </si>
  <si>
    <t>BNF_S5=56016.9</t>
  </si>
  <si>
    <t>BNF_S5=55967.2</t>
  </si>
  <si>
    <t>BNF_S5=56342.2</t>
  </si>
  <si>
    <t>BNF_S5=55557.8</t>
  </si>
  <si>
    <t>BNF_S5=54974.9</t>
  </si>
  <si>
    <t>BNF_S5=55244.45</t>
  </si>
  <si>
    <t>BNF_S5=55192.95</t>
  </si>
  <si>
    <t>BNF_S5=55953.45</t>
  </si>
  <si>
    <t>BNF_S5=55895.9</t>
  </si>
  <si>
    <t>BNF_S5=54608.6</t>
  </si>
  <si>
    <t>BNF_S5=54564.85</t>
  </si>
  <si>
    <t>BNF_S5=55139.85</t>
  </si>
  <si>
    <t>BNF_S5=55495.15</t>
  </si>
  <si>
    <t>BNF_S5=53809.9</t>
  </si>
  <si>
    <t>BNF_S5=54208.1</t>
  </si>
  <si>
    <t>BNF_S5=54839.65</t>
  </si>
  <si>
    <t>BNF_S5=54225.25</t>
  </si>
  <si>
    <t>BNF_S5=54587.75</t>
  </si>
  <si>
    <t>BNF_S5=53993.7</t>
  </si>
  <si>
    <t>BNF_S5=53046</t>
  </si>
  <si>
    <t>BNF_S5=53959.55</t>
  </si>
  <si>
    <t>BNF_S5=53550.55</t>
  </si>
  <si>
    <t>BNF_S5=54398</t>
  </si>
  <si>
    <t>BNF_S5=54368.3</t>
  </si>
  <si>
    <t>BNF_S5=54407.6</t>
  </si>
  <si>
    <t>BNF_S5=54997.75</t>
  </si>
  <si>
    <t>BNF_S5=55111.55</t>
  </si>
  <si>
    <t>BNF_S5=55010</t>
  </si>
  <si>
    <t>BNF_S5=53451.95</t>
  </si>
  <si>
    <t>BNF_S5=54482.65</t>
  </si>
  <si>
    <t>BNF_S5=52674.45</t>
  </si>
  <si>
    <t>BNF_S5=52200.85</t>
  </si>
  <si>
    <t>BNF_S5 = 52393.25</t>
  </si>
  <si>
    <t>BNF_S5=53110</t>
  </si>
  <si>
    <t>BNF_S5=52134.15</t>
  </si>
  <si>
    <t>BNF_S5=52704.4</t>
  </si>
  <si>
    <t>BNF_S5=52833.45</t>
  </si>
  <si>
    <t>BNF_S5 = 52676.9</t>
  </si>
  <si>
    <t>BNF_S5 = 53022.7</t>
  </si>
  <si>
    <t>BNF_S5 = 53538.45</t>
  </si>
  <si>
    <t>BNF_S5 = 53767.45</t>
  </si>
  <si>
    <t>BNF_S5 = 53811.85</t>
  </si>
  <si>
    <t>BNF_S5 = 54160.55</t>
  </si>
  <si>
    <t>BNF_S5 = 54351.45</t>
  </si>
  <si>
    <t>BNF_S5 = 54183.7</t>
  </si>
  <si>
    <t>BNF_S5 = 54557.7</t>
  </si>
  <si>
    <t>BNF_S5 = 54888.05</t>
  </si>
  <si>
    <t>BNF_S5 = 54604.15</t>
  </si>
  <si>
    <t>BNF_S5 = 54105.8</t>
  </si>
  <si>
    <t>BNF_S5 = 54285.35</t>
  </si>
  <si>
    <t>BNF_S5 = 53893.45</t>
  </si>
  <si>
    <t>BNF_S5 = 54004.90</t>
  </si>
  <si>
    <t>BNF_S5 = 52852.7</t>
  </si>
  <si>
    <t>BNF_S5 = 53313.95</t>
  </si>
  <si>
    <t>BNF_S5 = 53906.55</t>
  </si>
  <si>
    <t>BNF_S5 = 53405.2</t>
  </si>
  <si>
    <t>BNF_S5 = 54554.8</t>
  </si>
  <si>
    <t>BNF_S5 = 55065.5</t>
  </si>
  <si>
    <t>BNF_S5 = 55037.7</t>
  </si>
  <si>
    <t>BNF_S5 = 54797.05</t>
  </si>
  <si>
    <t>BNF_S5 = 55128.5</t>
  </si>
  <si>
    <t>BNF_S5 = 55141.4</t>
  </si>
  <si>
    <t>BNF_S5 = 55541.55</t>
  </si>
  <si>
    <t>BNF_S5 = 55275.5</t>
  </si>
  <si>
    <t>BNF_S5 = 55753.65</t>
  </si>
  <si>
    <t>BNF_S5 = 56148.9</t>
  </si>
  <si>
    <t>BNF_S5 = 56294.1</t>
  </si>
  <si>
    <t>BNF_S5 = 57331.6</t>
  </si>
  <si>
    <t>BNF_S5 = 56450.8</t>
  </si>
  <si>
    <t>BNF_S5 = 55769.85</t>
  </si>
  <si>
    <t>BNF_S5 = 56743.3</t>
  </si>
  <si>
    <t>BNF_S5 = 56912.8</t>
  </si>
  <si>
    <t>BNF_S5 = 57463.7</t>
  </si>
  <si>
    <t>BNF_S5 = 57156.4</t>
  </si>
  <si>
    <t>BNF_S5 = 56221.5</t>
  </si>
  <si>
    <t>BNF_S5 = 56818.05</t>
  </si>
  <si>
    <t>BNF_S5 = 56827.2</t>
  </si>
  <si>
    <t>BNF_S5 = 56434.55</t>
  </si>
  <si>
    <t>BNF_S5 = 55867.1</t>
  </si>
  <si>
    <t>BNF_S5 = 57298.65</t>
  </si>
  <si>
    <t>BNF_S5 = 56737.85</t>
  </si>
  <si>
    <t>BNF_S5 = 57413.3</t>
  </si>
  <si>
    <t>BNF_S5 = 57163.3</t>
  </si>
  <si>
    <t>BNF_S5 = 57233</t>
  </si>
  <si>
    <t>BNF_S5 = 58025.15</t>
  </si>
  <si>
    <t>BNF_S5 = 58120.05</t>
  </si>
  <si>
    <t>BNF_S5 = 57856.7</t>
  </si>
  <si>
    <t>BNF_S5 = 58582.25</t>
  </si>
  <si>
    <t>BNF_S5 = 57793.05</t>
  </si>
  <si>
    <t>BNF_S5 = 57136.25</t>
  </si>
  <si>
    <t>BNF_S5 = 57725.15</t>
  </si>
  <si>
    <t>BNF_S5 = 57718</t>
  </si>
  <si>
    <t>BNF_S5 = 58892.45</t>
  </si>
  <si>
    <t>BNF_S5 = 59007.8</t>
  </si>
  <si>
    <t>BNF_S5 = 58168.05</t>
  </si>
  <si>
    <t>BNF_S5 = 58202.15</t>
  </si>
  <si>
    <t>BNF_S5 = 58184.55</t>
  </si>
  <si>
    <t>BNF_S5 = 58066.75</t>
  </si>
  <si>
    <t>BNF_S5 = 58133.95</t>
  </si>
  <si>
    <t>BNF_S5 = 57487.75</t>
  </si>
  <si>
    <t>BNF_S5 = 58057.5</t>
  </si>
  <si>
    <t>BNF_S5 = 57430.55</t>
  </si>
  <si>
    <t>BNF_S5 = 57683.95</t>
  </si>
  <si>
    <t>BNF_S5 = 58589.4</t>
  </si>
  <si>
    <t>BNF_S5 = 58316.45</t>
  </si>
  <si>
    <t>BNF_S5 = 58073.6</t>
  </si>
  <si>
    <t>BNF_S5 = 58099.75</t>
  </si>
  <si>
    <t>BNF_S5 = 57650.75</t>
  </si>
  <si>
    <t>BNF_S5 = 58478.3</t>
  </si>
  <si>
    <t>BNF_S5 = 58778.3</t>
  </si>
  <si>
    <t>BNF_S5 = 58832.2</t>
  </si>
  <si>
    <t>BNF_S5 = 58245.65</t>
  </si>
  <si>
    <t>BNF_S5 = 58409.85</t>
  </si>
  <si>
    <t>BNF_S5 = 58091</t>
  </si>
  <si>
    <t>BNF_S5 = 57888.85</t>
  </si>
  <si>
    <t>BNF_S5 = 58169.15</t>
  </si>
  <si>
    <t>BNF_S5 = 59296.05</t>
  </si>
  <si>
    <t>BNF_S5 = 59047.2</t>
  </si>
  <si>
    <t>NIFTY_PD_H</t>
  </si>
  <si>
    <t>NIFTY_PD_H=25151.1</t>
  </si>
  <si>
    <t>NIFTY_PD_H=25245.2</t>
  </si>
  <si>
    <t>NIFTY_PD_H=25255.3</t>
  </si>
  <si>
    <t>NIFTY_PD_H=25238.35</t>
  </si>
  <si>
    <t>NIFTY_PD_H=25144.6</t>
  </si>
  <si>
    <t>NIFTY_PD_H=25111.4</t>
  </si>
  <si>
    <t>NIFTY_PD_H=25182</t>
  </si>
  <si>
    <t>NIFTY_PD_H=25233.5</t>
  </si>
  <si>
    <t>NIFTY_PD_H=25010.35</t>
  </si>
  <si>
    <t>NIFTY_PD_H=24889.2</t>
  </si>
  <si>
    <t>NIFTY_PD_H=24847.15</t>
  </si>
  <si>
    <t>NIFTY_PD_H=24902.3</t>
  </si>
  <si>
    <t>NIFTY_PD_H=24956.5</t>
  </si>
  <si>
    <t>NIFTY_PD_H=24784.15</t>
  </si>
  <si>
    <t>NIFTY_PD_H=24736.25</t>
  </si>
  <si>
    <t>NIFTY_PD_H=24733.1</t>
  </si>
  <si>
    <t>NIFTY_PD_H=24671.4</t>
  </si>
  <si>
    <t>NIFTY_PD_H=24634.2</t>
  </si>
  <si>
    <t>NIFTY_PD_H=24585.5</t>
  </si>
  <si>
    <t>NIFTY_PD_H=24600.85</t>
  </si>
  <si>
    <t>NIFTY_PD_H=24702.6</t>
  </si>
  <si>
    <t>NIFTY_PD_H=24664.55</t>
  </si>
  <si>
    <t>NIFTY_PD_H=24673.65</t>
  </si>
  <si>
    <t>NIFTY_PD_H=25022</t>
  </si>
  <si>
    <t>NIFTY_PD_H=25012.65</t>
  </si>
  <si>
    <t>NIFTY_PD_H=25088.7</t>
  </si>
  <si>
    <t>NIFTY_PD_H=25153.65</t>
  </si>
  <si>
    <t>NIFTY_PD_H=25084.85</t>
  </si>
  <si>
    <t>NIFTY_PD_H=25021.55</t>
  </si>
  <si>
    <t>NIFTY_PD_H=24919.65</t>
  </si>
  <si>
    <t>NIFTY_PD_H=24702.65</t>
  </si>
  <si>
    <t>NIFTY_PD_H=24572.45</t>
  </si>
  <si>
    <t>NIFTY_PD_H=24635.6</t>
  </si>
  <si>
    <t>NIFTY_PD_H=24756.1</t>
  </si>
  <si>
    <t>NIFTY_PD_H=24737.05</t>
  </si>
  <si>
    <t>NIFTY_PD_H=24980.75</t>
  </si>
  <si>
    <t>NIFTY_PD_H=24832.35</t>
  </si>
  <si>
    <t>NIFTY_PD_H=24885.5</t>
  </si>
  <si>
    <t>NIFTY_PD_H=24891.8</t>
  </si>
  <si>
    <t>NIFTY_PD_H=25035.7</t>
  </si>
  <si>
    <t>NIFTY_PD_H=25037.3</t>
  </si>
  <si>
    <t>NIFTY_PD_H=25139.45</t>
  </si>
  <si>
    <t>NIFTY_PD_H=25138.45</t>
  </si>
  <si>
    <t>NIFTY_PD_H=25261.4</t>
  </si>
  <si>
    <t>NIFTY_PD_H=25346.5</t>
  </si>
  <si>
    <t>NIFTY_PD_H=25448.95</t>
  </si>
  <si>
    <t>NIFTY_PD_H=2542.75</t>
  </si>
  <si>
    <t>NIFTY_PD_H=25331.7</t>
  </si>
  <si>
    <t>NIFTY_PD_H=25261.9</t>
  </si>
  <si>
    <t>NIFTY_PD_H=25149.85</t>
  </si>
  <si>
    <t>NIFTY_PD_H=25092.7</t>
  </si>
  <si>
    <t>NIFTY_PD_H = 24868.6</t>
  </si>
  <si>
    <t>NIFTY_PD_H = 24791.3</t>
  </si>
  <si>
    <t>NIFTY_PD_H = 24731.8</t>
  </si>
  <si>
    <t>NIFTY_PD_H = 24867.95</t>
  </si>
  <si>
    <t>NIFTY_PD_H = 24904.8</t>
  </si>
  <si>
    <t>NIFTY_PD_H = 25095.95</t>
  </si>
  <si>
    <t>NIFTY_PD_H = 25220.9</t>
  </si>
  <si>
    <t>NIFTY_PD_H = 25192.5</t>
  </si>
  <si>
    <t>NIFTY_PD_H = 25199.25</t>
  </si>
  <si>
    <t>NIFTY_PD_H = 25330.75</t>
  </si>
  <si>
    <t>NIFTY_PD_H = 25267.3</t>
  </si>
  <si>
    <t>NIFTY_PD_H = 25310.35</t>
  </si>
  <si>
    <t>NIFTY_PD_H = 25365.15</t>
  </si>
  <si>
    <t>NIFTY_PD_H = 25625.4</t>
  </si>
  <si>
    <t>NIFTY_PD_H = 25783.75</t>
  </si>
  <si>
    <t>NIFTY_PD_H = 25934.35</t>
  </si>
  <si>
    <t>NIFTY_PD_H = 26104.2</t>
  </si>
  <si>
    <t>NIFTY_PD_H = 25944.15</t>
  </si>
  <si>
    <t>NIFTY_PD_H = 26005.95</t>
  </si>
  <si>
    <t>NIFTY_PD_H = 26041.7</t>
  </si>
  <si>
    <t>NIFTY_PD_H = 26032.05</t>
  </si>
  <si>
    <t>NIFTY_PD_H = 25953.75</t>
  </si>
  <si>
    <t>NIFTY_PD_H = 24803.1</t>
  </si>
  <si>
    <t>NIFTY_PD_H = 25787.4</t>
  </si>
  <si>
    <t>NIFTY_PD_H = 25679.15</t>
  </si>
  <si>
    <t>NIFTY_PD_H = 25551.25</t>
  </si>
  <si>
    <t>NIFTY_PD_H = 25715.8</t>
  </si>
  <si>
    <t>NIFTY_PD_H = 25934.55</t>
  </si>
  <si>
    <t>NIFTY_PD_H = 26010.7</t>
  </si>
  <si>
    <t>NIFTY_PD_H = 25940.2</t>
  </si>
  <si>
    <t>NIFTY_PD_H = 26024.2</t>
  </si>
  <si>
    <t>NIFTY_PD_H = 26029.85</t>
  </si>
  <si>
    <t>NIFTY_PD_H = 26074.65</t>
  </si>
  <si>
    <t>NIFTY_PD_H = 26246.65</t>
  </si>
  <si>
    <t>NIFTY_PD_H = 26179.2</t>
  </si>
  <si>
    <t>NIFTY_PD_H = 26142.8</t>
  </si>
  <si>
    <t>NIFTY_PD_H = 26032.6</t>
  </si>
  <si>
    <t>NIFTY_PD_H = 26215.15</t>
  </si>
  <si>
    <t>NIFTY_PD_H = 26310.45</t>
  </si>
  <si>
    <t>NIFTY_PD_H = 26280.75</t>
  </si>
  <si>
    <t>NIFTY_PD_H = 26325.8</t>
  </si>
  <si>
    <t>NIFTY_PD_H = 26154.6</t>
  </si>
  <si>
    <t>NIFTY_PD_H = 26066.45</t>
  </si>
  <si>
    <t>NIFTY_PD_H = 26098.25</t>
  </si>
  <si>
    <t>NIFTY_PD_H = 26202.6</t>
  </si>
  <si>
    <t>NIFTY_PD_H = 26178.7</t>
  </si>
  <si>
    <t>NIFTY_PD_H = 25923.65</t>
  </si>
  <si>
    <t>NIFTY_PD_H = 25947.65</t>
  </si>
  <si>
    <t>NIFTY_PD_H = 25922.8</t>
  </si>
  <si>
    <t>NIFTY_PD_H = 26057.6</t>
  </si>
  <si>
    <t>NIFTY_PD_H = 26047.15</t>
  </si>
  <si>
    <t>NIFTY_PD_H = 25980.75</t>
  </si>
  <si>
    <t>NIFTY_PD_H = 25929.15</t>
  </si>
  <si>
    <t>NIFTY_PD_H = 25902.35</t>
  </si>
  <si>
    <t>NIFTY_PD_H = 25993.35</t>
  </si>
  <si>
    <t>NIFTY_PD_H = 26180.7</t>
  </si>
  <si>
    <t>NIFTY_PD_H = 26233.55</t>
  </si>
  <si>
    <t>NIFTY_PD_H = 26236.4</t>
  </si>
  <si>
    <t>NIFTY_PD_H = 26144.2</t>
  </si>
  <si>
    <t>NIFTY_PD_H = 26106.8</t>
  </si>
  <si>
    <t>NIFTY_PD_H = 25976.75</t>
  </si>
  <si>
    <t>NIFTY_PD_H = 26187.95</t>
  </si>
  <si>
    <t>NIFTY_PD_H = 26197.55</t>
  </si>
  <si>
    <t>NIFTY_PD_H = 26340</t>
  </si>
  <si>
    <t>NIFTY_PD_H = 26373.2</t>
  </si>
  <si>
    <t>NIFTY_PD_H = 26273.95</t>
  </si>
  <si>
    <t>NIFTY_PD_H = 26187.15</t>
  </si>
  <si>
    <t>NIFTY_PD_H = 26133.2</t>
  </si>
  <si>
    <t>NIFTY_PD_H = 25940.6</t>
  </si>
  <si>
    <t>NIFTY_PD_H = 25813.15</t>
  </si>
  <si>
    <t>NIFTY_PD_H = 25899.8</t>
  </si>
  <si>
    <t>NIFTY_PD_H = 25873.5</t>
  </si>
  <si>
    <t>NIFTY_PD_H = 25653.3</t>
  </si>
  <si>
    <t>NIFTY_PD_H = 25585</t>
  </si>
  <si>
    <t>NIFTY_PD_H = 25300.95</t>
  </si>
  <si>
    <t>NIFTY_PD_H = 25435.75</t>
  </si>
  <si>
    <t>NIFTY_PD_H = 25347.95</t>
  </si>
  <si>
    <t>NIFTY_PD_H = 25246.65</t>
  </si>
  <si>
    <t>NIFTY_PD_H = 25372</t>
  </si>
  <si>
    <t>NIFTY_PD_H = 25458.15</t>
  </si>
  <si>
    <t>NIFTY_PD_H = 25370.7</t>
  </si>
  <si>
    <t>NIFTY_PD_H = 25440.9</t>
  </si>
  <si>
    <t>NIFTY_PD_H = 25108.1</t>
  </si>
  <si>
    <t>NIFTY_PD_H = 26341.2</t>
  </si>
  <si>
    <t>NIFTY_PD_H = 25818.55</t>
  </si>
  <si>
    <t>NIFTY_PD_H = 25757.65</t>
  </si>
  <si>
    <t>NIFTY_PD_H = 25703.95</t>
  </si>
  <si>
    <t>NIFTY_PD_H = 25922.25</t>
  </si>
  <si>
    <t>NIFTY_PD_H = 25989.45</t>
  </si>
  <si>
    <t>NIFTY_PD_H = 26009.4</t>
  </si>
  <si>
    <t>NIFTY_PD_H = 25906.7</t>
  </si>
  <si>
    <t>NIFTY_PD_H = 25630.25</t>
  </si>
  <si>
    <t>NIFTY_PD_H = 25697</t>
  </si>
  <si>
    <t>NIFTY_PD_H = 25764.4</t>
  </si>
  <si>
    <t>NIFTY_PD_H = 25828.05</t>
  </si>
  <si>
    <t>NIFTY_PD_H = 25885.3</t>
  </si>
  <si>
    <t>NIFTY_PD_H = 25663.55</t>
  </si>
  <si>
    <t>NIFTY_PD_H = 25771.45</t>
  </si>
  <si>
    <t>NIFTY_PD_H = 25641.8</t>
  </si>
  <si>
    <t>NIFTY_PD_H = 25652.6</t>
  </si>
  <si>
    <t>NIFTY_PD_C</t>
  </si>
  <si>
    <t>NIFTY_PD_C=25082.3</t>
  </si>
  <si>
    <t>NIFTY_PD_C=25195.8</t>
  </si>
  <si>
    <t>NIFTY_PD_C=25212.05</t>
  </si>
  <si>
    <t>NIFTY_PD_C=25111.45</t>
  </si>
  <si>
    <t>NIFTY_PD_C=24968.4</t>
  </si>
  <si>
    <t>NIFTY_PD_C=25090.7</t>
  </si>
  <si>
    <t>NIFTY_PD_C=25060.9</t>
  </si>
  <si>
    <t>NIFTY_PD_C=25219.9</t>
  </si>
  <si>
    <t>NIFTY_PD_C=24837</t>
  </si>
  <si>
    <t>NIFTY_PD_C=24680.9</t>
  </si>
  <si>
    <t>NIFTY_PD_C=24821.1</t>
  </si>
  <si>
    <t>NIFTY_PD_C=24855.05</t>
  </si>
  <si>
    <t>NIFTY_PD_C=24768.35</t>
  </si>
  <si>
    <t>NIFTY_PD_C=24565.35</t>
  </si>
  <si>
    <t>NIFTY_PD_C=24722.75</t>
  </si>
  <si>
    <t>NIFTY_PD_C=24649.55</t>
  </si>
  <si>
    <t>NIFTY_PD_C=24574.2</t>
  </si>
  <si>
    <t>NIFTY_PD_C=24596.1</t>
  </si>
  <si>
    <t>NIFTY_PD_C=24363.3</t>
  </si>
  <si>
    <t>NIFTY_PD_C=24585.05</t>
  </si>
  <si>
    <t>NIFTY_PD_C=24487.4</t>
  </si>
  <si>
    <t>NIFTY_PD_C=24619.35</t>
  </si>
  <si>
    <t>NIFTY_PD_C=24631.3</t>
  </si>
  <si>
    <t>NIFTY_PD_C=24876.95</t>
  </si>
  <si>
    <t>NIFTY_PD_C=24980.65</t>
  </si>
  <si>
    <t>NIFTY_PD_C=25050.55</t>
  </si>
  <si>
    <t>NIFTY_PD_C=25083.75</t>
  </si>
  <si>
    <t>NIFTY_PD_C=24870.1</t>
  </si>
  <si>
    <t>NIFTY_PD_C=24967.75</t>
  </si>
  <si>
    <t>NIFTY_PD_C=24712.05</t>
  </si>
  <si>
    <t>NIFTY_PD_C=24500.9</t>
  </si>
  <si>
    <t>NIFTY_PD_C=24426.85</t>
  </si>
  <si>
    <t>NIFTY_PD_C=24625.05</t>
  </si>
  <si>
    <t>NIFTY_PD_C=24579.6</t>
  </si>
  <si>
    <t>NIFTY_PD_C=24715.05</t>
  </si>
  <si>
    <t>NIFTY_PD_C=24734.3</t>
  </si>
  <si>
    <t>NIFTY_PD_C=24741</t>
  </si>
  <si>
    <t>NIFTY_PD_C=24773.15</t>
  </si>
  <si>
    <t>NIFTY_PD_C=24868.65</t>
  </si>
  <si>
    <t>NIFTY_PD_C=24973.1</t>
  </si>
  <si>
    <t>NIFTY_PD_C=25005.5</t>
  </si>
  <si>
    <t>NIFTY_PD_C=25114</t>
  </si>
  <si>
    <t>NIFTY_PD_C=25069.2</t>
  </si>
  <si>
    <t>NIFTY_PD_C=25239.1</t>
  </si>
  <si>
    <t>NIFTY_PD_C=25330.25</t>
  </si>
  <si>
    <t>NIFTY_PD_C=25423.6</t>
  </si>
  <si>
    <t>NIFTY_PD_C=25327.05</t>
  </si>
  <si>
    <t>NIFTY_PD_C=25202.35</t>
  </si>
  <si>
    <t>NIFTY_PD_C=25169.5</t>
  </si>
  <si>
    <t>NIFTY_PD_C=25056.9</t>
  </si>
  <si>
    <t>NIFTY_PD_C=24890.85</t>
  </si>
  <si>
    <t>NIFTY_PD_C = 24654.7</t>
  </si>
  <si>
    <t>NIFTY_PD_C = 24691.95</t>
  </si>
  <si>
    <t>NIFTY_PD_C = 24611.1</t>
  </si>
  <si>
    <t>NIFTY_PD_C = 24836.3</t>
  </si>
  <si>
    <t>NIFTY_PD_C = 24894.25</t>
  </si>
  <si>
    <t>NIFTY_PD_C = 25077.65</t>
  </si>
  <si>
    <t>NIFTY_PD_C = 25108.3</t>
  </si>
  <si>
    <t>NIFTY_PD_C = 25046.15</t>
  </si>
  <si>
    <t>NIFTY_PD_C = 25181.8</t>
  </si>
  <si>
    <t>NIFTY_PD_C = 25285.35</t>
  </si>
  <si>
    <t>NIFTY_PD_C = 25227.35</t>
  </si>
  <si>
    <t>NIFTY_PD_C = 25145.5</t>
  </si>
  <si>
    <t>NIFTY_PD_C = 25323.55</t>
  </si>
  <si>
    <t>NIFTY_PD_C = 25585.3</t>
  </si>
  <si>
    <t>NIFTY_PD_C = 25709.85</t>
  </si>
  <si>
    <t>NIFTY_PD_C = 25868.6</t>
  </si>
  <si>
    <t>NIFTY_PD_C = 25891.4</t>
  </si>
  <si>
    <t>NIFTY_PD_C = 25795.15</t>
  </si>
  <si>
    <t>NIFTY_PD_C = 25966.05</t>
  </si>
  <si>
    <t>NIFTY_PD_C = 25936.2</t>
  </si>
  <si>
    <t>NIFTY_PD_C = 25877.85</t>
  </si>
  <si>
    <t>NIFTY_PD_C = 25722.1</t>
  </si>
  <si>
    <t>NIFTY_PD_C = 25763.35</t>
  </si>
  <si>
    <t>NIFTY_PD_C = 25593.35</t>
  </si>
  <si>
    <t>NIFTY_PD_C = 25509.7</t>
  </si>
  <si>
    <t>NIFTY_PD_C = 25492.3</t>
  </si>
  <si>
    <t>NIFTY_PD_C = 25694.95</t>
  </si>
  <si>
    <t>NIFTY_PD_C = 25875.8</t>
  </si>
  <si>
    <t>NIFTY_PD_C = 25879.15</t>
  </si>
  <si>
    <t>NIFTY_PD_C = 25910.05</t>
  </si>
  <si>
    <t>NIFTY_PD_C = 26013.45</t>
  </si>
  <si>
    <t>NIFTY_PD_C = 26052.65</t>
  </si>
  <si>
    <t>NIFTY_PD_C = 26192.15</t>
  </si>
  <si>
    <t>NIFTY_PD_C = 26068.15</t>
  </si>
  <si>
    <t>NIFTY_PD_C = 25959.5</t>
  </si>
  <si>
    <t>NIFTY_PD_C = 25884.8</t>
  </si>
  <si>
    <t>NIFTY_PD_C = 26205.3</t>
  </si>
  <si>
    <t>NIFTY_PD_C = 26215.55</t>
  </si>
  <si>
    <t>NIFTY_PD_C = 26202.95</t>
  </si>
  <si>
    <t>NIFTY_PD_C = 26175.75</t>
  </si>
  <si>
    <t>NIFTY_PD_C = 26032.2</t>
  </si>
  <si>
    <t>NIFTY_PD_C = 25986</t>
  </si>
  <si>
    <t>NIFTY_PD_C = 26033.75</t>
  </si>
  <si>
    <t>NIFTY_PD_C = 26186.45</t>
  </si>
  <si>
    <t>NIFTY_PD_C = 25960.55</t>
  </si>
  <si>
    <t>NIFTY_PD_C = 25839.65</t>
  </si>
  <si>
    <t>NIFTY_PD_C = 25758</t>
  </si>
  <si>
    <t>NIFTY_PD_C = 25898.55</t>
  </si>
  <si>
    <t>NIFTY_PD_C = 26046.95</t>
  </si>
  <si>
    <t>NIFTY_PD_C = 26027.3</t>
  </si>
  <si>
    <t>NIFTY_PD_C = 25860.1</t>
  </si>
  <si>
    <t>NIFTY_PD_C = 25818.55</t>
  </si>
  <si>
    <t>NIFTY_PD_C = 25815.65</t>
  </si>
  <si>
    <t>NIFTY_PD_C = 25966.4</t>
  </si>
  <si>
    <t>NIFTY_PD_C = 26172.4</t>
  </si>
  <si>
    <t>NIFTY_PD_C = 26177.15</t>
  </si>
  <si>
    <t>NIFTY_PD_C = 26142.1</t>
  </si>
  <si>
    <t>NIFTY_PD_C = 26042.3</t>
  </si>
  <si>
    <t>NIFTY_PD_C = 25942.1</t>
  </si>
  <si>
    <t>NIFTY_PD_C = 25938.85</t>
  </si>
  <si>
    <t>NIFTY_PD_C = 26129.6</t>
  </si>
  <si>
    <t>NIFTY_PD_C = 26146.55</t>
  </si>
  <si>
    <t>NIFTY_PD_C = 26328.55</t>
  </si>
  <si>
    <t>NIFTY_PD_C = 26250.3</t>
  </si>
  <si>
    <t>NIFTY_PD_C = 26178.7</t>
  </si>
  <si>
    <t>NIFTY_PD_C = 26140.75</t>
  </si>
  <si>
    <t>NIFTY_PD_C = 25876.85</t>
  </si>
  <si>
    <t>NIFTY_PD_C = 25683.3</t>
  </si>
  <si>
    <t>NIFTY_PD_C = 25790.25</t>
  </si>
  <si>
    <t>NIFTY_PD_C = 25732.3</t>
  </si>
  <si>
    <t>NIFTY_PD_C = 25694.35</t>
  </si>
  <si>
    <t>NIFTY_PD_C = 25585.5</t>
  </si>
  <si>
    <t>NIFTY_PD_C = 25232.5</t>
  </si>
  <si>
    <t>NIFTY_PD_C = 25157.5</t>
  </si>
  <si>
    <t>NIFTY_PD_C = 25289.9</t>
  </si>
  <si>
    <t>NIFTY_PD_C = 25048.65</t>
  </si>
  <si>
    <t>NIFTY_PD_C = 25175.4</t>
  </si>
  <si>
    <t>NIFTY_PD_C = 25342.75</t>
  </si>
  <si>
    <t>NIFTY_PD_C = 25418.9</t>
  </si>
  <si>
    <t>NIFTY_PD_C = 25320.65</t>
  </si>
  <si>
    <t>NIFTY_PD_C = 24825.45</t>
  </si>
  <si>
    <t>NIFTY_PD_C = 25088.4</t>
  </si>
  <si>
    <t>NIFTY_PD_C = 25727.55</t>
  </si>
  <si>
    <t>NIFTY_PD_C = 25776</t>
  </si>
  <si>
    <t>NIFTY_PD_C = 25642.8</t>
  </si>
  <si>
    <t>NIFTY_PD_C = 25693.7</t>
  </si>
  <si>
    <t>NIFTY_PD_C = 25867.3</t>
  </si>
  <si>
    <t>NIFTY_PD_C = 25922.65</t>
  </si>
  <si>
    <t>NIFTY_PD_C = 25953.85</t>
  </si>
  <si>
    <t>NIFTY_PD_C = 25807.2</t>
  </si>
  <si>
    <t>NIFTY_PD_C = 25471.1</t>
  </si>
  <si>
    <t>NIFTY_PD_C = 25682.75</t>
  </si>
  <si>
    <t>NIFTY_PD_C = 25725.4</t>
  </si>
  <si>
    <t>NIFTY_PD_C = 25819.35</t>
  </si>
  <si>
    <t>NIFTY_PD_C = 25454.35</t>
  </si>
  <si>
    <t>NIFTY_PD_C = 25571.25</t>
  </si>
  <si>
    <t>NIFTY_PD_C = 25713</t>
  </si>
  <si>
    <t>NIFTY_PD_C = 25424.65</t>
  </si>
  <si>
    <t>NIFTY_PD_C = 25482.5</t>
  </si>
  <si>
    <t>NIFTY_PD_L</t>
  </si>
  <si>
    <t>NIFTY_PD_L=25001.95</t>
  </si>
  <si>
    <t>NIFTY_PD_L=25088.45</t>
  </si>
  <si>
    <t>NIFTY_PD_L=25121.05</t>
  </si>
  <si>
    <t>NIFTY_PD_L=25101</t>
  </si>
  <si>
    <t>NIFTY_PD_L=24918.65</t>
  </si>
  <si>
    <t>NIFTY_PD_L=24882.3</t>
  </si>
  <si>
    <t>NIFTY_PD_L=25035.55</t>
  </si>
  <si>
    <t>NIFTY_PD_L=25085.5</t>
  </si>
  <si>
    <t>NIFTY_PD_L=24806.35</t>
  </si>
  <si>
    <t>NIFTY_PD_L=24646.6</t>
  </si>
  <si>
    <t>NIFTY_PD_L=24598.6</t>
  </si>
  <si>
    <t>NIFTY_PD_L=24771.95</t>
  </si>
  <si>
    <t>NIFTY_PD_L=24635</t>
  </si>
  <si>
    <t>NIFTY_PD_L=24535.05</t>
  </si>
  <si>
    <t>NIFTY_PD_L=24554</t>
  </si>
  <si>
    <t>NIFTY_PD_L=24590.3</t>
  </si>
  <si>
    <t>NIFTY_PD_L=24539.2</t>
  </si>
  <si>
    <t>NIFTY_PD_L=24344.15</t>
  </si>
  <si>
    <t>NIFTY_PD_L=24337.5</t>
  </si>
  <si>
    <t>NIFTY_PD_L=24347.45</t>
  </si>
  <si>
    <t>NIFTY_PD_L=24465.65</t>
  </si>
  <si>
    <t>NIFTY_PD_L=24535.25</t>
  </si>
  <si>
    <t>NIFTY_PD_L=24596.9</t>
  </si>
  <si>
    <t>NIFTY_PD_L=24852.85</t>
  </si>
  <si>
    <t>NIFTY_PD_L=24873.95</t>
  </si>
  <si>
    <t>NIFTY_PD_L=24929.7</t>
  </si>
  <si>
    <t>NIFTY_PD_L=25054.9</t>
  </si>
  <si>
    <t>NIFTY_PD_L=24859.15</t>
  </si>
  <si>
    <t>NIFTY_PD_L=24394.35</t>
  </si>
  <si>
    <t>NIFTY_PD_L=246689.6</t>
  </si>
  <si>
    <t>NIFTY_PD_L=24481.6</t>
  </si>
  <si>
    <t>NIFTY_PD_L=24404.7</t>
  </si>
  <si>
    <t>NIFTY_PD_L=24467.80</t>
  </si>
  <si>
    <t>NIFTY_PD_L=24522.35</t>
  </si>
  <si>
    <t>NIFTY_PD_L=24533.2</t>
  </si>
  <si>
    <t>NIFTY_PD_L=24708.2</t>
  </si>
  <si>
    <t>NIFTY_PD_L=24621.6</t>
  </si>
  <si>
    <t>NIFTY_PD_L=24751.55</t>
  </si>
  <si>
    <t>NIFTY_PD_L=24814</t>
  </si>
  <si>
    <t>NIFTY_PD_L=24915</t>
  </si>
  <si>
    <t>NIFTY_PD_L=24940.15</t>
  </si>
  <si>
    <t>NIFTY_PD_L=25038.05</t>
  </si>
  <si>
    <t>NIFTY_PD_L=25048.75</t>
  </si>
  <si>
    <t>NIFTY_PD_L=25070.45</t>
  </si>
  <si>
    <t>NIFTY_PD_L=25275.35</t>
  </si>
  <si>
    <t>NIFTY_PD_L=25329.5</t>
  </si>
  <si>
    <t>NIFTY_PD_L=25286.3</t>
  </si>
  <si>
    <t>NIFTY_PD_L=25151.05</t>
  </si>
  <si>
    <t>NIFTY_PD_L=25084.65</t>
  </si>
  <si>
    <t>NIFTY_PD_L=25027.45</t>
  </si>
  <si>
    <t>NIFTY_PD_L=24878.3</t>
  </si>
  <si>
    <t>NIFTY_PD_L = 24629.45</t>
  </si>
  <si>
    <t>NIFTY_PD_L = 24634.9</t>
  </si>
  <si>
    <t>NIFTY_PD_L = 24587.7</t>
  </si>
  <si>
    <t>NIFTY_PD_L = 24605.95</t>
  </si>
  <si>
    <t>NIFTY_PD_L = 24747.55</t>
  </si>
  <si>
    <t>NIFTY_PD_L = 24881.65</t>
  </si>
  <si>
    <t>NIFTY_PD_L = 25076.3</t>
  </si>
  <si>
    <t>NIFTY_PD_L = 25008.5</t>
  </si>
  <si>
    <t>NIFTY_PD_L = 25024.3</t>
  </si>
  <si>
    <t>NIFTY_PD_L = 25156.85</t>
  </si>
  <si>
    <t>NIFTY_PD_L = 25152.3</t>
  </si>
  <si>
    <t>NIFTY_PD_L = 25060.55</t>
  </si>
  <si>
    <t>NIFTY_PD_L = 25159.35</t>
  </si>
  <si>
    <t>NIFTY_PD_L = 25376.85</t>
  </si>
  <si>
    <t>NIFTY_PD_L = 25508.6</t>
  </si>
  <si>
    <t>NIFTY_PD_L = 25825.8</t>
  </si>
  <si>
    <t>NIFTY_PD_L = 25862.45</t>
  </si>
  <si>
    <t>NIFTY_PD_L = 25718.2</t>
  </si>
  <si>
    <t>NIFTY_PD_L = 25827</t>
  </si>
  <si>
    <t>NIFTY_PD_L = 25810.05</t>
  </si>
  <si>
    <t>NIFTY_PD_L = 25845.25</t>
  </si>
  <si>
    <t>NIFTY_PD_L = 25711.2</t>
  </si>
  <si>
    <t>NIFTY_PD_L = 25645.5</t>
  </si>
  <si>
    <t>NIFTY_PD_L = 25378.4</t>
  </si>
  <si>
    <t>NIFTY_PD_L = 25491.55</t>
  </si>
  <si>
    <t>NIFTY_PD_L = 25318.45</t>
  </si>
  <si>
    <t>NIFTY_PD_L = 25449.25</t>
  </si>
  <si>
    <t>NIFTY_PD_L = 25781.15</t>
  </si>
  <si>
    <t>NIFTY_PD_L = 25808.4</t>
  </si>
  <si>
    <t>NIFTY_PD_L = 25740.8</t>
  </si>
  <si>
    <t>NIFTY_PD_L = 25906.35</t>
  </si>
  <si>
    <t>NIFTY_PD_L = 25876.5</t>
  </si>
  <si>
    <t>NIFTY_PD_L = 25856.2</t>
  </si>
  <si>
    <t>NIFTY_PD_L = 26063.2</t>
  </si>
  <si>
    <t>NIFTY_PD_L = 26052.2</t>
  </si>
  <si>
    <t>NIFTY_PD_L = 25912.15</t>
  </si>
  <si>
    <t>NIFTY_PD_L = 25857.5</t>
  </si>
  <si>
    <t>NIFTY_PD_L = 25842.95</t>
  </si>
  <si>
    <t>NIFTY_PD_L = 26141.9</t>
  </si>
  <si>
    <t>NIFTY_PD_L = 26172.4</t>
  </si>
  <si>
    <t>NIFTY_PD_L = 26124.2</t>
  </si>
  <si>
    <t>NIFTY_PD_L = 25997.85</t>
  </si>
  <si>
    <t>NIFTY_PD_L = 25891</t>
  </si>
  <si>
    <t>NIFTY_PD_L = 25938.95</t>
  </si>
  <si>
    <t>NIFTY_PD_L = 25985.35</t>
  </si>
  <si>
    <t>NIFTY_PD_L = 25892.25</t>
  </si>
  <si>
    <t>NIFTY_PD_L = 25728</t>
  </si>
  <si>
    <t>NIFTY_PD_L = 25734.55</t>
  </si>
  <si>
    <t>NIFTY_PD_L = 25693.25</t>
  </si>
  <si>
    <t>NIFTY_PD_L = 25938.45</t>
  </si>
  <si>
    <t>NIFTY_PD_L = 25904.75</t>
  </si>
  <si>
    <t>NIFTY_PD_L = 25834.35</t>
  </si>
  <si>
    <t>NIFTY_PD_L = 25770.35</t>
  </si>
  <si>
    <t>NIFTY_PD_L = 25726.3</t>
  </si>
  <si>
    <t>NIFTY_PD_L = 25880.45</t>
  </si>
  <si>
    <t>NIFTY_PD_L = 26047.8</t>
  </si>
  <si>
    <t>NIFTY_PD_L = 26119.05</t>
  </si>
  <si>
    <t>NIFTY_PD_L = 26123</t>
  </si>
  <si>
    <t>NIFTY_PD_L = 26008.6</t>
  </si>
  <si>
    <t>NIFTY_PD_L = 25920.3</t>
  </si>
  <si>
    <t>NIFTY_PD_L = 25878</t>
  </si>
  <si>
    <t>NIFTY_PD_L = 25969</t>
  </si>
  <si>
    <t>NIFTY_PD_L = 26113.4</t>
  </si>
  <si>
    <t>NIFTY_PD_L = 26118.4</t>
  </si>
  <si>
    <t>NIFTY_PD_L = 26210.05</t>
  </si>
  <si>
    <t>NIFTY_PD_L = 26124.75</t>
  </si>
  <si>
    <t>NIFTY_PD_L = 26067.9</t>
  </si>
  <si>
    <t>NIFTY_PD_L = 25858.45</t>
  </si>
  <si>
    <t>NIFTY_PD_L = 25623</t>
  </si>
  <si>
    <t>NIFTY_PD_L = 25473.4</t>
  </si>
  <si>
    <t>NIFTY_PD_L = 25603.3</t>
  </si>
  <si>
    <t>NIFTY_PD_L = 25662.4</t>
  </si>
  <si>
    <t>NIFTY_PD_L = 25494.35</t>
  </si>
  <si>
    <t>NIFTY_PD_L = 25171.35</t>
  </si>
  <si>
    <t>NIFTY_PD_L = 24919.8</t>
  </si>
  <si>
    <t>NIFTY_PD_L = 25168.5</t>
  </si>
  <si>
    <t>NIFTY_PD_L = 25025.3</t>
  </si>
  <si>
    <t>NIFTY_PD_L = 24932.55</t>
  </si>
  <si>
    <t>NIFTY_PD_L = 25187.65</t>
  </si>
  <si>
    <t>NIFTY_PD_L = 25159.8</t>
  </si>
  <si>
    <t>NIFTY_PD_L = 25213.65</t>
  </si>
  <si>
    <t>NIFTY_PD_L = 24571.75</t>
  </si>
  <si>
    <t>NIFTY_PD_L = 24679.4</t>
  </si>
  <si>
    <t>NIFTY_PD_L = 25641.3</t>
  </si>
  <si>
    <t>NIFTY_PD_L = 25563.95</t>
  </si>
  <si>
    <t>NIFTY_PD_L = 25579.5</t>
  </si>
  <si>
    <t>NIFTY_PD_L = 25491.9</t>
  </si>
  <si>
    <t>NIFTY_PD_L = 25780.9</t>
  </si>
  <si>
    <t>NIFTY_PD_L = 25870.45</t>
  </si>
  <si>
    <t>NIFTY_PD_L = 25899.8</t>
  </si>
  <si>
    <t>NIFTY_PD_L = 25752.4</t>
  </si>
  <si>
    <t>NIFTY_PD_L = 25444.3</t>
  </si>
  <si>
    <t>NIFTY_PD_L = 25372.7</t>
  </si>
  <si>
    <t>NIFTY_PD_L = 25570.3</t>
  </si>
  <si>
    <t>NIFTY_PD_L = 25645.15</t>
  </si>
  <si>
    <t>NIFTY_PD_L = 25388.75</t>
  </si>
  <si>
    <t>NIFTY_PD_L = 25379.75</t>
  </si>
  <si>
    <t>NIFTY_PD_L = 25609.35</t>
  </si>
  <si>
    <t>NIFTY_PD_L = 25327.6</t>
  </si>
  <si>
    <t>NIFTY_PD_L = 25428.2</t>
  </si>
  <si>
    <t>NIFTY_R5</t>
  </si>
  <si>
    <t>NIFTY_R5=25457.1</t>
  </si>
  <si>
    <t>NIFTY_R5=25597.35</t>
  </si>
  <si>
    <t>NIFTY_R5=25555.65</t>
  </si>
  <si>
    <t>NIFTY_R5=25435.4</t>
  </si>
  <si>
    <t>NIFTY_R5=25512.2</t>
  </si>
  <si>
    <t>NIFTY_R5=25694.75</t>
  </si>
  <si>
    <t>NIFTY_R5=25411.05</t>
  </si>
  <si>
    <t>NIFTY_R5=25610.05</t>
  </si>
  <si>
    <t>NIFTY_R5=25607.5</t>
  </si>
  <si>
    <t>NIFTY_R5=25323.2</t>
  </si>
  <si>
    <t>NIFTY_R5=25258.4</t>
  </si>
  <si>
    <t>NIFTY_R5=25475.2</t>
  </si>
  <si>
    <t>NIFTY_R5=25186.9</t>
  </si>
  <si>
    <t>NIFTY_R5=25562.95</t>
  </si>
  <si>
    <t>NIFTY_R5=25156.7</t>
  </si>
  <si>
    <t>NIFTY_R5=25204.25</t>
  </si>
  <si>
    <t>NIFTY_R5=25002.5</t>
  </si>
  <si>
    <t>NIFTY_R5=24894.35</t>
  </si>
  <si>
    <t>NIFTY_R5=25356.95</t>
  </si>
  <si>
    <t>NIFTY_R5=24950.55</t>
  </si>
  <si>
    <t>NIFTY_R5=25255.5</t>
  </si>
  <si>
    <t>NIFTY_R5=25047.55</t>
  </si>
  <si>
    <t>NIFTY_R5=24949.1</t>
  </si>
  <si>
    <t>NIFTY_R5=24821.85</t>
  </si>
  <si>
    <t>NIFTY_R5=25279.65</t>
  </si>
  <si>
    <t>NIFTY_R5=25339.85</t>
  </si>
  <si>
    <t>NIFTY_R5=25461.85</t>
  </si>
  <si>
    <t>NIFTY_R5=25323.8</t>
  </si>
  <si>
    <t>NIFTY_R5=25400.4</t>
  </si>
  <si>
    <t>NIFTY_R5=25289</t>
  </si>
  <si>
    <t>NIFTY_R5=25256.3</t>
  </si>
  <si>
    <t>NIFTY_R5=25023.1</t>
  </si>
  <si>
    <t>NIFTY_R5=24825.65</t>
  </si>
  <si>
    <t>NIFTY_R5=25162.6</t>
  </si>
  <si>
    <t>NIFTY_R5=25144.1</t>
  </si>
  <si>
    <t>NIFTY_R5=25251.3</t>
  </si>
  <si>
    <t>NIFTY_R5=25378.95</t>
  </si>
  <si>
    <t>NIFTY_R5=25272.55</t>
  </si>
  <si>
    <t>NIFTY_R5=25092.9</t>
  </si>
  <si>
    <t>NIFTY_R5=25068.35</t>
  </si>
  <si>
    <t>NIFTY_R5=25273.95</t>
  </si>
  <si>
    <t>NIFTY_R5=25253.95</t>
  </si>
  <si>
    <t>NIFTY_R5=25375.9</t>
  </si>
  <si>
    <t>NIFTY_R5=25285.3</t>
  </si>
  <si>
    <t>NIFTY_R5=25740.85</t>
  </si>
  <si>
    <t>NIFTY_R5=25514.55</t>
  </si>
  <si>
    <t>NIFTY_R5=25733</t>
  </si>
  <si>
    <t>NIFTY_R5=25673</t>
  </si>
  <si>
    <t>NIFTY_R5=25640.95</t>
  </si>
  <si>
    <t>NIFTY_R5=25611.35</t>
  </si>
  <si>
    <t>NIFTY_R5=25352.3</t>
  </si>
  <si>
    <t>NIFTY_R5=25395.3</t>
  </si>
  <si>
    <t>NIFTY_R5 = 25221.15</t>
  </si>
  <si>
    <t>NIFTY_R5 = 25076.35</t>
  </si>
  <si>
    <t>NIFTY_R5 = 24955.15</t>
  </si>
  <si>
    <t>NIFTY_R5 = 25524.4</t>
  </si>
  <si>
    <t>NIFTY_R5 = 25310.05</t>
  </si>
  <si>
    <t>NIFTY_R5 = 25643</t>
  </si>
  <si>
    <t>NIFTY_R5 = 25456.35</t>
  </si>
  <si>
    <t>NIFTY_R5 = 25488.05</t>
  </si>
  <si>
    <t>NIFTY_R5 = 25642.5</t>
  </si>
  <si>
    <t>NIFTY_R5 = 25733.95</t>
  </si>
  <si>
    <t>NIFTY_R5 = 25520.7</t>
  </si>
  <si>
    <t>NIFTY_R5 = 25756.7</t>
  </si>
  <si>
    <t>NIFTY_R5 = 25858.5</t>
  </si>
  <si>
    <t>NIFTY_R5 = 26234.75</t>
  </si>
  <si>
    <t>NIFTY_R5 = 26413.7</t>
  </si>
  <si>
    <t>NIFTY_R5 = 26136.15</t>
  </si>
  <si>
    <t>NIFTY_R5 = 26465.15</t>
  </si>
  <si>
    <t>NIFTY_R5 = 26348</t>
  </si>
  <si>
    <t>NIFTY_R5 = 26429.95</t>
  </si>
  <si>
    <t>NIFTY_R5 = 26518.75</t>
  </si>
  <si>
    <t>NIFTY_R5 = 26324.6</t>
  </si>
  <si>
    <t>NIFTY_R5 = 26291.7</t>
  </si>
  <si>
    <t>NIFTY_R5 = 26170.35</t>
  </si>
  <si>
    <t>NIFTY_R5 = 26091.75</t>
  </si>
  <si>
    <t>NIFTY_R5 = 25953.5</t>
  </si>
  <si>
    <t>NIFTY_R5 = 26093.5</t>
  </si>
  <si>
    <t>NIFTY_R5 = 26398.8</t>
  </si>
  <si>
    <t>NIFTY_R5 = 26265.3</t>
  </si>
  <si>
    <t>NIFTY_R5 = 26374.75</t>
  </si>
  <si>
    <t>NIFTY_R5 = 26431.75</t>
  </si>
  <si>
    <t>NIFTY_R5 = 26324.15</t>
  </si>
  <si>
    <t>NIFTY_R5 = 26279.05</t>
  </si>
  <si>
    <t>NIFTY_R5 = 26627.85</t>
  </si>
  <si>
    <t>NIFTY_R5 = 26663.2</t>
  </si>
  <si>
    <t>NIFTY_R5 = 26369.8</t>
  </si>
  <si>
    <t>NIFTY_R5 = 26513.45</t>
  </si>
  <si>
    <t>NIFTY_R5 = 26302.45</t>
  </si>
  <si>
    <t>NIFTY_R5 = 27194.55</t>
  </si>
  <si>
    <t>NIFTY_R5 = 26633.4</t>
  </si>
  <si>
    <t>NIFTY_R5 = 26465.95</t>
  </si>
  <si>
    <t>NIFTY_R5 = 26663.35</t>
  </si>
  <si>
    <t>NIFTY_R5 = 26409.4</t>
  </si>
  <si>
    <t>NIFTY_R5 = 26427.05</t>
  </si>
  <si>
    <t>NIFTY_R5 = 26437.05</t>
  </si>
  <si>
    <t>NIFTY_R5 = 26760.4</t>
  </si>
  <si>
    <t>NIFTY_R5 = 26651.7</t>
  </si>
  <si>
    <t>NIFTY_R5 = 26333.4</t>
  </si>
  <si>
    <t>NIFTY_R5 = 26263.05</t>
  </si>
  <si>
    <t>NIFTY_R5 = 26502.6</t>
  </si>
  <si>
    <t>NIFTY_R5 = 26361.15</t>
  </si>
  <si>
    <t>NIFTY_R5 = 26400.4</t>
  </si>
  <si>
    <t>NIFTY_R5 = 26210.3</t>
  </si>
  <si>
    <t>NIFTY_R5 = 26205.15</t>
  </si>
  <si>
    <t>NIFTY_R5 = 26256.1</t>
  </si>
  <si>
    <t>NIFTY_R5 = 26258.5</t>
  </si>
  <si>
    <t>NIFTY_R5 = 26524.05</t>
  </si>
  <si>
    <t>NIFTY_R5 = 26463.7</t>
  </si>
  <si>
    <t>NIFTY_R5 = 26413.05</t>
  </si>
  <si>
    <t>NIFTY_R5 = 26369.95</t>
  </si>
  <si>
    <t>NIFTY_R5 = 26384.55</t>
  </si>
  <si>
    <t>NIFTY_R5 = 26189.55</t>
  </si>
  <si>
    <t>NIFTY_R5 = 26694</t>
  </si>
  <si>
    <t>NIFTY_R5 = 26353.95</t>
  </si>
  <si>
    <t>NIFTY_R5 = 26915.65</t>
  </si>
  <si>
    <t>NIFTY_R5 = 26644.4</t>
  </si>
  <si>
    <t>NIFTY_R5 = 26544.8</t>
  </si>
  <si>
    <t>NIFTY_R5 = 26443.3</t>
  </si>
  <si>
    <t>NIFTY_R5 = 26444.45</t>
  </si>
  <si>
    <t>NIFTY_R5 = 26688.6</t>
  </si>
  <si>
    <t>NIFTY_R5 = 26467.15</t>
  </si>
  <si>
    <t>NIFTY_R5 = 26197.55</t>
  </si>
  <si>
    <t>NIFTY_R5 = 26218.05</t>
  </si>
  <si>
    <t>NIFTY_R5 = 26126.1</t>
  </si>
  <si>
    <t>NIFTY_R5 = 25953.95</t>
  </si>
  <si>
    <t>NIFTY_R5 = 25809.3</t>
  </si>
  <si>
    <t>NIFTY_R5 = 25989.25</t>
  </si>
  <si>
    <t>NIFTY_R5 = 25824.85</t>
  </si>
  <si>
    <t>NIFTY_R5 = 26201.4</t>
  </si>
  <si>
    <t>NIFTY_R5 = 26938.05</t>
  </si>
  <si>
    <t>NIFTY_R5 = 26225.05</t>
  </si>
  <si>
    <t>NIFTY_R5 = 27389.4</t>
  </si>
  <si>
    <t>NIFTY_R5 = 26440.75</t>
  </si>
  <si>
    <t>NIFTY_R5 = 26079.6</t>
  </si>
  <si>
    <t>NIFTY_R5 = 26255.75</t>
  </si>
  <si>
    <t>NIFTY_R5 = 26225.9</t>
  </si>
  <si>
    <t>NIFTY_R5 = 26234.4</t>
  </si>
  <si>
    <t>NIFTY_R5 = 26227.6</t>
  </si>
  <si>
    <t>NIFTY_R5 = 26185.5</t>
  </si>
  <si>
    <t>NIFTY_R5 = 25914.15</t>
  </si>
  <si>
    <t>NIFTY_R5 = 26542.8</t>
  </si>
  <si>
    <t>NIFTY_R5 = 26230</t>
  </si>
  <si>
    <t>NIFTY_R5 = 26304.2</t>
  </si>
  <si>
    <t>NIFTY_R5 = 26634.85</t>
  </si>
  <si>
    <t>NIFTY_R5 = 26297.3</t>
  </si>
  <si>
    <t>NIFTY_R5 = 26125.8</t>
  </si>
  <si>
    <t>NIFTY_R5 = 26190.15</t>
  </si>
  <si>
    <t>NIFTY_R5 = 26024.2</t>
  </si>
  <si>
    <t>NIFTY_R4</t>
  </si>
  <si>
    <t>NIFTY_R4=25380.6</t>
  </si>
  <si>
    <t>NIFTY_R4=25509.3</t>
  </si>
  <si>
    <t>NIFTY_R4=25480.55</t>
  </si>
  <si>
    <t>NIFTY_R4=25386.15</t>
  </si>
  <si>
    <t>NIFTY_R4=25420.3</t>
  </si>
  <si>
    <t>NIFTY_R4=25548.9</t>
  </si>
  <si>
    <t>NIFTY_R4=25353.8</t>
  </si>
  <si>
    <t>NIFTY_R4=25515.9</t>
  </si>
  <si>
    <t>NIFTY_R4=25517.2</t>
  </si>
  <si>
    <t>NIFTY_R4=25245</t>
  </si>
  <si>
    <t>NIFTY_R4=25166.1</t>
  </si>
  <si>
    <t>NIFTY_R4=25318.2</t>
  </si>
  <si>
    <t>NIFTY_R4=25115.75</t>
  </si>
  <si>
    <t>NIFTY_R4=25411.35</t>
  </si>
  <si>
    <t>NIFTY_R4=25063.55</t>
  </si>
  <si>
    <t>NIFTY_R4=25087.25</t>
  </si>
  <si>
    <t>NIFTY_R4=24935.15</t>
  </si>
  <si>
    <t>NIFTY_R4=24838.6</t>
  </si>
  <si>
    <t>NIFTY_R4=25176.25</t>
  </si>
  <si>
    <t>NIFTY_R4=24859.3</t>
  </si>
  <si>
    <t>NIFTY_R4=25091.85</t>
  </si>
  <si>
    <t>NIFTY_R4=24961.3</t>
  </si>
  <si>
    <t>NIFTY_R4=24877.95</t>
  </si>
  <si>
    <t>NIFTY_R4=24784.8</t>
  </si>
  <si>
    <t>NIFTY_R4=25215.25</t>
  </si>
  <si>
    <t>NIFTY_R4=25258.05</t>
  </si>
  <si>
    <t>NIFTY_R4=25368.55</t>
  </si>
  <si>
    <t>NIFTY_R4=25281.25</t>
  </si>
  <si>
    <t>NIFTY_R4=25321.5</t>
  </si>
  <si>
    <t>NIFTY_R4=25222.15</t>
  </si>
  <si>
    <t>NIFTY_R4=25172.15</t>
  </si>
  <si>
    <t>NIFTY_R4=24943</t>
  </si>
  <si>
    <t>NIFTY_R4=24762.35</t>
  </si>
  <si>
    <t>NIFTY_R4=25030.85</t>
  </si>
  <si>
    <t>NIFTY_R4=25047.1</t>
  </si>
  <si>
    <t>NIFTY_R4=25122.75</t>
  </si>
  <si>
    <t>NIFTY_R4=25279.4</t>
  </si>
  <si>
    <t>NIFTY_R4=25162.5</t>
  </si>
  <si>
    <t>NIFTY_R4=25041.05</t>
  </si>
  <si>
    <t>NIFTY_R4=25024.2</t>
  </si>
  <si>
    <t>NIFTY_R4=25214.4</t>
  </si>
  <si>
    <t>NIFTY_R4=25199.8</t>
  </si>
  <si>
    <t>NIFTY_R4=25316.8</t>
  </si>
  <si>
    <t>NIFTY_R4=25248.6</t>
  </si>
  <si>
    <t>NIFTY_R4=25621</t>
  </si>
  <si>
    <t>NIFTY_R4=25472.55</t>
  </si>
  <si>
    <t>NIFTY_R4=25662</t>
  </si>
  <si>
    <t>NIFTY_R4=25611.95</t>
  </si>
  <si>
    <t>NIFTY_R4=25563.65</t>
  </si>
  <si>
    <t>NIFTY_R4=25524</t>
  </si>
  <si>
    <t>NIFTY_R4=25301.7</t>
  </si>
  <si>
    <t>NIFTY_R4=25319.65</t>
  </si>
  <si>
    <t>NIFTY_R4 = 25133</t>
  </si>
  <si>
    <t>NIFTY_R4 = 25005.1</t>
  </si>
  <si>
    <t>NIFTY_R4 = 24899.3</t>
  </si>
  <si>
    <t>NIFTY_R4 = 25360.3</t>
  </si>
  <si>
    <t>NIFTY_R4 = 25208.75</t>
  </si>
  <si>
    <t>NIFTY_R4 = 25506.25</t>
  </si>
  <si>
    <t>NIFTY_R4 = 25397.5</t>
  </si>
  <si>
    <t>NIFTY_R4 = 25414.15</t>
  </si>
  <si>
    <t>NIFTY_R4 = 25531.7</t>
  </si>
  <si>
    <t>NIFTY_R4 = 25633.15</t>
  </si>
  <si>
    <t>NIFTY_R4 = 25457.35</t>
  </si>
  <si>
    <t>NIFTY_R4 = 25645.1</t>
  </si>
  <si>
    <t>NIFTY_R4 = 25735.15</t>
  </si>
  <si>
    <t>NIFTY_R4 = 26082.4</t>
  </si>
  <si>
    <t>NIFTY_R4 = 26255.65</t>
  </si>
  <si>
    <t>NIFTY_R4 = 26085.7</t>
  </si>
  <si>
    <t>NIFTY_R4 = 26374.9</t>
  </si>
  <si>
    <t>NIFTY_R4 = 26247.05</t>
  </si>
  <si>
    <t>NIFTY_R4 = 26323.95</t>
  </si>
  <si>
    <t>NIFTY_R4 = 26399.5</t>
  </si>
  <si>
    <t>NIFTY_R4 = 26251.45</t>
  </si>
  <si>
    <t>NIFTY_R4 = 26207.2</t>
  </si>
  <si>
    <t>NIFTY_R4 = 26078.55</t>
  </si>
  <si>
    <t>NIFTY_R4 = 26015.65</t>
  </si>
  <si>
    <t>NIFTY_R4 = 25884.9</t>
  </si>
  <si>
    <t>NIFTY_R4 = 25957.9</t>
  </si>
  <si>
    <t>NIFTY_R4 = 26228.05</t>
  </si>
  <si>
    <t>NIFTY_R4 = 26182.6</t>
  </si>
  <si>
    <t>NIFTY_R4 = 26283.75</t>
  </si>
  <si>
    <t>NIFTY_R4 = 26308.85</t>
  </si>
  <si>
    <t>NIFTY_R4 = 26249.15</t>
  </si>
  <si>
    <t>NIFTY_R4 = 26216.75</t>
  </si>
  <si>
    <t>NIFTY_R4 = 26489.55</t>
  </si>
  <si>
    <t>NIFTY_R4 = 26559.05</t>
  </si>
  <si>
    <t>NIFTY_R4 = 26322.15</t>
  </si>
  <si>
    <t>NIFTY_R4 = 26420.8</t>
  </si>
  <si>
    <t>NIFTY_R4 = 26235</t>
  </si>
  <si>
    <t>NIFTY_R4 = 26949</t>
  </si>
  <si>
    <t>NIFTY_R4 = 26552.65</t>
  </si>
  <si>
    <t>NIFTY_R4 = 26419.65</t>
  </si>
  <si>
    <t>NIFTY_R4 = 26578.95</t>
  </si>
  <si>
    <t>NIFTY_R4 = 26345.7</t>
  </si>
  <si>
    <t>NIFTY_R4 = 26336.9</t>
  </si>
  <si>
    <t>NIFTY_R4 = 26352.35</t>
  </si>
  <si>
    <t>NIFTY_R4 = 26620.95</t>
  </si>
  <si>
    <t>NIFTY_R4 = 26533.45</t>
  </si>
  <si>
    <t>NIFTY_R4 = 26230.95</t>
  </si>
  <si>
    <t>NIFTY_R4 = 26184.2</t>
  </si>
  <si>
    <t>NIFTY_R4 = 26357.65</t>
  </si>
  <si>
    <t>NIFTY_R4 = 26285.25</t>
  </si>
  <si>
    <t>NIFTY_R4 = 26312.1</t>
  </si>
  <si>
    <t>NIFTY_R4 = 26152.9</t>
  </si>
  <si>
    <t>NIFTY_R4 = 26136.15</t>
  </si>
  <si>
    <t>NIFTY_R4 = 26167.65</t>
  </si>
  <si>
    <t>NIFTY_R4 = 26192.2</t>
  </si>
  <si>
    <t>NIFTY_R4 = 26438.2</t>
  </si>
  <si>
    <t>NIFTY_R4 = 26406.15</t>
  </si>
  <si>
    <t>NIFTY_R4 = 26368.9</t>
  </si>
  <si>
    <t>NIFTY_R4 = 26313.5</t>
  </si>
  <si>
    <t>NIFTY_R4 = 26315.1</t>
  </si>
  <si>
    <t>NIFTY_R4 = 26136.35</t>
  </si>
  <si>
    <t>NIFTY_R4 = 26567.5</t>
  </si>
  <si>
    <t>NIFTY_R4 = 26314.85</t>
  </si>
  <si>
    <t>NIFTY_R4 = 26771.75</t>
  </si>
  <si>
    <t>NIFTY_R4 = 26576.6</t>
  </si>
  <si>
    <t>NIFTY_R4 = 26477.1</t>
  </si>
  <si>
    <t>NIFTY_R4 = 26379.2</t>
  </si>
  <si>
    <t>NIFTY_R4 = 26426.35</t>
  </si>
  <si>
    <t>NIFTY_R4 = 26318.5</t>
  </si>
  <si>
    <t>NIFTY_R4 = 26469.75</t>
  </si>
  <si>
    <t>NIFTY_R4 = 26325.3</t>
  </si>
  <si>
    <t>NIFTY_R4 = 26116.55</t>
  </si>
  <si>
    <t>NIFTY_R4 = 26059.8</t>
  </si>
  <si>
    <t>NIFTY_R4 = 25919.8</t>
  </si>
  <si>
    <t>NIFTY_R4 = 25824.4</t>
  </si>
  <si>
    <t>NIFTY_R4 = 25693.95</t>
  </si>
  <si>
    <t>NIFTY_R4 = 25803.6</t>
  </si>
  <si>
    <t>NIFTY_R4 = 25711.65</t>
  </si>
  <si>
    <t>NIFTY_R4 = 26015.6</t>
  </si>
  <si>
    <t>NIFTY_R4 = 26563.75</t>
  </si>
  <si>
    <t>NIFTY_R4 = 25945.8</t>
  </si>
  <si>
    <t>NIFTY_R4 = 27127.35</t>
  </si>
  <si>
    <t>NIFTY_R4 = 26285.2</t>
  </si>
  <si>
    <t>NIFTY_R4 = 25999.1</t>
  </si>
  <si>
    <t>NIFTY_R4 = 26117.8</t>
  </si>
  <si>
    <t>NIFTY_R4 = 26150</t>
  </si>
  <si>
    <t>NIFTY_R4 = 26173.15</t>
  </si>
  <si>
    <t>NIFTY_R4 = 26173.05</t>
  </si>
  <si>
    <t>NIFTY_R4 = 26115.8</t>
  </si>
  <si>
    <t>NIFTY_R4 = 25843.2</t>
  </si>
  <si>
    <t>NIFTY_R4 = 26331.35</t>
  </si>
  <si>
    <t>NIFTY_R4 = 26113.6</t>
  </si>
  <si>
    <t>NIFTY_R4 = 26185.15</t>
  </si>
  <si>
    <t>NIFTY_R4 = 26447.45</t>
  </si>
  <si>
    <t>NIFTY_R4 = 26138.85</t>
  </si>
  <si>
    <t>NIFTY_R4 = 26037.2</t>
  </si>
  <si>
    <t>NIFTY_R4 = 26053.05</t>
  </si>
  <si>
    <t>NIFTY_R4 = 25931.3</t>
  </si>
  <si>
    <t>NIFTY_R3</t>
  </si>
  <si>
    <t>NIFTY_R3=25034.1</t>
  </si>
  <si>
    <t>NIFTY_R3=2542125</t>
  </si>
  <si>
    <t>NIFTY_R3=25405.45</t>
  </si>
  <si>
    <t>NIFTY_R3=25336.9</t>
  </si>
  <si>
    <t>NIFTY_R3=25328.4</t>
  </si>
  <si>
    <t>NIFTY_R3=25403.05</t>
  </si>
  <si>
    <t>NIFTY_R3=25296.55</t>
  </si>
  <si>
    <t>NIFTY_R3=25421.75</t>
  </si>
  <si>
    <t>NIFTY_R3=25426.9</t>
  </si>
  <si>
    <t>NIFTY_R3=25166.8</t>
  </si>
  <si>
    <t>NIFTY_R3=25073.8</t>
  </si>
  <si>
    <t>NIFTY_R3=25161.2</t>
  </si>
  <si>
    <t>NIFTY_R3=25044.6</t>
  </si>
  <si>
    <t>NIFTY_R3=25259.75</t>
  </si>
  <si>
    <t>NIFTY_R3=24970.4</t>
  </si>
  <si>
    <t>NIFTY_R3=24970.25</t>
  </si>
  <si>
    <t>NIFTY_R3=24867.8</t>
  </si>
  <si>
    <t>NIFTY_R3=24782.85</t>
  </si>
  <si>
    <t>NIFTY_R3=24995.55</t>
  </si>
  <si>
    <t>NIFTY_R3=24768.05</t>
  </si>
  <si>
    <t>NIFTY_R3=24928.2</t>
  </si>
  <si>
    <t>NIFTY_R3=24875.05</t>
  </si>
  <si>
    <t>NIFTY_R3=24806.8</t>
  </si>
  <si>
    <t>NIFTY_R3=24747.75</t>
  </si>
  <si>
    <t>NIFTY_R3=25150.85</t>
  </si>
  <si>
    <t>NIFTY_R3=25176.25</t>
  </si>
  <si>
    <t>NIFTY_R3=25275.25</t>
  </si>
  <si>
    <t>NIFTY_R3=25238.7</t>
  </si>
  <si>
    <t>NIFTY_R3=25242.6</t>
  </si>
  <si>
    <t>NIFTY_R3=25155.3</t>
  </si>
  <si>
    <t>NIFTY_R3=25088</t>
  </si>
  <si>
    <t>NIFTY_R3=24862.9</t>
  </si>
  <si>
    <t>NIFTY_R3=24699.05</t>
  </si>
  <si>
    <t>NIFTY_R3=24899.1</t>
  </si>
  <si>
    <t>NIFTY_R3=24950.1</t>
  </si>
  <si>
    <t>NIFTY_R3=24994.2</t>
  </si>
  <si>
    <t>NIFTY_R3=25179.85</t>
  </si>
  <si>
    <t>NIFTY_R3=25052.45</t>
  </si>
  <si>
    <t>NIFTY_R3=24989.2</t>
  </si>
  <si>
    <t>NIFTY_R3=24980.05</t>
  </si>
  <si>
    <t>NIFTY_R3=25154.85</t>
  </si>
  <si>
    <t>NIFTY_R3=25145.65</t>
  </si>
  <si>
    <t>NIFTY_R3=25257.7</t>
  </si>
  <si>
    <t>NIFTY_R3=25211.9</t>
  </si>
  <si>
    <t>NIFTY_R3=25501.15</t>
  </si>
  <si>
    <t>NIFTY_R3=25430.55</t>
  </si>
  <si>
    <t>NIFTY_R3=25591</t>
  </si>
  <si>
    <t>NIFTY_R3=25550.9</t>
  </si>
  <si>
    <t>NIFTY_R3=25486.35</t>
  </si>
  <si>
    <t>NIFTY_R3=25436.65</t>
  </si>
  <si>
    <t>NIFTY_R3=25251.1</t>
  </si>
  <si>
    <t>NIFTY_R3=25244</t>
  </si>
  <si>
    <t>NIFTY_R3 = 25044.85</t>
  </si>
  <si>
    <t>NIFTY_R3 = 24933.85</t>
  </si>
  <si>
    <t>NIFTY_R3 = 24843.45</t>
  </si>
  <si>
    <t>NIFTY_R3 = 25196.2</t>
  </si>
  <si>
    <t>NIFTY_R3 = 25107.45</t>
  </si>
  <si>
    <t>NIFTY_R3 = 25369.5</t>
  </si>
  <si>
    <t>NIFTY_R3 = 25338.65</t>
  </si>
  <si>
    <t>NIFTY_R3 = 25340.25</t>
  </si>
  <si>
    <t>NIFTY_R3 = 25420.9</t>
  </si>
  <si>
    <t>NIFTY_R3 = 25532.35</t>
  </si>
  <si>
    <t>NIFTY_R3 = 25394</t>
  </si>
  <si>
    <t>NIFTY_R3 = 25533.5</t>
  </si>
  <si>
    <t>NIFTY_R3 = 25611.8</t>
  </si>
  <si>
    <t>NIFTY_R3 = 25930.05</t>
  </si>
  <si>
    <t>NIFTY_R3 = 26097.6</t>
  </si>
  <si>
    <t>NIFTY_R3 = 26035.25</t>
  </si>
  <si>
    <t>NIFTY_R3 = 26284.65</t>
  </si>
  <si>
    <t>NIFTY_R3 = 26146.1</t>
  </si>
  <si>
    <t>NIFTY_R3 = 26217.95</t>
  </si>
  <si>
    <t>NIFTY_R3 = 26280.25</t>
  </si>
  <si>
    <t>NIFTY_R3 = 26178.3</t>
  </si>
  <si>
    <t>NIFTY_R3 = 26122.7</t>
  </si>
  <si>
    <t>NIFTY_R3 = 25986.75</t>
  </si>
  <si>
    <t>NIFTY_R3 = 25939.55</t>
  </si>
  <si>
    <t>NIFTY_R3 = 25816.3</t>
  </si>
  <si>
    <t>NIFTY_R3 = 25822.35</t>
  </si>
  <si>
    <t>NIFTY_R3 = 26057.3</t>
  </si>
  <si>
    <t>NIFTY_R3 = 26099.9</t>
  </si>
  <si>
    <t>NIFTY_R3 = 26192.75</t>
  </si>
  <si>
    <t>NIFTY_R3 = 26185.95</t>
  </si>
  <si>
    <t>NIFTY_R3 = 26174.15</t>
  </si>
  <si>
    <t>NIFTY_R3 = 26154.45</t>
  </si>
  <si>
    <t>NIFTY_R3 = 26351.25</t>
  </si>
  <si>
    <t>NIFTY_R3 = 26454.9</t>
  </si>
  <si>
    <t>NIFTY_R3 = 26274.5</t>
  </si>
  <si>
    <t>NIFTY_R3 = 26328.15</t>
  </si>
  <si>
    <t>NIFTY_R3 = 26167.55</t>
  </si>
  <si>
    <t>NIFTY_R3 = 26704.85</t>
  </si>
  <si>
    <t>NIFTY_R3 = 26471</t>
  </si>
  <si>
    <t>NIFTY_R3 = 26373.35</t>
  </si>
  <si>
    <t>NIFTY_R3 = 26494.55</t>
  </si>
  <si>
    <t>NIFTY_R3 = 26282</t>
  </si>
  <si>
    <t>NIFTY_R3 = 26246.75</t>
  </si>
  <si>
    <t>NIFTY_R3 = 26267.65</t>
  </si>
  <si>
    <t>NIFTY_R3 = 26481.5</t>
  </si>
  <si>
    <t>NIFTY_R3 = 26415.2</t>
  </si>
  <si>
    <t>NIFTY_R3 = 26128.5</t>
  </si>
  <si>
    <t>NIFTY_R3 = 26105.35</t>
  </si>
  <si>
    <t>NIFTY_R3 = 26212.7</t>
  </si>
  <si>
    <t>NIFTY_R3 = 26209.35</t>
  </si>
  <si>
    <t>NIFTY_R3 = 26223.8</t>
  </si>
  <si>
    <t>NIFTY_R3 = 26095.5</t>
  </si>
  <si>
    <t>NIFTY_R3 = 26067.15</t>
  </si>
  <si>
    <t>NIFTY_R3 = 26079.2</t>
  </si>
  <si>
    <t>NIFTY_R3 = 26125.9</t>
  </si>
  <si>
    <t>NIFTY_R3 = 26352.35</t>
  </si>
  <si>
    <t>NIFTY_R3 = 26348.6</t>
  </si>
  <si>
    <t>NIFTY_R3 = 26324.75</t>
  </si>
  <si>
    <t>NIFTY_R3 = 26257.05</t>
  </si>
  <si>
    <t>NIFTY_R3 = 26245.65</t>
  </si>
  <si>
    <t>NIFTY_R3 = 26083.15</t>
  </si>
  <si>
    <t>NIFTY_R3 = 26441</t>
  </si>
  <si>
    <t>NIFTY_R3 = 26275.75</t>
  </si>
  <si>
    <t>NIFTY_R3 = 26627.85</t>
  </si>
  <si>
    <t>NIFTY_R3 = 26508.8</t>
  </si>
  <si>
    <t>NIFTY_R3 = 26409.4</t>
  </si>
  <si>
    <t>NIFTY_R3 = 26315.2</t>
  </si>
  <si>
    <t>NIFTY_R3 = 26328.65</t>
  </si>
  <si>
    <t>NIFTY_R3 = 26192.55</t>
  </si>
  <si>
    <t>NIFTY_R3 = 26250.9</t>
  </si>
  <si>
    <t>NIFTY_R3 = 26183.45</t>
  </si>
  <si>
    <t>NIFTY_R3 = 26035.55</t>
  </si>
  <si>
    <t>NIFTY_R3 = 25901.55</t>
  </si>
  <si>
    <t>NIFTY_R3 = 25713.5</t>
  </si>
  <si>
    <t>NIFTY_R3 = 25694.85</t>
  </si>
  <si>
    <t>NIFTY_R3 = 25578.6</t>
  </si>
  <si>
    <t>NIFTY_R3 = 25617.95</t>
  </si>
  <si>
    <t>NIFTY_R3 = 25598.45</t>
  </si>
  <si>
    <t>NIFTY_R3 = 25829.8</t>
  </si>
  <si>
    <t>NIFTY_R3 = 26189.45</t>
  </si>
  <si>
    <t>NIFTY_R3 = 25666.55</t>
  </si>
  <si>
    <t>NIFTY_R3 = 26865.3</t>
  </si>
  <si>
    <t>NIFTY_R3 = 26129.65</t>
  </si>
  <si>
    <t>NIFTY_R3 = 25918.6</t>
  </si>
  <si>
    <t>NIFTY_R3 = 25979.85</t>
  </si>
  <si>
    <t>NIFTY_R3 = 26074.1</t>
  </si>
  <si>
    <t>NIFTY_R3 = 26111.9</t>
  </si>
  <si>
    <t>NIFTY_R3 = 26118.5</t>
  </si>
  <si>
    <t>NIFTY_R3 = 26046.1</t>
  </si>
  <si>
    <t>NIFTY_R3 = 25772.25</t>
  </si>
  <si>
    <t>NIFTY_R3 = 26119.9</t>
  </si>
  <si>
    <t>NIFTY_R3 = 25997.2</t>
  </si>
  <si>
    <t>NIFTY_R3 = 26066.1</t>
  </si>
  <si>
    <t>NIFTY_R3 = 26260.05</t>
  </si>
  <si>
    <t>NIFTY_R3 = 25980.4</t>
  </si>
  <si>
    <t>NIFTY_R3 = 25948.6</t>
  </si>
  <si>
    <t>NIFTY_R3 = 25915.95</t>
  </si>
  <si>
    <t>NIFTY_R3 = 25838.4</t>
  </si>
  <si>
    <t>NIFTY_R2</t>
  </si>
  <si>
    <t>NIFTY_R2=25227.6</t>
  </si>
  <si>
    <t>NIFTY_R2=25333.25</t>
  </si>
  <si>
    <t>NIFTY_R2=25330.4</t>
  </si>
  <si>
    <t>NIFTY_R2=25287.6</t>
  </si>
  <si>
    <t>NIFTY_R2=25236.5</t>
  </si>
  <si>
    <t>NIFTY_R2=25257.25</t>
  </si>
  <si>
    <t>NIFTY_R2=25239.25</t>
  </si>
  <si>
    <t>NIFTY_R2=25327.65</t>
  </si>
  <si>
    <t>NIFTY_R2=25336.55</t>
  </si>
  <si>
    <t>NIFTY_R2=25088.55</t>
  </si>
  <si>
    <t>NIFTY_R2=24981.50</t>
  </si>
  <si>
    <t>NIFTY_R2=25004.15</t>
  </si>
  <si>
    <t>NIFTY_R2=24973.45</t>
  </si>
  <si>
    <t>NIFTY_R2=25108.1</t>
  </si>
  <si>
    <t>NIFTY_R2=24877.3</t>
  </si>
  <si>
    <t>NIFTY_R2=24853.25</t>
  </si>
  <si>
    <t>NIFTY_R2=24800.45</t>
  </si>
  <si>
    <t>NIFTY_R2=24727.15</t>
  </si>
  <si>
    <t>NIFTY_R2=24814.9</t>
  </si>
  <si>
    <t>NIFTY_R2=24676.75</t>
  </si>
  <si>
    <t>NIFTY_R2=24764.5</t>
  </si>
  <si>
    <t>NIFTY_R2=24788.85</t>
  </si>
  <si>
    <t>NIFTY_R2=24735.7</t>
  </si>
  <si>
    <t>NIFTY_R2=24710.7</t>
  </si>
  <si>
    <t>NIFTY_R2=25086.4</t>
  </si>
  <si>
    <t>NIFTY_R2=25094.45</t>
  </si>
  <si>
    <t>NIFTY_R2=25182</t>
  </si>
  <si>
    <t>NIFTY_R2=25196.2</t>
  </si>
  <si>
    <t>NIFTY_R2=25163.75</t>
  </si>
  <si>
    <t>NIFTY_R2=25088.4</t>
  </si>
  <si>
    <t>NIFTY_R2=25003.8</t>
  </si>
  <si>
    <t>NIFTY_R2=24782.75</t>
  </si>
  <si>
    <t>NIFTY_R2=24635.75</t>
  </si>
  <si>
    <t>NIFTY_R2=24767.35</t>
  </si>
  <si>
    <t>NIFTY_R2=24853.1</t>
  </si>
  <si>
    <t>NIFTY_R2=24865.6</t>
  </si>
  <si>
    <t>NIFTY_R2=25080.3</t>
  </si>
  <si>
    <t>NIFTY_R2=24942.4</t>
  </si>
  <si>
    <t>NIFTY_R2=24937.35</t>
  </si>
  <si>
    <t>NIFTY_R2=24935.95</t>
  </si>
  <si>
    <t>NIFTY_R2=25095.25</t>
  </si>
  <si>
    <t>NIFTY_R2=25091.45</t>
  </si>
  <si>
    <t>NIFTY_R2=25198.55</t>
  </si>
  <si>
    <t>NIFTY_R2=25175.15</t>
  </si>
  <si>
    <t>NIFTY_R2=25381.25</t>
  </si>
  <si>
    <t>NIFTY_R2=25388.5</t>
  </si>
  <si>
    <t>NIFTY_R2=25519.95</t>
  </si>
  <si>
    <t>NIFTY_R2=25489.8</t>
  </si>
  <si>
    <t>NIFTY_R2=25409</t>
  </si>
  <si>
    <t>NIFTY_R2=25349.25</t>
  </si>
  <si>
    <t>NIFTY_R2=25200.45</t>
  </si>
  <si>
    <t>NIFTY_R2=25168.35</t>
  </si>
  <si>
    <t>NIFTY_R2 = 24956.75</t>
  </si>
  <si>
    <t>NIFTY_R2 = 24862.55</t>
  </si>
  <si>
    <t>NIFTY_R2 = 24787.65</t>
  </si>
  <si>
    <t>NIFTY_R2 = 25032.05</t>
  </si>
  <si>
    <t>NIFTY_R2 = 25006.1</t>
  </si>
  <si>
    <t>NIFTY_R2 = 25232.7</t>
  </si>
  <si>
    <t>NIFTY_R2 = 25279.75</t>
  </si>
  <si>
    <t>NIFTY_R2 = 25266.4</t>
  </si>
  <si>
    <t>NIFTY_R2 = 25310.05</t>
  </si>
  <si>
    <t>NIFTY_R2 = 25431.55</t>
  </si>
  <si>
    <t>NIFTY_R2 = 25330.65</t>
  </si>
  <si>
    <t>NIFTY_R2 = 25421.95</t>
  </si>
  <si>
    <t>NIFTY_R2 = 25488.5</t>
  </si>
  <si>
    <t>NIFTY_R2 = 25777.75</t>
  </si>
  <si>
    <t>NIFTY_R2 = 25939.55</t>
  </si>
  <si>
    <t>NIFTY_R2 = 25984.8</t>
  </si>
  <si>
    <t>NIFTY_R2 = 26194.45</t>
  </si>
  <si>
    <t>NIFTY_R2 = 26045.1</t>
  </si>
  <si>
    <t>NIFTY_R2 = 26111.95</t>
  </si>
  <si>
    <t>NIFTY_R2 = 26160.95</t>
  </si>
  <si>
    <t>NIFTY_R2 = 26105.2</t>
  </si>
  <si>
    <t>NIFTY_R2 = 26038.25</t>
  </si>
  <si>
    <t>NIFTY_R2 = 25894.9</t>
  </si>
  <si>
    <t>NIFTY_R2 = 25863.5</t>
  </si>
  <si>
    <t>NIFTY_R2 = 25747.75</t>
  </si>
  <si>
    <t>NIFTY_R2 = 25686.8</t>
  </si>
  <si>
    <t>NIFTY_R2 = 25886.55</t>
  </si>
  <si>
    <t>NIFTY_R2 = 26017.25</t>
  </si>
  <si>
    <t>NIFTY_R2 = 26101.7</t>
  </si>
  <si>
    <t>NIFTY_R2 = 26063.1</t>
  </si>
  <si>
    <t>NIFTY_R2 = 26099.2</t>
  </si>
  <si>
    <t>NIFTY_R2 = 26092.15</t>
  </si>
  <si>
    <t>NIFTY_R2 = 26212.95</t>
  </si>
  <si>
    <t>NIFTY_R2 = 26350.8</t>
  </si>
  <si>
    <t>NIFTY_R2 = 26226.85</t>
  </si>
  <si>
    <t>NIFTY_R2 = 26235.45</t>
  </si>
  <si>
    <t>NIFTY_R2 = 26100.05</t>
  </si>
  <si>
    <t>NIFTY_R2 = 26460</t>
  </si>
  <si>
    <t>NIFTY_R2 = 26391.2</t>
  </si>
  <si>
    <t>NIFTY_R2 = 26327.05</t>
  </si>
  <si>
    <t>NIFTY_R2 = 26410.2</t>
  </si>
  <si>
    <t>NIFTY_R2 = 26218.3</t>
  </si>
  <si>
    <t>NIFTY_R2 = 26156.6</t>
  </si>
  <si>
    <t>NIFTY_R2 = 26182.95</t>
  </si>
  <si>
    <t>NIFTY_R2 = 26342.05</t>
  </si>
  <si>
    <t>NIFTY_R2 = 26296.95</t>
  </si>
  <si>
    <t>NIFTY_R2 = 26026.1</t>
  </si>
  <si>
    <t>NIFTY_R2 = 26026.5</t>
  </si>
  <si>
    <t>NIFTY_R2 = 26067.75</t>
  </si>
  <si>
    <t>NIFTY_R2 = 26133.5</t>
  </si>
  <si>
    <t>NIFTY_R2 = 26135.45</t>
  </si>
  <si>
    <t>NIFTY_R2 = 26038.15</t>
  </si>
  <si>
    <t>NIFTY_R2 = 25998.15</t>
  </si>
  <si>
    <t>NIFTY_R2 = 25990.8</t>
  </si>
  <si>
    <t>NIFTY_R2 = 26059.65</t>
  </si>
  <si>
    <t>NIFTY_R2 = 26266.55</t>
  </si>
  <si>
    <t>NIFTY_R2 = 26291.1</t>
  </si>
  <si>
    <t>NIFTY_R2 = 26280.55</t>
  </si>
  <si>
    <t>NIFTY_R2 = 26200.65</t>
  </si>
  <si>
    <t>NIFTY_R2 = 26176.25</t>
  </si>
  <si>
    <t>NIFTY_R2 = 26029.95</t>
  </si>
  <si>
    <t>NIFTY_R2 = 26314.45</t>
  </si>
  <si>
    <t>NIFTY_R2 = 26236.65</t>
  </si>
  <si>
    <t>NIFTY_R2 = 26483.9</t>
  </si>
  <si>
    <t>NIFTY_R2 = 26441</t>
  </si>
  <si>
    <t>NIFTY_R2 = 26341.65</t>
  </si>
  <si>
    <t>NIFTY_R2 = 26251.2</t>
  </si>
  <si>
    <t>NIFTY_R2 = 26230.9</t>
  </si>
  <si>
    <t>NIFTY_R2 = 26066.55</t>
  </si>
  <si>
    <t>NIFTY_R2 = 26032</t>
  </si>
  <si>
    <t>NIFTY_R2 = 26041.65</t>
  </si>
  <si>
    <t>NIFTY_R2 = 25954.5</t>
  </si>
  <si>
    <t>NIFTY_R2 = 25743.25</t>
  </si>
  <si>
    <t>NIFTY_R2 = 25507.25</t>
  </si>
  <si>
    <t>NIFTY_R2 = 25565.3</t>
  </si>
  <si>
    <t>NIFTY_R2 = 25463.3</t>
  </si>
  <si>
    <t>NIFTY_R2 = 25432.3</t>
  </si>
  <si>
    <t>NIFTY_R2 = 25485.3</t>
  </si>
  <si>
    <t>NIFTY_R2 = 25643.95</t>
  </si>
  <si>
    <t>NIFTY_R2 = 25815.2</t>
  </si>
  <si>
    <t>NIFTY_R2 = 25387.35</t>
  </si>
  <si>
    <t>NIFTY_R2 = 26603.25</t>
  </si>
  <si>
    <t>NIFTY_R2 = 25974.1</t>
  </si>
  <si>
    <t>NIFTY_R2 = 25838.15</t>
  </si>
  <si>
    <t>NIFTY_R2 = 25841.9</t>
  </si>
  <si>
    <t>NIFTY_R2 = 26050.7</t>
  </si>
  <si>
    <t>NIFTY_R2 = 26063.95</t>
  </si>
  <si>
    <t>NIFTY_R2 = 25976.4</t>
  </si>
  <si>
    <t>NIFTY_R2 = 25701.3</t>
  </si>
  <si>
    <t>NIFTY_R2 = 25908.45</t>
  </si>
  <si>
    <t>NIFTY_R2 = 25880.8</t>
  </si>
  <si>
    <t>NIFTY_R2 = 25947.1</t>
  </si>
  <si>
    <t>NIFTY_R2 = 26072.7</t>
  </si>
  <si>
    <t>NIFTY_R2 = 25822</t>
  </si>
  <si>
    <t>NIFTY_R2 = 25860.05</t>
  </si>
  <si>
    <t>NIFTY_R2 = 25778.9</t>
  </si>
  <si>
    <t>NIFTY_R2 = 25745.5</t>
  </si>
  <si>
    <t>NIFTY_R1</t>
  </si>
  <si>
    <t>NIFTY_R1=25154.5</t>
  </si>
  <si>
    <t>NIFTY_R1=25264.5</t>
  </si>
  <si>
    <t>NIFTY_R1=25271.2</t>
  </si>
  <si>
    <t>NIFTY_R1=25199.5</t>
  </si>
  <si>
    <t>NIFTY_R1=25102.45</t>
  </si>
  <si>
    <t>NIFTY_R1=25173.95</t>
  </si>
  <si>
    <t>NIFTY_R1=25150.1</t>
  </si>
  <si>
    <t>NIFTY_R1=25273.75</t>
  </si>
  <si>
    <t>NIFTY_R1=25199.35</t>
  </si>
  <si>
    <t>NIFTY_R1=24962.8</t>
  </si>
  <si>
    <t>NIFTY_R1=24831.2</t>
  </si>
  <si>
    <t>NIFTY_R1=24912.65</t>
  </si>
  <si>
    <t>NIFTY_R1=24914.25</t>
  </si>
  <si>
    <t>NIFTY_R1=24938.25</t>
  </si>
  <si>
    <t>NIFTY_R1=24721.3</t>
  </si>
  <si>
    <t>NIFTY_R1=24788</t>
  </si>
  <si>
    <t>NIFTY_R1=24725</t>
  </si>
  <si>
    <t>NIFTY_R1=24650.65</t>
  </si>
  <si>
    <t>NIFTY_R1=24705.5</t>
  </si>
  <si>
    <t>NIFTY_R1=24520.05</t>
  </si>
  <si>
    <t>NIFTY_R1=24674.8</t>
  </si>
  <si>
    <t>NIFTY_R1=24638.1</t>
  </si>
  <si>
    <t>NIFTY_R1=2467750</t>
  </si>
  <si>
    <t>NIFTY_R1=24671</t>
  </si>
  <si>
    <t>NIFTY_R1=24981.7</t>
  </si>
  <si>
    <t>NIFTY_R1=25037.55</t>
  </si>
  <si>
    <t>NIFTY_R1=25116.25</t>
  </si>
  <si>
    <t>NIFTY_R1=25139.95</t>
  </si>
  <si>
    <t>NIFTY_R1=25016.9</t>
  </si>
  <si>
    <t>NIFTY_R1=25028.1</t>
  </si>
  <si>
    <t>NIFTY_R1=24857.95</t>
  </si>
  <si>
    <t>NIFTY_R1=24641.85</t>
  </si>
  <si>
    <t>NIFTY_R1=24531.3</t>
  </si>
  <si>
    <t>NIFTY_R1=24696.2</t>
  </si>
  <si>
    <t>NIFTY_R1=24716.3</t>
  </si>
  <si>
    <t>NIFTY_R1=24790.35</t>
  </si>
  <si>
    <t>NIFTY_R1=24907.3</t>
  </si>
  <si>
    <t>NIFTY_R1=24841.7</t>
  </si>
  <si>
    <t>NIFTY_R1=24855.25</t>
  </si>
  <si>
    <t>NIFTY_R1=24902.25</t>
  </si>
  <si>
    <t>NIFTY_R1=25034.2</t>
  </si>
  <si>
    <t>NIFTY_R1=25048.5</t>
  </si>
  <si>
    <t>NIFTY_R1=25156.3</t>
  </si>
  <si>
    <t>NIFTY_R1=25122.2</t>
  </si>
  <si>
    <t>NIFTY_R1=25310.20</t>
  </si>
  <si>
    <t>NIFTY_R1=25359.4</t>
  </si>
  <si>
    <t>NIFTY_R1=25471.8</t>
  </si>
  <si>
    <t>NIFTY_R1=25408.45</t>
  </si>
  <si>
    <t>NIFTY_R1=25305.7</t>
  </si>
  <si>
    <t>NIFTY_R1=25259.4</t>
  </si>
  <si>
    <t>NIFTY_R1=25128.7</t>
  </si>
  <si>
    <t>NIFTY_R1=25029.6</t>
  </si>
  <si>
    <t>NIFTY_R1 = 24805.7</t>
  </si>
  <si>
    <t>NIFTY_R1 = 24748.75</t>
  </si>
  <si>
    <t>NIFTY_R1 = 24699.35</t>
  </si>
  <si>
    <t>NIFTY_R1 = 24934.2</t>
  </si>
  <si>
    <t>NIFTY_R1 = 24950.2</t>
  </si>
  <si>
    <t>NIFTY_R1 = 25155.2</t>
  </si>
  <si>
    <t>NIFTY_R1 = 25194.05</t>
  </si>
  <si>
    <t>NIFTY_R1 = 25156.25</t>
  </si>
  <si>
    <t>NIFTY_R1 = 25245.95</t>
  </si>
  <si>
    <t>NIFTY_R1 = 25358.45</t>
  </si>
  <si>
    <t>NIFTY_R1 = 25279</t>
  </si>
  <si>
    <t>NIFTY_R1 = 25283.7</t>
  </si>
  <si>
    <t>NIFTY_R1 = 25406</t>
  </si>
  <si>
    <t>NIFTY_R1 = 25681.5</t>
  </si>
  <si>
    <t>NIFTY_R1 = 25824.7</t>
  </si>
  <si>
    <t>NIFTY_R1 = 25926.7</t>
  </si>
  <si>
    <t>NIFTY_R1 = 26042.9</t>
  </si>
  <si>
    <t>NIFTY_R1 = 25920.15</t>
  </si>
  <si>
    <t>NIFTY_R1 = 26039</t>
  </si>
  <si>
    <t>NIFTY_R1 = 26048.6</t>
  </si>
  <si>
    <t>NIFTY_R1 = 25991.5</t>
  </si>
  <si>
    <t>NIFTY_R1 = 25880.15</t>
  </si>
  <si>
    <t>NIFTY_R1 = 25829.15</t>
  </si>
  <si>
    <t>NIFTY_R1 = 25730.55</t>
  </si>
  <si>
    <t>NIFTY_R1 = 25628.7</t>
  </si>
  <si>
    <t>NIFTY_R1 = 25589.55</t>
  </si>
  <si>
    <t>NIFTY_R1 = 25790.75</t>
  </si>
  <si>
    <t>NIFTY_R1 = 25946.5</t>
  </si>
  <si>
    <t>NIFTY_R1 = 25990.45</t>
  </si>
  <si>
    <t>NIFTY_R1 = 25986.55</t>
  </si>
  <si>
    <t>NIFTY_R1 = 26056.3</t>
  </si>
  <si>
    <t>NIFTY_R1 = 26001.1</t>
  </si>
  <si>
    <t>NIFTY_R1 = 26132.8</t>
  </si>
  <si>
    <t>NIFTY_R1 = 26271.45</t>
  </si>
  <si>
    <t>NIFTY_R1 = 26147.5</t>
  </si>
  <si>
    <t>NIFTY_R1 = 26097.5</t>
  </si>
  <si>
    <t>NIFTY_R1 = 25992.45</t>
  </si>
  <si>
    <t>NIFTY_R1 = 26332.65</t>
  </si>
  <si>
    <t>NIFTY_R1 = 26303.35</t>
  </si>
  <si>
    <t>NIFTY_R1 = 26265</t>
  </si>
  <si>
    <t>NIFTY_R1 = 26292.95</t>
  </si>
  <si>
    <t>NIFTY_R1 = 26125.25</t>
  </si>
  <si>
    <t>NIFTY_R1 = 26071.3</t>
  </si>
  <si>
    <t>NIFTY_R1 = 26108.35</t>
  </si>
  <si>
    <t>NIFTY_R1 = 26264.25</t>
  </si>
  <si>
    <t>NIFTY_R1 = 26128.75</t>
  </si>
  <si>
    <t>NIFTY_R1 = 25932.85</t>
  </si>
  <si>
    <t>NIFTY_R1 = 25892.25</t>
  </si>
  <si>
    <t>NIFTY_R1 = 25983.15</t>
  </si>
  <si>
    <t>NIFTY_R1 = 26090.2</t>
  </si>
  <si>
    <t>NIFTY_R1 = 26081.4</t>
  </si>
  <si>
    <t>NIFTY_R1 = 25949.1</t>
  </si>
  <si>
    <t>NIFTY_R1 = 25908.35</t>
  </si>
  <si>
    <t>NIFTY_R1 = 25900.15</t>
  </si>
  <si>
    <t>NIFTY_R1 = 26013</t>
  </si>
  <si>
    <t>NIFTY_R1 = 26219.45</t>
  </si>
  <si>
    <t>NIFTY_R1 = 26234.1</t>
  </si>
  <si>
    <t>NIFTY_R1 = 26211.35</t>
  </si>
  <si>
    <t>NIFTY_R1 = 26121.45</t>
  </si>
  <si>
    <t>NIFTY_R1 = 26059.15</t>
  </si>
  <si>
    <t>NIFTY_R1 = 25984.4</t>
  </si>
  <si>
    <t>NIFTY_R1 = 26222.05</t>
  </si>
  <si>
    <t>NIFTY_R1 = 26191.6</t>
  </si>
  <si>
    <t>NIFTY_R1 = 26406.25</t>
  </si>
  <si>
    <t>NIFTY_R1 = 26345.65</t>
  </si>
  <si>
    <t>NIFTY_R1 = 26260.2</t>
  </si>
  <si>
    <t>NIFTY_R1 = 26195.95</t>
  </si>
  <si>
    <t>NIFTY_R1 = 26053.9</t>
  </si>
  <si>
    <t>NIFTY_R1 = 25874.95</t>
  </si>
  <si>
    <t>NIFTY_R1 = 25911.15</t>
  </si>
  <si>
    <t>NIFTY_R1 = 25886.95</t>
  </si>
  <si>
    <t>NIFTY_R1 = 25824.45</t>
  </si>
  <si>
    <t>NIFTY_R1 = 25487.9</t>
  </si>
  <si>
    <t>NIFTY_R1 = 25332.35</t>
  </si>
  <si>
    <t>NIFTY_R1 = 25427.6</t>
  </si>
  <si>
    <t>NIFTY_R1 = 25255.95</t>
  </si>
  <si>
    <t>NIFTY_R1 = 25303.85</t>
  </si>
  <si>
    <t>NIFTY_R1 = 25414</t>
  </si>
  <si>
    <t>NIFTY_R1 = 25531.45</t>
  </si>
  <si>
    <t>NIFTY_R1 = 25320.3</t>
  </si>
  <si>
    <t>NIFTY_R1 = 25237.85</t>
  </si>
  <si>
    <t>NIFTY_R1 = 26165.4</t>
  </si>
  <si>
    <t>NIFTY_R1 = 25875.05</t>
  </si>
  <si>
    <t>NIFTY_R1 = 25740.45</t>
  </si>
  <si>
    <t>NIFTY_R1 = 25767.8</t>
  </si>
  <si>
    <t>NIFTY_R1 = 25932.75</t>
  </si>
  <si>
    <t>NIFTY_R1 = 25992.9</t>
  </si>
  <si>
    <t>NIFTY_R1 = 26008.9</t>
  </si>
  <si>
    <t>NIFTY_R1 = 25891.8</t>
  </si>
  <si>
    <t>NIFTY_R1 = 25586.2</t>
  </si>
  <si>
    <t>NIFTY_R1 = 25795.6</t>
  </si>
  <si>
    <t>NIFTY_R1 = 25803.1</t>
  </si>
  <si>
    <t>NIFTY_R1 = 25883.2</t>
  </si>
  <si>
    <t>NIFTY_R1 = 25763.5</t>
  </si>
  <si>
    <t>NIFTY_R1 = 25696.6</t>
  </si>
  <si>
    <t>NIFTY_R1 = 25786.5</t>
  </si>
  <si>
    <t>NIFTY_R1 = 25601.75</t>
  </si>
  <si>
    <t>NIFTY_R1 = 25614</t>
  </si>
  <si>
    <t>NIFTY_CP</t>
  </si>
  <si>
    <t>NIFTY_CP=25078.45</t>
  </si>
  <si>
    <t>NIFTY_CP=25176.5</t>
  </si>
  <si>
    <t>NIFTY_CP=25196.15</t>
  </si>
  <si>
    <t>NIFTY_CP=25150.25</t>
  </si>
  <si>
    <t>NIFTY_CP=25010.55</t>
  </si>
  <si>
    <t>NIFTY_CP=25028.15</t>
  </si>
  <si>
    <t>NIFTY_CP=25092.8</t>
  </si>
  <si>
    <t>NIFTY_CP=25179.65</t>
  </si>
  <si>
    <t>NIFTY_CP=25109</t>
  </si>
  <si>
    <t>NIFTY_CP=24884.55</t>
  </si>
  <si>
    <t>NIFTY_CP=24738.9</t>
  </si>
  <si>
    <t>NIFTY_CP=24755</t>
  </si>
  <si>
    <t>NIFTY_CP=24843.1</t>
  </si>
  <si>
    <t>NIFTY_CP=24786.6</t>
  </si>
  <si>
    <t>NIFTY_CP=24628.2</t>
  </si>
  <si>
    <t>NIFTY_CP=24671</t>
  </si>
  <si>
    <t>NIFTY_CP=24657.65</t>
  </si>
  <si>
    <t>NIFTY_CP=24594.95</t>
  </si>
  <si>
    <t>NIFTY_CP=24524.85</t>
  </si>
  <si>
    <t>NIFTY_CP=24428.75</t>
  </si>
  <si>
    <t>NIFTY_CP=24511.1</t>
  </si>
  <si>
    <t>NIFTY_CP=24551.9</t>
  </si>
  <si>
    <t>NIFTY_CP=2460640</t>
  </si>
  <si>
    <t>NIFTY_CP=24638.95</t>
  </si>
  <si>
    <t>NIFTY_CP=24917.25</t>
  </si>
  <si>
    <t>NIFTY_CP=24955.75</t>
  </si>
  <si>
    <t>NIFTY_CP=25023</t>
  </si>
  <si>
    <t>NIFTY_CP=25097.45</t>
  </si>
  <si>
    <t>NIFTY_CP=24938.05</t>
  </si>
  <si>
    <t>NIFTY_CP=24964.2</t>
  </si>
  <si>
    <t>NIFTY_CP=24773.75</t>
  </si>
  <si>
    <t>NIFTY_CP=24561.7</t>
  </si>
  <si>
    <t>NIFTY_CP=24468</t>
  </si>
  <si>
    <t>NIFTY_CP=24564.45</t>
  </si>
  <si>
    <t>NIFTY_CP=24619.35</t>
  </si>
  <si>
    <t>NIFTY_CP=24661.75</t>
  </si>
  <si>
    <t>NIFTY_CP=24807.75</t>
  </si>
  <si>
    <t>NIFTY_CP=24731.65</t>
  </si>
  <si>
    <t>NIFTY_CP=24803.4</t>
  </si>
  <si>
    <t>NIFTY_CP=24858.15</t>
  </si>
  <si>
    <t>NIFTY_CP=24974.6</t>
  </si>
  <si>
    <t>NIFTY_CP=24994.3</t>
  </si>
  <si>
    <t>NIFTY_CP=25097.15</t>
  </si>
  <si>
    <t>NIFTY_CP=25085.45</t>
  </si>
  <si>
    <t>NIFTY_CP=25190.3</t>
  </si>
  <si>
    <t>NIFTY_CP=25317.35</t>
  </si>
  <si>
    <t>NIFTY_CP=25400.75</t>
  </si>
  <si>
    <t>NIFTY_CP=25347.35</t>
  </si>
  <si>
    <t>NIFTY_CP=25228.35</t>
  </si>
  <si>
    <t>NIFTY_CP=25172</t>
  </si>
  <si>
    <t>NIFTY_CP=25078.05</t>
  </si>
  <si>
    <t>NIFTY_CP=24953.95</t>
  </si>
  <si>
    <t>NIFTY_CP = 24717.6</t>
  </si>
  <si>
    <t>NIFTY_CP = 24677.45</t>
  </si>
  <si>
    <t>NIFTY_CP = 24643.55</t>
  </si>
  <si>
    <t>NIFTY_CP = 24770.05</t>
  </si>
  <si>
    <t>NIFTY_CP = 24848.85</t>
  </si>
  <si>
    <t>NIFTY_CP = 25018.4</t>
  </si>
  <si>
    <t>NIFTY_CP = 25135.15</t>
  </si>
  <si>
    <t>NIFTY_CP = 25082.4</t>
  </si>
  <si>
    <t>NIFTY_CP = 25135.1</t>
  </si>
  <si>
    <t>NIFTY_CP = 25257.65</t>
  </si>
  <si>
    <t>NIFTY_CP = 25215.65</t>
  </si>
  <si>
    <t>NIFTY_CP = 25172.15</t>
  </si>
  <si>
    <t>NIFTY_CP = 25282.7</t>
  </si>
  <si>
    <t>NIFTY_CP = 25529.2</t>
  </si>
  <si>
    <t>NIFTY_CP = 25666.65</t>
  </si>
  <si>
    <t>NIFTY_CP = 25876.25</t>
  </si>
  <si>
    <t>NIFTY_CP = 25952.7</t>
  </si>
  <si>
    <t>NIFTY_CP = 25819.15</t>
  </si>
  <si>
    <t>NIFTY_CP = 25933</t>
  </si>
  <si>
    <t>NIFTY_CP = 25929.3</t>
  </si>
  <si>
    <t>NIFTY_CP = 25918.4</t>
  </si>
  <si>
    <t>NIFTY_CP = 25795.7</t>
  </si>
  <si>
    <t>NIFTY_CP = 25737.3</t>
  </si>
  <si>
    <t>NIFTY_CP = 25654.5</t>
  </si>
  <si>
    <t>NIFTY_CP = 25560.15</t>
  </si>
  <si>
    <t>NIFTY_CP = 25454</t>
  </si>
  <si>
    <t>NIFTY_CP = 25620</t>
  </si>
  <si>
    <t>NIFTY_CP = 25863.85</t>
  </si>
  <si>
    <t>NIFTY_CP = 25899.4</t>
  </si>
  <si>
    <t>NIFTY_CP = 25863.7</t>
  </si>
  <si>
    <t>NIFTY_CP = 25981.35</t>
  </si>
  <si>
    <t>NIFTY_CP = 25938.8</t>
  </si>
  <si>
    <t>NIFTY_CP = 25994.5</t>
  </si>
  <si>
    <t>NIFTY_CP = 26167.35</t>
  </si>
  <si>
    <t>NIFTY_CP = 26099.85</t>
  </si>
  <si>
    <t>NIFTY_CP = 26004.8</t>
  </si>
  <si>
    <t>NIFTY_CP = 25924.95</t>
  </si>
  <si>
    <t>NIFTY_CP = 26087.8</t>
  </si>
  <si>
    <t>NIFTY_CP = 26222.65</t>
  </si>
  <si>
    <t>NIFTY_CP = 26218.7</t>
  </si>
  <si>
    <t>NIFTY_CP = 26208.6</t>
  </si>
  <si>
    <t>NIFTY_CP = 26061.55</t>
  </si>
  <si>
    <t>NIFTY_CP = 25981.15</t>
  </si>
  <si>
    <t>NIFTY_CP = 26023.65</t>
  </si>
  <si>
    <t>NIFTY_CP = 26124.8</t>
  </si>
  <si>
    <t>NIFTY_CP = 26010.5</t>
  </si>
  <si>
    <t>NIFTY_CP = 25830.45</t>
  </si>
  <si>
    <t>NIFTY_CP = 25813.4</t>
  </si>
  <si>
    <t>NIFTY_CP = 25838.2</t>
  </si>
  <si>
    <t>NIFTY_CP = 26014.35</t>
  </si>
  <si>
    <t>NIFTY_CP = 25993.05</t>
  </si>
  <si>
    <t>NIFTY_CP = 25891.75</t>
  </si>
  <si>
    <t>NIFTY_CP = 25839.35</t>
  </si>
  <si>
    <t>NIFTY_CP = 25814.75</t>
  </si>
  <si>
    <t>NIFTY_CP = 25946.75</t>
  </si>
  <si>
    <t>NIFTY_CP = 26133.65</t>
  </si>
  <si>
    <t>NIFTY_CP = 26176.6</t>
  </si>
  <si>
    <t>NIFTY_CP = 26167.15</t>
  </si>
  <si>
    <t>NIFTY_CP = 26065.05</t>
  </si>
  <si>
    <t>NIFTY_CP = 25989.75</t>
  </si>
  <si>
    <t>NIFTY_CP = 25931.2</t>
  </si>
  <si>
    <t>NIFTY_CP = 26095.5</t>
  </si>
  <si>
    <t>NIFTY_CP = 26152.5</t>
  </si>
  <si>
    <t>NIFTY_CP = 26262.3</t>
  </si>
  <si>
    <t>NIFTY_CP = 26277.8</t>
  </si>
  <si>
    <t>NIFTY_CP = 26192.45</t>
  </si>
  <si>
    <t>NIFTY_CP = 26131.95</t>
  </si>
  <si>
    <t>NIFTY_CP = 25956.15</t>
  </si>
  <si>
    <t>NIFTY_CP = 25748.95</t>
  </si>
  <si>
    <t>NIFTY_CP = 25692.25</t>
  </si>
  <si>
    <t>NIFTY_CP = 25745.15</t>
  </si>
  <si>
    <t>NIFTY_CP = 25743.4</t>
  </si>
  <si>
    <t>NIFTY_CP = 25329.6</t>
  </si>
  <si>
    <t>NIFTY_CP = 25126.1</t>
  </si>
  <si>
    <t>NIFTY_CP = 25298.05</t>
  </si>
  <si>
    <t>NIFTY_CP = 25140.65</t>
  </si>
  <si>
    <t>NIFTY_CP = 25118.2</t>
  </si>
  <si>
    <t>NIFTY_CP = 25300.85</t>
  </si>
  <si>
    <t>NIFTY_CP = 25345.6</t>
  </si>
  <si>
    <t>NIFTY_CP = 24946.05</t>
  </si>
  <si>
    <t>NIFTY_CP = 24958.65</t>
  </si>
  <si>
    <t>NIFTY_CP = 25903.35</t>
  </si>
  <si>
    <t>NIFTY_CP = 25719.5</t>
  </si>
  <si>
    <t>NIFTY_CP = 25660</t>
  </si>
  <si>
    <t>NIFTY_CP = 25629.85</t>
  </si>
  <si>
    <t>NIFTY_CP = 25856.8</t>
  </si>
  <si>
    <t>NIFTY_CP = 25931.7</t>
  </si>
  <si>
    <t>NIFTY_CP = 25954.25</t>
  </si>
  <si>
    <t>NIFTY_CP = 25822.1</t>
  </si>
  <si>
    <t>NIFTY_CP = 25515.25</t>
  </si>
  <si>
    <t>NIFTY_CP = 25584.15</t>
  </si>
  <si>
    <t>NIFTY_CP = 25686.7</t>
  </si>
  <si>
    <t>NIFTY_CP = 25764.2</t>
  </si>
  <si>
    <t>NIFTY_CP = 25576.15</t>
  </si>
  <si>
    <t>NIFTY_CP = 25538.2</t>
  </si>
  <si>
    <t>NIFTY_CP = 25697.95</t>
  </si>
  <si>
    <t>NIFTY_CP = 25464.7</t>
  </si>
  <si>
    <t>NIFTY_CP = 25521.1</t>
  </si>
  <si>
    <t>NIFTY_S1</t>
  </si>
  <si>
    <t>NIFTY_S1=250005.8</t>
  </si>
  <si>
    <t>NIFTY_S1=25107.75</t>
  </si>
  <si>
    <t>NIFTY_S1=25136.95</t>
  </si>
  <si>
    <t>NIFTY_S1=25062.2</t>
  </si>
  <si>
    <t>NIFTY_S1=24876.55</t>
  </si>
  <si>
    <t>NIFTY_S1=24944.85</t>
  </si>
  <si>
    <t>NIFTY_S1=25003.65</t>
  </si>
  <si>
    <t>NIFTY_S1=25125.75</t>
  </si>
  <si>
    <t>NIFTY_S1=24971.8</t>
  </si>
  <si>
    <t>NIFTY_S1=24758.8</t>
  </si>
  <si>
    <t>NIFTY_S1=24588.6</t>
  </si>
  <si>
    <t>NIFTY_S1=24664.1</t>
  </si>
  <si>
    <t>NIFTY_S1=24783.9</t>
  </si>
  <si>
    <t>NIFTY_S1=24616.75</t>
  </si>
  <si>
    <t>NIFTY_S1=24472.2</t>
  </si>
  <si>
    <t>NIFTY_S1=24605.75</t>
  </si>
  <si>
    <t>NIFTY_S1=24582.2</t>
  </si>
  <si>
    <t>NIFTY_S1=24518.45</t>
  </si>
  <si>
    <t>NIFTY_S1=24415.45</t>
  </si>
  <si>
    <t>NIFTY_S1=24272.05</t>
  </si>
  <si>
    <t>NIFTY_S1=24421.4</t>
  </si>
  <si>
    <t>NIFTY_S1=24401.15</t>
  </si>
  <si>
    <t>NIFTY_S1=24548.2</t>
  </si>
  <si>
    <t>NIFTY_S1=24594.25</t>
  </si>
  <si>
    <t>NIFTY_S1=24812.55</t>
  </si>
  <si>
    <t>NIFTY_S1=24898.85</t>
  </si>
  <si>
    <t>NIFTY_S1=24957.25</t>
  </si>
  <si>
    <t>NIFTY_S1=25041.2</t>
  </si>
  <si>
    <t>NIFTY_S1=24791.2</t>
  </si>
  <si>
    <t>NIFTY_S1=24900.9</t>
  </si>
  <si>
    <t>NIFTY_S1=24627.9</t>
  </si>
  <si>
    <t>NIFTY_S1=24420.8</t>
  </si>
  <si>
    <t>NIFTY_S1=24363.55</t>
  </si>
  <si>
    <t>NIFTY_S1=24493.3</t>
  </si>
  <si>
    <t>NIFTY_S1=24482.6</t>
  </si>
  <si>
    <t>NIFTY_S1=24586.5</t>
  </si>
  <si>
    <t>NIFTY_S1=24634.75</t>
  </si>
  <si>
    <t>NIFTY_S1=24630.95</t>
  </si>
  <si>
    <t>NIFTY_S1=24721.3</t>
  </si>
  <si>
    <t>NIFTY_S1=24824.45</t>
  </si>
  <si>
    <t>NIFTY_S1=24913.55</t>
  </si>
  <si>
    <t>NIFTY_S1=24951.35</t>
  </si>
  <si>
    <t>NIFTY_S1=25054.9</t>
  </si>
  <si>
    <t>NIFTY_S1=25032.5</t>
  </si>
  <si>
    <t>NIFTY_S1=25119.25</t>
  </si>
  <si>
    <t>NIFTY_S1=25288.25</t>
  </si>
  <si>
    <t>NIFTY_S1=25352.6</t>
  </si>
  <si>
    <t>NIFTY_S1=25266</t>
  </si>
  <si>
    <t>NIFTY_S1=25125.05</t>
  </si>
  <si>
    <t>NIFTY_S1=25082.15</t>
  </si>
  <si>
    <t>NIFTY_S1=25006.3</t>
  </si>
  <si>
    <t>NIFTY_S1=24815.2</t>
  </si>
  <si>
    <t>NIFTY_S1 = 24566.55</t>
  </si>
  <si>
    <t>NIFTY_S1 = 24563.65</t>
  </si>
  <si>
    <t>NIFTY_S1 = 24555.25</t>
  </si>
  <si>
    <t>NIFTY_S1 = 24672.2</t>
  </si>
  <si>
    <t>NIFTY_S1 = 24792.95</t>
  </si>
  <si>
    <t>NIFTY_S1 = 24940.9</t>
  </si>
  <si>
    <t>NIFTY_S1 = 25049.45</t>
  </si>
  <si>
    <t>NIFTY_S1 = 24972.25</t>
  </si>
  <si>
    <t>NIFTY_S1 = 25071</t>
  </si>
  <si>
    <t>NIFTY_S1 = 25184.55</t>
  </si>
  <si>
    <t>NIFTY_S1 = 25164</t>
  </si>
  <si>
    <t>NIFTY_S1 = 25033.9</t>
  </si>
  <si>
    <t>NIFTY_S1 = 25200.2</t>
  </si>
  <si>
    <t>NIFTY_S1 = 25432.95</t>
  </si>
  <si>
    <t>NIFTY_S1 = 25551.8</t>
  </si>
  <si>
    <t>NIFTY_S1 = 25818.15</t>
  </si>
  <si>
    <t>NIFTY_S1 = 25801.15</t>
  </si>
  <si>
    <t>NIFTY_S1 = 25694.2</t>
  </si>
  <si>
    <t>NIFTY_S1 = 25860.05</t>
  </si>
  <si>
    <t>NIFTY_S1 = 25816.95</t>
  </si>
  <si>
    <t>NIFTY_S1 = 25804.7</t>
  </si>
  <si>
    <t>NIFTY_S1 = 25637.6</t>
  </si>
  <si>
    <t>NIFTY_S1 = 25671.55</t>
  </si>
  <si>
    <t>NIFTY_S1 = 25521.55</t>
  </si>
  <si>
    <t>NIFTY_S1 = 25441.1</t>
  </si>
  <si>
    <t>NIFTY_S1 = 25356.75</t>
  </si>
  <si>
    <t>NIFTY_S1 = 25524.2</t>
  </si>
  <si>
    <t>NIFTY_S1 = 25793.1</t>
  </si>
  <si>
    <t>NIFTY_S1 = 25788.15</t>
  </si>
  <si>
    <t>NIFTY_S1 = 25787.15</t>
  </si>
  <si>
    <t>NIFTY_S1 = 25938.45</t>
  </si>
  <si>
    <t>NIFTY_S1 = 25847.75</t>
  </si>
  <si>
    <t>NIFTY_S1 = 25914.35</t>
  </si>
  <si>
    <t>NIFTY_S1 = 26088</t>
  </si>
  <si>
    <t>NIFTY_S1 = 26020.5</t>
  </si>
  <si>
    <t>NIFTY_S1 = 25866.85</t>
  </si>
  <si>
    <t>NIFTY_S1 = 25817.35</t>
  </si>
  <si>
    <t>NIFTY_S1 = 25960.45</t>
  </si>
  <si>
    <t>NIFTY_S1 = 26134.8</t>
  </si>
  <si>
    <t>NIFTY_S1 = 26156.65</t>
  </si>
  <si>
    <t>NIFTY_S1 = 26091.35</t>
  </si>
  <si>
    <t>NIFTY_S1 = 25968.5</t>
  </si>
  <si>
    <t>NIFTY_S1 = 25895.85</t>
  </si>
  <si>
    <t>NIFTY_S1 = 25949.05</t>
  </si>
  <si>
    <t>NIFTY_S1 = 26047</t>
  </si>
  <si>
    <t>NIFTY_S1 = 25842.3</t>
  </si>
  <si>
    <t>NIFTY_S1 = 25737.2</t>
  </si>
  <si>
    <t>NIFTY_S1 = 25679.15</t>
  </si>
  <si>
    <t>NIFTY_S1 = 25753.6</t>
  </si>
  <si>
    <t>NIFTY_S1 = 25971.05</t>
  </si>
  <si>
    <t>NIFTY_S1 = 25939</t>
  </si>
  <si>
    <t>NIFTY_S1 = 25802.7</t>
  </si>
  <si>
    <t>NIFTY_S1 = 25749.55</t>
  </si>
  <si>
    <t>NIFTY_S1 = 25727.1</t>
  </si>
  <si>
    <t>NIFTY_S1 = 25900.1</t>
  </si>
  <si>
    <t>NIFTY_S1 = 26086.55</t>
  </si>
  <si>
    <t>NIFTY_S1 = 26119.6</t>
  </si>
  <si>
    <t>NIFTY_S1 = 26097.95</t>
  </si>
  <si>
    <t>NIFTY_S1 = 25985.85</t>
  </si>
  <si>
    <t>NIFTY_S1 = 25872.65</t>
  </si>
  <si>
    <t>NIFTY_S1 = 25885.5</t>
  </si>
  <si>
    <t>NIFTY_S1 = 26003.1</t>
  </si>
  <si>
    <t>NIFTY_S1 = 26107.45</t>
  </si>
  <si>
    <t>NIFTY_S1 = 26184.65</t>
  </si>
  <si>
    <t>NIFTY_S1 = 26182.5</t>
  </si>
  <si>
    <t>NIFTY_S1 = 26111</t>
  </si>
  <si>
    <t>NIFTY_S1 = 26076.7</t>
  </si>
  <si>
    <t>NIFTY_S1 = 25779.15</t>
  </si>
  <si>
    <t>NIFTY_S1 = 25557.35</t>
  </si>
  <si>
    <t>NIFTY_S1 = 25571.4</t>
  </si>
  <si>
    <t>NIFTY_S1 = 25590.45</t>
  </si>
  <si>
    <t>NIFTY_S1 = 25613.35</t>
  </si>
  <si>
    <t>NIFTY_S1 = 25074.25</t>
  </si>
  <si>
    <t>NIFTY_S1 = 24951.2</t>
  </si>
  <si>
    <t>NIFTY_S1 = 25160</t>
  </si>
  <si>
    <t>NIFTY_S1 = 24933.3</t>
  </si>
  <si>
    <t>NIFTY_S1 = 24989.75</t>
  </si>
  <si>
    <t>NIFTY_S1 = 25229.55</t>
  </si>
  <si>
    <t>NIFTY_S1 = 25233.1</t>
  </si>
  <si>
    <t>NIFTY_S1 = 24451.15</t>
  </si>
  <si>
    <t>NIFTY_S1 = 24809.15</t>
  </si>
  <si>
    <t>NIFTY_S1 = 25465.5</t>
  </si>
  <si>
    <t>NIFTY_S1 = 25620.45</t>
  </si>
  <si>
    <t>NIFTY_S1 = 25562.3</t>
  </si>
  <si>
    <t>NIFTY_S1 = 25555.75</t>
  </si>
  <si>
    <t>NIFTY_S1 = 25791.4</t>
  </si>
  <si>
    <t>NIFTY_S1 = 25873.9</t>
  </si>
  <si>
    <t>NIFTY_S1 = 25899.32</t>
  </si>
  <si>
    <t>NIFTY_S1 = 25737.5</t>
  </si>
  <si>
    <t>NIFTY_S1 = 25400.15</t>
  </si>
  <si>
    <t>NIFTY_S1 = 25471.3</t>
  </si>
  <si>
    <t>NIFTY_S1 = 25609</t>
  </si>
  <si>
    <t>NIFTY_S1 = 25700.3</t>
  </si>
  <si>
    <t>NIFTY_S1 = 25266.95</t>
  </si>
  <si>
    <t>NIFTY_S1 = 25412.8</t>
  </si>
  <si>
    <t>NIFTY_S1 = 25624.4</t>
  </si>
  <si>
    <t>NIFTY_S1 = 25287.55</t>
  </si>
  <si>
    <t>NIFTY_S1 = 25389.6</t>
  </si>
  <si>
    <t>NIFTY_S2</t>
  </si>
  <si>
    <t>NIFTY_S2=24929.3</t>
  </si>
  <si>
    <t>NIFTY_S2=25019.75</t>
  </si>
  <si>
    <t>NIFTY_S2=25061.9</t>
  </si>
  <si>
    <t>NIFTY_S2=25012.9</t>
  </si>
  <si>
    <t>NIFTY_S2=24784.6</t>
  </si>
  <si>
    <t>NIFTY_S2=24799.05</t>
  </si>
  <si>
    <t>NIFTY_S2=24946.35</t>
  </si>
  <si>
    <t>NIFTY_S2=25031.65</t>
  </si>
  <si>
    <t>NIFTY_S2=24881.45</t>
  </si>
  <si>
    <t>NIFTY_S2=24680.55</t>
  </si>
  <si>
    <t>NIFTY_S2=24496.3</t>
  </si>
  <si>
    <t>NIFTY_S2=24507.05</t>
  </si>
  <si>
    <t>NIFTY_S2=24712.75</t>
  </si>
  <si>
    <t>NIFTY_S2=24465.1</t>
  </si>
  <si>
    <t>NIFTY_S2=24379.1</t>
  </si>
  <si>
    <t>NIFTY_S2=24488.75</t>
  </si>
  <si>
    <t>NIFTY_S2=24514.85</t>
  </si>
  <si>
    <t>NIFTY_S2=24462.75</t>
  </si>
  <si>
    <t>NIFTY_S2=24234.8</t>
  </si>
  <si>
    <t>NIFTY_S2=24180.75</t>
  </si>
  <si>
    <t>NIFTY_S2=24257.7</t>
  </si>
  <si>
    <t>NIFTY_S2=24314.95</t>
  </si>
  <si>
    <t>NIFTY_S2=24477.1</t>
  </si>
  <si>
    <t>NIFTY_S2=24557.2</t>
  </si>
  <si>
    <t>NIFTY_S2=24748.1</t>
  </si>
  <si>
    <t>NIFTY_S2=24817.05</t>
  </si>
  <si>
    <t>NIFTY_S2=24864</t>
  </si>
  <si>
    <t>NIFTY_S2=24998.7</t>
  </si>
  <si>
    <t>NIFTY_S2=24712.35</t>
  </si>
  <si>
    <t>NIFTY_S2=24834</t>
  </si>
  <si>
    <t>NIFTY_S2=24543.7</t>
  </si>
  <si>
    <t>NIFTY_S2=24340.65</t>
  </si>
  <si>
    <t>NIFTY_S2=24300.25</t>
  </si>
  <si>
    <t>NIFTY_S2=24361.55</t>
  </si>
  <si>
    <t>NIFTY_S2=24385.6</t>
  </si>
  <si>
    <t>NIFTY_S2=24457.9</t>
  </si>
  <si>
    <t>NIFTY_S2=24535.2</t>
  </si>
  <si>
    <t>NIFTY_S2=24520.9</t>
  </si>
  <si>
    <t>NIFTY_S2=24669.45</t>
  </si>
  <si>
    <t>NIFTY_S2=24780.35</t>
  </si>
  <si>
    <t>NIFTY_S2=24853.97</t>
  </si>
  <si>
    <t>NIFTY_S2=24897.15</t>
  </si>
  <si>
    <t>NIFTY_S2=24995.75</t>
  </si>
  <si>
    <t>NIFTY_S2=24999.32</t>
  </si>
  <si>
    <t>NIFTY_S2=25246.2</t>
  </si>
  <si>
    <t>NIFTY_S2=25281.55</t>
  </si>
  <si>
    <t>NIFTY_S2=25204.9</t>
  </si>
  <si>
    <t>NIFTY_S2=25047.7</t>
  </si>
  <si>
    <t>NIFTY_S2=24994.75</t>
  </si>
  <si>
    <t>NIFTY_S2=24955.65</t>
  </si>
  <si>
    <t>NIFTY_S2=24739.55</t>
  </si>
  <si>
    <t>NIFTY_S2 = 24478.45</t>
  </si>
  <si>
    <t>NIFTY_S2 = 24492.35</t>
  </si>
  <si>
    <t>NIFTY_S2 = 24499.45</t>
  </si>
  <si>
    <t>NIFTY_S2 = 24508.05</t>
  </si>
  <si>
    <t>NIFTY_S2 = 24691.6</t>
  </si>
  <si>
    <t>NIFTY_S2 = 24804.1</t>
  </si>
  <si>
    <t>NIFTY_S2 = 24990.55</t>
  </si>
  <si>
    <t>NIFTY_S2 = 24898.4</t>
  </si>
  <si>
    <t>NIFTY_S2 = 24960.15</t>
  </si>
  <si>
    <t>NIFTY_S2 = 25083.75</t>
  </si>
  <si>
    <t>NIFTY_S2 = 25100.65</t>
  </si>
  <si>
    <t>NIFTY_S2 = 24922.35</t>
  </si>
  <si>
    <t>NIFTY_S2 = 25076.9</t>
  </si>
  <si>
    <t>NIFTY_S2 = 25280.65</t>
  </si>
  <si>
    <t>NIFTY_S2 = 25339.75</t>
  </si>
  <si>
    <t>NIFTY_S2 = 25767.7</t>
  </si>
  <si>
    <t>NIFTY_S2 = 25710.95</t>
  </si>
  <si>
    <t>NIFTY_S2 = 25593.2</t>
  </si>
  <si>
    <t>NIFTY_S2 = 25754.05</t>
  </si>
  <si>
    <t>NIFTY_S2 = 25697.65</t>
  </si>
  <si>
    <t>NIFTY_S2 = 25731.6</t>
  </si>
  <si>
    <t>NIFTY_S2 = 25553.15</t>
  </si>
  <si>
    <t>NIFTY_S2 = 25579.7</t>
  </si>
  <si>
    <t>NIFTY_S2 = 25445.5</t>
  </si>
  <si>
    <t>NIFTY_S2 = 25372.55</t>
  </si>
  <si>
    <t>NIFTY_S2 = 25221.2</t>
  </si>
  <si>
    <t>NIFTY_S2 = 25353.45</t>
  </si>
  <si>
    <t>NIFTY_S2 = 25710.45</t>
  </si>
  <si>
    <t>NIFTY_S2 = 25697.1</t>
  </si>
  <si>
    <t>NIFTY_S2 = 25664.3</t>
  </si>
  <si>
    <t>NIFTY_S2 = 25863.5</t>
  </si>
  <si>
    <t>NIFTY_S2 = 25785.45</t>
  </si>
  <si>
    <t>NIFTY_S2 = 25776.05</t>
  </si>
  <si>
    <t>NIFTY_S2 = 25983.9</t>
  </si>
  <si>
    <t>NIFTY_S2 = 25972.85</t>
  </si>
  <si>
    <t>NIFTY_S2 = 25774.15</t>
  </si>
  <si>
    <t>NIFTY_S2 = 25749.85</t>
  </si>
  <si>
    <t>NIFTY_S2 = 25715.6</t>
  </si>
  <si>
    <t>NIFTY_S2 = 26054.1</t>
  </si>
  <si>
    <t>NIFTY_S2 = 26110.35</t>
  </si>
  <si>
    <t>NIFTY_S2 = 26007</t>
  </si>
  <si>
    <t>NIFTY_S2 = 25904.8</t>
  </si>
  <si>
    <t>NIFTY_S2 = 25805.7</t>
  </si>
  <si>
    <t>NIFTY_S2 = 25864.35</t>
  </si>
  <si>
    <t>NIFTY_S2 = 25907.55</t>
  </si>
  <si>
    <t>NIFTY_S2 = 25724.05</t>
  </si>
  <si>
    <t>NIFTY_S2 = 25634.8</t>
  </si>
  <si>
    <t>NIFTY_S2 = 25600.3</t>
  </si>
  <si>
    <t>NIFTY_S2 = 25608.65</t>
  </si>
  <si>
    <t>NIFTY_S2 = 25895.2</t>
  </si>
  <si>
    <t>NIFTY_S2 = 25850.65</t>
  </si>
  <si>
    <t>NIFTY_S2 = 25745.35</t>
  </si>
  <si>
    <t>NIFTY_S2 = 25680.55</t>
  </si>
  <si>
    <t>NIFTY_S2 = 25638.7</t>
  </si>
  <si>
    <t>NIFTY_S2 = 25833.85</t>
  </si>
  <si>
    <t>NIFTY_S2 = 26000.75</t>
  </si>
  <si>
    <t>NIFTY_S2 = 26062.1</t>
  </si>
  <si>
    <t>NIFTY_S2 = 26053.75</t>
  </si>
  <si>
    <t>NIFTY_S2 = 25929.45</t>
  </si>
  <si>
    <t>NIFTY_S2 = 25803.25</t>
  </si>
  <si>
    <t>NIFTY_S2 = 25832.45</t>
  </si>
  <si>
    <t>NIFTY_S2 = 25876.55</t>
  </si>
  <si>
    <t>NIFTY_S2 = 26068.35</t>
  </si>
  <si>
    <t>NIFTY_S2 = 26040.7</t>
  </si>
  <si>
    <t>NIFTY_S2 = 26114.7</t>
  </si>
  <si>
    <t>NIFTY_S2 = 26043.25</t>
  </si>
  <si>
    <t>NIFTY_S2 = 26012.7</t>
  </si>
  <si>
    <t>NIFTY_S2 = 25681.4</t>
  </si>
  <si>
    <t>NIFTY_S2 = 25431.35</t>
  </si>
  <si>
    <t>NIFTY_S2 = 25352</t>
  </si>
  <si>
    <t>NIFTY_S2 = 25448.65</t>
  </si>
  <si>
    <t>NIFTY_S2 = 25532.3</t>
  </si>
  <si>
    <t>NIFTY_S2 = 24915.95</t>
  </si>
  <si>
    <t>NIFTY_S2 = 24744.95</t>
  </si>
  <si>
    <t>NIFTY_S2 = 25030.8</t>
  </si>
  <si>
    <t>NIFTY_S2 = 24818</t>
  </si>
  <si>
    <t>NIFTY_S2 = 25116.4</t>
  </si>
  <si>
    <t>NIFTY_S2 = 25047.25</t>
  </si>
  <si>
    <t>NIFTY_S2 = 24076.9</t>
  </si>
  <si>
    <t>NIFTY_S2 = 24529.95</t>
  </si>
  <si>
    <t>NIFTY_S2 = 25203.45</t>
  </si>
  <si>
    <t>NIFTY_S2 = 25464.9</t>
  </si>
  <si>
    <t>NIFTY_S2 = 25481.85</t>
  </si>
  <si>
    <t>NIFTY_S2 = 25417.8</t>
  </si>
  <si>
    <t>NIFTY_S2 = 25715.45</t>
  </si>
  <si>
    <t>NIFTY_S2 = 25812.7</t>
  </si>
  <si>
    <t>NIFTY_S2 = 25844.75</t>
  </si>
  <si>
    <t>NIFTY_S2 = 25667.8</t>
  </si>
  <si>
    <t>NIFTY_S2 = 25329.2</t>
  </si>
  <si>
    <t>NIFTY_S2 = 25259.85</t>
  </si>
  <si>
    <t>NIFTY_S2 = 25492.6</t>
  </si>
  <si>
    <t>NIFTY_S2 = 25581.3</t>
  </si>
  <si>
    <t>NIFTY_S2 = 25079.6</t>
  </si>
  <si>
    <t>NIFTY_S2 = 25254.4</t>
  </si>
  <si>
    <t>NIFTY_S2 = 25535.85</t>
  </si>
  <si>
    <t>NIFTY_S2 = 25150.5</t>
  </si>
  <si>
    <t>NIFTY_S2 = 25296.7</t>
  </si>
  <si>
    <t>NIFTY_S3</t>
  </si>
  <si>
    <t>NIFTY_S3=24856.65</t>
  </si>
  <si>
    <t>NIFTY_S3=24951</t>
  </si>
  <si>
    <t>NIFTY_S3=25002.7</t>
  </si>
  <si>
    <t>NIFTY_S3=24924.85</t>
  </si>
  <si>
    <t>NIFTY_S3=24650.55</t>
  </si>
  <si>
    <t>NIFTY_S3=24715.75</t>
  </si>
  <si>
    <t>NIFTY_S3=24857.2</t>
  </si>
  <si>
    <t>NIFTY_S3=24977.75</t>
  </si>
  <si>
    <t>NIFTY_S3=24744.25</t>
  </si>
  <si>
    <t>NIFTY_S3=24554.8</t>
  </si>
  <si>
    <t>NIFTY_S3=24346</t>
  </si>
  <si>
    <t>NIFTY_S3=24415.55</t>
  </si>
  <si>
    <t>NIFTY_S3=24653.55</t>
  </si>
  <si>
    <t>NIFTY_S3=24295.25</t>
  </si>
  <si>
    <t>NIFTY_S3=24223.1</t>
  </si>
  <si>
    <t>NIFTY_S3=24423.5</t>
  </si>
  <si>
    <t>NIFTY_S3=24439.4</t>
  </si>
  <si>
    <t>NIFTY_S3=24386.25</t>
  </si>
  <si>
    <t>NIFTY_S3=24125.4</t>
  </si>
  <si>
    <t>NIFTY_S3=24024.05</t>
  </si>
  <si>
    <t>NIFTY_S3=24168</t>
  </si>
  <si>
    <t>NIFTY_S3=24164.2</t>
  </si>
  <si>
    <t>NIFTY_S3=24418.9</t>
  </si>
  <si>
    <t>NIFTY_S3=24517.5</t>
  </si>
  <si>
    <t>NIFTY_S3=24643.4</t>
  </si>
  <si>
    <t>NIFTY_S3=24760.15</t>
  </si>
  <si>
    <t>NIFTY_S3=24798.25</t>
  </si>
  <si>
    <t>NIFTY_S3=24942.45</t>
  </si>
  <si>
    <t>NIFTY_S3=24565.5</t>
  </si>
  <si>
    <t>NIFTY_S3=24773.7</t>
  </si>
  <si>
    <t>NIFTY_S3=24397.85</t>
  </si>
  <si>
    <t>NIFTY_S3=24199.75</t>
  </si>
  <si>
    <t>NIFTY_S3=24195.8</t>
  </si>
  <si>
    <t>NIFTY_S3=24290.4</t>
  </si>
  <si>
    <t>NIFTY_S3=24248.85</t>
  </si>
  <si>
    <t>NIFTY_S3=24382.65</t>
  </si>
  <si>
    <t>NIFTY_S3=24362.2</t>
  </si>
  <si>
    <t>NIFTY_S3=24420.2</t>
  </si>
  <si>
    <t>NIFTY_S3=24587.35</t>
  </si>
  <si>
    <t>NIFTY_S3=24746.65</t>
  </si>
  <si>
    <t>NIFTY_S3=24792.9</t>
  </si>
  <si>
    <t>NIFTY_S3=24854.2</t>
  </si>
  <si>
    <t>NIFTY_S3=24953.5</t>
  </si>
  <si>
    <t>NIFTY_S3=24942.8</t>
  </si>
  <si>
    <t>NIFTY_S3=24928.3</t>
  </si>
  <si>
    <t>NIFTY_S3=25217.1</t>
  </si>
  <si>
    <t>NIFTY_S3=25233.4</t>
  </si>
  <si>
    <t>NIFTY_S3=25123.55</t>
  </si>
  <si>
    <t>NIFTY_S3=24944.4</t>
  </si>
  <si>
    <t>NIFTY_S3=24904.9</t>
  </si>
  <si>
    <t>NIFTY_S3=24883.9</t>
  </si>
  <si>
    <t>NIFTY_S3=24600.8</t>
  </si>
  <si>
    <t>NIFTY_S3 = 24327.4</t>
  </si>
  <si>
    <t>NIFTY_S3 = 24378.55</t>
  </si>
  <si>
    <t>NIFTY_S3 = 24411.15</t>
  </si>
  <si>
    <t>NIFTY_S3 = 24410.2</t>
  </si>
  <si>
    <t>NIFTY_S3 = 24635.7</t>
  </si>
  <si>
    <t>NIFTY_S3 = 24726.6</t>
  </si>
  <si>
    <t>NIFTY_S3 = 24904.85</t>
  </si>
  <si>
    <t>NIFTY_S3 = 24788.25</t>
  </si>
  <si>
    <t>NIFTY_S3 = 24896.05</t>
  </si>
  <si>
    <t>NIFTY_S3 = 25010.65</t>
  </si>
  <si>
    <t>NIFTY_S3 = 25049</t>
  </si>
  <si>
    <t>NIFTY_S3 = 24784.1</t>
  </si>
  <si>
    <t>NIFTY_S3 = 24994.4</t>
  </si>
  <si>
    <t>NIFTY_S3 = 25184.4</t>
  </si>
  <si>
    <t>NIFTY_S3 = 25278.9</t>
  </si>
  <si>
    <t>NIFTY_S3 = 25709.6</t>
  </si>
  <si>
    <t>NIFTY_S3 = 25559.4</t>
  </si>
  <si>
    <t>NIFTY_S3 = 25468.25</t>
  </si>
  <si>
    <t>NIFTY_S3 = 25681.1</t>
  </si>
  <si>
    <t>NIFTY_S3 = 25585.3</t>
  </si>
  <si>
    <t>NIFTY_S3 = 25617.9</t>
  </si>
  <si>
    <t>NIFTY_S3 = 25395.05</t>
  </si>
  <si>
    <t>NIFTY_S3 = 25513.95</t>
  </si>
  <si>
    <t>NIFTY_S3 = 25312.55</t>
  </si>
  <si>
    <t>NIFTY_S3 = 25253.5</t>
  </si>
  <si>
    <t>NIFTY_S3 = 25123.95</t>
  </si>
  <si>
    <t>NIFTY_S3 = 25257.65</t>
  </si>
  <si>
    <t>NIFTY_S3 = 25639.7</t>
  </si>
  <si>
    <t>NIFTY_S3 = 25585.85</t>
  </si>
  <si>
    <t>NIFTY_S3 = 25587.75</t>
  </si>
  <si>
    <t>NIFTY_S3 = 25820.6</t>
  </si>
  <si>
    <t>NIFTY_S3 = 25694.4</t>
  </si>
  <si>
    <t>NIFTY_S3 = 25695.9</t>
  </si>
  <si>
    <t>NIFTY_S3 = 25904.55</t>
  </si>
  <si>
    <t>NIFTY_S3 = 25893.5</t>
  </si>
  <si>
    <t>NIFTY_S3 = 25636.2</t>
  </si>
  <si>
    <t>NIFTY_S3 = 25642.25</t>
  </si>
  <si>
    <t>NIFTY_S3 = 25588.25</t>
  </si>
  <si>
    <t>NIFTY_S3 = 25966.25</t>
  </si>
  <si>
    <t>NIFTY_S3 = 26048.3</t>
  </si>
  <si>
    <t>NIFTY_S3 = 25889.75</t>
  </si>
  <si>
    <t>NIFTY_S3 = 25811.75</t>
  </si>
  <si>
    <t>NIFTY_S3 = 25720.4</t>
  </si>
  <si>
    <t>NIFTY_S3 = 25789.75</t>
  </si>
  <si>
    <t>NIFTY_S3 = 25829.75</t>
  </si>
  <si>
    <t>NIFTY_S3 = 25555.85</t>
  </si>
  <si>
    <t>NIFTY_S3 = 25541.55</t>
  </si>
  <si>
    <t>NIFTY_S3 = 25466.05</t>
  </si>
  <si>
    <t>NIFTY_S3 = 25524.05</t>
  </si>
  <si>
    <t>NIFTY_S3 = 25851.9</t>
  </si>
  <si>
    <t>NIFTY_S3 = 25796.6</t>
  </si>
  <si>
    <t>NIFTY_S3 = 25656.3</t>
  </si>
  <si>
    <t>NIFTY_S3 = 25590.75</t>
  </si>
  <si>
    <t>NIFTY_S3 = 25551.05</t>
  </si>
  <si>
    <t>NIFTY_S3 = 25787.2</t>
  </si>
  <si>
    <t>NIFTY_S3 = 25953.65</t>
  </si>
  <si>
    <t>NIFTY_S3 = 26005.1</t>
  </si>
  <si>
    <t>NIFTY_S3 = 25984.55</t>
  </si>
  <si>
    <t>NIFTY_S3 = 25850.25</t>
  </si>
  <si>
    <t>NIFTY_S3 = 25686.15</t>
  </si>
  <si>
    <t>NIFTY_S3 = 25786.9</t>
  </si>
  <si>
    <t>NIFTY_S3 = 25784.15</t>
  </si>
  <si>
    <t>NIFTY_S3 = 26023.3</t>
  </si>
  <si>
    <t>NIFTY_S3 = 25963.05</t>
  </si>
  <si>
    <t>NIFTY_S3 = 26019.35</t>
  </si>
  <si>
    <t>NIFTY_S3 = 25961.8</t>
  </si>
  <si>
    <t>NIFTY_S3 = 25957.45</t>
  </si>
  <si>
    <t>NIFTY_S3 = 25504.4</t>
  </si>
  <si>
    <t>NIFTY_S3 = 25239.75</t>
  </si>
  <si>
    <t>NIFTY_S3 = 25231.65</t>
  </si>
  <si>
    <t>NIFTY_S3 = 25293.95</t>
  </si>
  <si>
    <t>NIFTY_S3 = 25402.25</t>
  </si>
  <si>
    <t>NIFTY_S3 = 24660.6</t>
  </si>
  <si>
    <t>NIFTY_S3 = 24570.05</t>
  </si>
  <si>
    <t>NIFTY_S3 = 24893.1</t>
  </si>
  <si>
    <t>NIFTY_S3 = 24610.65</t>
  </si>
  <si>
    <t>NIFTY_S3 = 24675.65</t>
  </si>
  <si>
    <t>NIFTY_S3 = 25045.1</t>
  </si>
  <si>
    <t>NIFTY_S3 = 24934.75</t>
  </si>
  <si>
    <t>NIFTY_S3 = 23582</t>
  </si>
  <si>
    <t>NIFTY_S3 = 24380.45</t>
  </si>
  <si>
    <t>NIFTY_S3 = 24765.6</t>
  </si>
  <si>
    <t>NIFTY_S3 = 25365.85</t>
  </si>
  <si>
    <t>NIFTY_S3 = 25384.1</t>
  </si>
  <si>
    <t>NIFTY_S3 = 25343.7</t>
  </si>
  <si>
    <t>NIFTY_S3 = 25650.05</t>
  </si>
  <si>
    <t>NIFTY_S3 = 25754.9</t>
  </si>
  <si>
    <t>NIFTY_S3 = 25789.7</t>
  </si>
  <si>
    <t>NIFTY_S3 = 25583.2</t>
  </si>
  <si>
    <t>NIFTY_S3 = 25214.1</t>
  </si>
  <si>
    <t>NIFTY_S3 = 25147</t>
  </si>
  <si>
    <t>NIFTY_S3 = 25414.9</t>
  </si>
  <si>
    <t>NIFTY_S3 = 25517.4</t>
  </si>
  <si>
    <t>NIFTY_S3 = 24770.4</t>
  </si>
  <si>
    <t>NIFTY_S3 = 25129</t>
  </si>
  <si>
    <t>NIFTY_S3 = 25462.3</t>
  </si>
  <si>
    <t>NIFTY_S3 = 24973.35</t>
  </si>
  <si>
    <t>NIFTY_S3 = 25165.2</t>
  </si>
  <si>
    <t>NIFTY_S4</t>
  </si>
  <si>
    <t>NIFTY_S4=24784</t>
  </si>
  <si>
    <t>NIFTY_S4=24882.3</t>
  </si>
  <si>
    <t>NIFTY_S4=24943.55</t>
  </si>
  <si>
    <t>NIFTY_S4=24836.75</t>
  </si>
  <si>
    <t>NIFTY_S4=24516.5</t>
  </si>
  <si>
    <t>NIFTY_S4=24632.5</t>
  </si>
  <si>
    <t>NIFTY_S4=24768</t>
  </si>
  <si>
    <t>NIFTY_S4=24923.9</t>
  </si>
  <si>
    <t>NIFTY_S4=24607</t>
  </si>
  <si>
    <t>NIFTY_S4=24429</t>
  </si>
  <si>
    <t>NIFTY_S4=24195.7</t>
  </si>
  <si>
    <t>NIFTY_S4=24324</t>
  </si>
  <si>
    <t>NIFTY_S4=24594.35</t>
  </si>
  <si>
    <t>NIFTY_S4=24125.35</t>
  </si>
  <si>
    <t>NIFTY_S4=24067.15</t>
  </si>
  <si>
    <t>NIFTY_S4=24358.25</t>
  </si>
  <si>
    <t>NIFTY_S4=24363.95</t>
  </si>
  <si>
    <t>NIFTY_S4=24309.8</t>
  </si>
  <si>
    <t>NIFTY_S4=24016.05</t>
  </si>
  <si>
    <t>NIFTY_S4=23867.3</t>
  </si>
  <si>
    <t>NIFTY_S4=24078.25</t>
  </si>
  <si>
    <t>NIFTY_S4=24013.5</t>
  </si>
  <si>
    <t>NIFTY_S4=24360.75</t>
  </si>
  <si>
    <t>NIFTY_S4=24477.8</t>
  </si>
  <si>
    <t>NIFTY_S4=24538.65</t>
  </si>
  <si>
    <t>NIFTY_S4=24703.25</t>
  </si>
  <si>
    <t>NIFTY_S4=24732.55</t>
  </si>
  <si>
    <t>NIFTY_S4=24886.25</t>
  </si>
  <si>
    <t>NIFTY_S4=24418.7</t>
  </si>
  <si>
    <t>NIFTY_S4=24713.35</t>
  </si>
  <si>
    <t>NIFTY_S4=24251.95</t>
  </si>
  <si>
    <t>NIFTY_S4=24058.8</t>
  </si>
  <si>
    <t>NIFTY_S4=24091.35</t>
  </si>
  <si>
    <t>NIFTY_S4=24219.25</t>
  </si>
  <si>
    <t>NIFTY_S4=24112.1</t>
  </si>
  <si>
    <t>NIFTY_S4=24307.35</t>
  </si>
  <si>
    <t>NIFTY_S4=24189.2</t>
  </si>
  <si>
    <t>NIFTY_S4=24319.5</t>
  </si>
  <si>
    <t>NIFTY_S4=24505.25</t>
  </si>
  <si>
    <t>NIFTY_S4=24713</t>
  </si>
  <si>
    <t>NIFTY_S4=24731.8</t>
  </si>
  <si>
    <t>NIFTY_S4=24811.2</t>
  </si>
  <si>
    <t>NIFTY_S4=24911.2</t>
  </si>
  <si>
    <t>NIFTY_S4=24889.8</t>
  </si>
  <si>
    <t>NIFTY_S4=24857.2</t>
  </si>
  <si>
    <t>NIFTY_S4=25187.95</t>
  </si>
  <si>
    <t>NIFTY_S4=25185.2</t>
  </si>
  <si>
    <t>NIFTY_S4=25042.15</t>
  </si>
  <si>
    <t>NIFTY_S4=24841.05</t>
  </si>
  <si>
    <t>NIFTY_S4=24815</t>
  </si>
  <si>
    <t>NIFTY_S4=24812.1</t>
  </si>
  <si>
    <t>NIFTY_S4=24462.05</t>
  </si>
  <si>
    <t>NIFTY_S4 = 24176.4</t>
  </si>
  <si>
    <t>NIFTY_S4 = 24264.7</t>
  </si>
  <si>
    <t>NIFTY_S4 = 24322.9</t>
  </si>
  <si>
    <t>NIFTY_S4 = 24312.3</t>
  </si>
  <si>
    <t>NIFTY_S4 = 24579.75</t>
  </si>
  <si>
    <t>NIFTY_S4 = 24649.05</t>
  </si>
  <si>
    <t>NIFTY_S4 = 24819.1</t>
  </si>
  <si>
    <t>NIFTY_S4 = 24678.15</t>
  </si>
  <si>
    <t>NIFTY_S4 = 24831.9</t>
  </si>
  <si>
    <t>NIFTY_S4 = 24937.55</t>
  </si>
  <si>
    <t>NIFTY_S4 = 24997.35</t>
  </si>
  <si>
    <t>NIFTY_S4 = 24645.9</t>
  </si>
  <si>
    <t>NIFTY_S4 = 24911.95</t>
  </si>
  <si>
    <t>NIFTY_S4 = 25088.2</t>
  </si>
  <si>
    <t>NIFTY_S4 = 25164.05</t>
  </si>
  <si>
    <t>NIFTY_S4 = 25651.5</t>
  </si>
  <si>
    <t>NIFTY_S4 = 25407.9</t>
  </si>
  <si>
    <t>NIFTY_S4 = 25343.25</t>
  </si>
  <si>
    <t>NIFTY_S4 = 25608.15</t>
  </si>
  <si>
    <t>NIFTY_S4 = 25472.9</t>
  </si>
  <si>
    <t>NIFTY_S4 = 25504.25</t>
  </si>
  <si>
    <t>NIFTY_S4 = 25237</t>
  </si>
  <si>
    <t>NIFTY_S4 = 25448.15</t>
  </si>
  <si>
    <t>NIFTY_S4 = 25179.65</t>
  </si>
  <si>
    <t>NIFTY_S4 = 25134.5</t>
  </si>
  <si>
    <t>NIFTY_S4 = 25026.7</t>
  </si>
  <si>
    <t>NIFTY_S4 = 25161.85</t>
  </si>
  <si>
    <t>NIFTY_S4 = 25569</t>
  </si>
  <si>
    <t>NIFTY_S4 = 25474.55</t>
  </si>
  <si>
    <t>NIFTY_S4 = 25511.25</t>
  </si>
  <si>
    <t>NIFTY_S4 = 25777.75</t>
  </si>
  <si>
    <t>NIFTY_S4 = 25603.35</t>
  </si>
  <si>
    <t>NIFTY_S4 = 25615.75</t>
  </si>
  <si>
    <t>NIFTY_S4 = 25825.25</t>
  </si>
  <si>
    <t>NIFTY_S4 = 25814.5</t>
  </si>
  <si>
    <t>NIFTY_S4 = 25498.2</t>
  </si>
  <si>
    <t>NIFTY_S4 = 25534.6</t>
  </si>
  <si>
    <t>NIFTY_S4 = 25460.9</t>
  </si>
  <si>
    <t>NIFTY_S4 = 25878.45</t>
  </si>
  <si>
    <t>NIFTY_S4 = 25986.25</t>
  </si>
  <si>
    <t>NIFTY_S4 = 25772.55</t>
  </si>
  <si>
    <t>NIFTY_S4 = 25718.7</t>
  </si>
  <si>
    <t>NIFTY_S4 = 25635.1</t>
  </si>
  <si>
    <t>NIFTY_S4 = 25715.15</t>
  </si>
  <si>
    <t>NIFTY_S4 = 25751.95</t>
  </si>
  <si>
    <t>NIFTY_S4 = 25387.65</t>
  </si>
  <si>
    <t>NIFTY_S4 = 25448.35</t>
  </si>
  <si>
    <t>NIFTY_S4 = 25331.8</t>
  </si>
  <si>
    <t>NIFTY_S4 = 25439.45</t>
  </si>
  <si>
    <t>NIFTY_S4 = 25808.65</t>
  </si>
  <si>
    <t>NIFTY_S4 = 25742.5</t>
  </si>
  <si>
    <t>NIFTY_S4 = 25567.3</t>
  </si>
  <si>
    <t>NIFTY_S4 = 25500.95</t>
  </si>
  <si>
    <t>NIFTY_S4 = 25463.45</t>
  </si>
  <si>
    <t>NIFTY_S4 = 25740.6</t>
  </si>
  <si>
    <t>NIFTY_S4 = 25906.6</t>
  </si>
  <si>
    <t>NIFTY_S4 = 25948.15</t>
  </si>
  <si>
    <t>NIFTY_S4 = 25915.3</t>
  </si>
  <si>
    <t>NIFTY_S4 = 25771.1</t>
  </si>
  <si>
    <t>NIFTY_S4 = 25569.1</t>
  </si>
  <si>
    <t>NIFTY_S4 = 25741.35</t>
  </si>
  <si>
    <t>NIFTY_S4 = 25691.7</t>
  </si>
  <si>
    <t>NIFTY_S4 = 25978.25</t>
  </si>
  <si>
    <t>NIFTY_S4 = 25885.35</t>
  </si>
  <si>
    <t>NIFTY_S4 = 25924</t>
  </si>
  <si>
    <t>NIFTY_S4 = 25880.3</t>
  </si>
  <si>
    <t>NIFTY_S4 = 25902.25</t>
  </si>
  <si>
    <t>NIFTY_S4 = 25327.35</t>
  </si>
  <si>
    <t>NIFTY_S4 = 25048.1</t>
  </si>
  <si>
    <t>NIFTY_S4 = 25110.75</t>
  </si>
  <si>
    <t>NIFTY_S4 = 25139.3</t>
  </si>
  <si>
    <t>NIFTY_S4 = 25272.15</t>
  </si>
  <si>
    <t>NIFTY_S4 = 24405.2</t>
  </si>
  <si>
    <t>NIFTY_S4 = 24395.2</t>
  </si>
  <si>
    <t>NIFTY_S4 = 24755.4</t>
  </si>
  <si>
    <t>NIFTY_S4 = 24403.35</t>
  </si>
  <si>
    <t>NIFTY_S4 = 24547.2</t>
  </si>
  <si>
    <t>NIFTY_S4 = 24973.85</t>
  </si>
  <si>
    <t>NIFTY_S4 = 24822.2</t>
  </si>
  <si>
    <t>NIFTY_S4 = 23087.15</t>
  </si>
  <si>
    <t>NIFTY_S4 = 24231</t>
  </si>
  <si>
    <t>NIFTY_S4 = 24327.75</t>
  </si>
  <si>
    <t>NIFTY_S4 = 25266.8</t>
  </si>
  <si>
    <t>NIFTY_S4 = 25286.5</t>
  </si>
  <si>
    <t>NIFTY_S4 = 25269.6</t>
  </si>
  <si>
    <t>NIFTY_S4 = 25584.6</t>
  </si>
  <si>
    <t>NIFTY_S4 = 25697.15</t>
  </si>
  <si>
    <t>NIFTY_S4 = 25734.65</t>
  </si>
  <si>
    <t>NIFTY_S4 = 25498.6</t>
  </si>
  <si>
    <t>NIFTY_S4 = 25099</t>
  </si>
  <si>
    <t>NIFTY_S4 = 25034.15</t>
  </si>
  <si>
    <t>NIFTY_S4 = 25337.2</t>
  </si>
  <si>
    <t>NIFTY_S4 = 25453.55</t>
  </si>
  <si>
    <t>NIFTY_S4 = 24461.25</t>
  </si>
  <si>
    <t>NIFTY_S4 = 25003.65</t>
  </si>
  <si>
    <t>NIFTY_S4 = 25388.8</t>
  </si>
  <si>
    <t>NIFTY_S4 = 24796.25</t>
  </si>
  <si>
    <t>NIFTY_S4 = 25033.7</t>
  </si>
  <si>
    <t>NIFTY_S5</t>
  </si>
  <si>
    <t>NIFTY_S5=24711.35</t>
  </si>
  <si>
    <t>NIFTY_S5=24813.6</t>
  </si>
  <si>
    <t>NIFTY_S5=24884.4</t>
  </si>
  <si>
    <t>NIFTY_S5=24748.6</t>
  </si>
  <si>
    <t>NIFTY_S5=24382.45</t>
  </si>
  <si>
    <t>NIFTY_S5=24549.25</t>
  </si>
  <si>
    <t>NIFTY_S5=24678.8</t>
  </si>
  <si>
    <t>NIFTY_S5=24870.05</t>
  </si>
  <si>
    <t>NIFTY_S5=24469.75</t>
  </si>
  <si>
    <t>NIFTY_S5=24303.2</t>
  </si>
  <si>
    <t>NIFTY_S5=24045.4</t>
  </si>
  <si>
    <t>NIFTY_S5=24232.4</t>
  </si>
  <si>
    <t>NIFTY_S5=24535.15</t>
  </si>
  <si>
    <t>NIFTY_S5=23955.45</t>
  </si>
  <si>
    <t>NIFTY_S5=23911.2</t>
  </si>
  <si>
    <t>NIFTY_S5=24293</t>
  </si>
  <si>
    <t>NIFTY_S5=24288.5</t>
  </si>
  <si>
    <t>NIFTY_S5=24233.35</t>
  </si>
  <si>
    <t>NIFTY_S5=23906.7</t>
  </si>
  <si>
    <t>NIFTY_S5=23710.55</t>
  </si>
  <si>
    <t>NIFTY_S5=23988.5</t>
  </si>
  <si>
    <t>NIFTY_S5=23862.8</t>
  </si>
  <si>
    <t>NIFTY_S5=24302.6</t>
  </si>
  <si>
    <t>NIFTY_S5=24438.1</t>
  </si>
  <si>
    <t>NIFTY_S5=24433.9</t>
  </si>
  <si>
    <t>NIFTY_S5=24646.35</t>
  </si>
  <si>
    <t>NIFTY_S5=24666.85</t>
  </si>
  <si>
    <t>NIFTY_S5=24830.05</t>
  </si>
  <si>
    <t>NIFTY_S5=24271.9</t>
  </si>
  <si>
    <t>NIFTY_S5=24653</t>
  </si>
  <si>
    <t>NIFTY_S5=24106.05</t>
  </si>
  <si>
    <t>NIFTY_S5=23917.85</t>
  </si>
  <si>
    <t>NIFTY_S5=23956.9</t>
  </si>
  <si>
    <t>NIFTY_S5=24148.1</t>
  </si>
  <si>
    <t>NIFTY_S5=23975.35</t>
  </si>
  <si>
    <t>NIFTY_S5=24232.05</t>
  </si>
  <si>
    <t>NIFTY_S5=24016.2</t>
  </si>
  <si>
    <t>NIFTY_S5=24218.8</t>
  </si>
  <si>
    <t>NIFTY_S5=24423.15</t>
  </si>
  <si>
    <t>NIFTY_S5=24679.35</t>
  </si>
  <si>
    <t>NIFTY_S5=24670.7</t>
  </si>
  <si>
    <t>NIFTY_S5=24768.2</t>
  </si>
  <si>
    <t>NIFTY_S5=24868.9</t>
  </si>
  <si>
    <t>NIFTY_S5=24836.8</t>
  </si>
  <si>
    <t>NIFTY_S5=24786.1</t>
  </si>
  <si>
    <t>NIFTY_S5=25158.8</t>
  </si>
  <si>
    <t>NIFTY_S5=25137</t>
  </si>
  <si>
    <t>NIFTY_S5=24960.75</t>
  </si>
  <si>
    <t>NIFTY_S5=24737.7</t>
  </si>
  <si>
    <t>NIFTY_S5=24725.1</t>
  </si>
  <si>
    <t>NIFTY_S5=24740.3</t>
  </si>
  <si>
    <t>NIFTY_S5=24323.3</t>
  </si>
  <si>
    <t>NIFTY_S5 = 24025.4</t>
  </si>
  <si>
    <t>NIFTY_S5 = 24150.85</t>
  </si>
  <si>
    <t>NIFTY_S5 = 24234.65</t>
  </si>
  <si>
    <t>NIFTY_S5 = 24214.4</t>
  </si>
  <si>
    <t>NIFTY_S5 = 24523.8</t>
  </si>
  <si>
    <t>NIFTY_S5 = 24571.5</t>
  </si>
  <si>
    <t>NIFTY_S5 = 24733.35</t>
  </si>
  <si>
    <t>NIFTY_S5 = 24568.05</t>
  </si>
  <si>
    <t>NIFTY_S5 = 24767.75</t>
  </si>
  <si>
    <t>NIFTY_S5 = 24864.45</t>
  </si>
  <si>
    <t>NIFTY_S5 = 24945.7</t>
  </si>
  <si>
    <t>NIFTY_S5 = 24507.7</t>
  </si>
  <si>
    <t>NIFTY_S5 = 24829.5</t>
  </si>
  <si>
    <t>NIFTY_S5 = 24992</t>
  </si>
  <si>
    <t>NIFTY_S5 = 25049.2</t>
  </si>
  <si>
    <t>NIFTY_S5 = 25593.4</t>
  </si>
  <si>
    <t>NIFTY_S5 = 25256.4</t>
  </si>
  <si>
    <t>NIFTY_S5 = 25218.25</t>
  </si>
  <si>
    <t>NIFTY_S5 = 25535.2</t>
  </si>
  <si>
    <t>NIFTY_S5 = 25360.5</t>
  </si>
  <si>
    <t>NIFTY_S5 = 25390.6</t>
  </si>
  <si>
    <t>NIFTY_S5 = 25078.95</t>
  </si>
  <si>
    <t>NIFTY_S5 = 25382.35</t>
  </si>
  <si>
    <t>NIFTY_S5 = 25046.75</t>
  </si>
  <si>
    <t>NIFTY_S5 = 25015.5</t>
  </si>
  <si>
    <t>NIFTY_S5 = 24929.45</t>
  </si>
  <si>
    <t>NIFTY_S5 = 25066.05</t>
  </si>
  <si>
    <t>NIFTY_S5 = 25498.3</t>
  </si>
  <si>
    <t>NIFTY_S5 = 25363.25</t>
  </si>
  <si>
    <t>NIFTY_S5 = 25434.75</t>
  </si>
  <si>
    <t>NIFTY_S5 = 25734.9</t>
  </si>
  <si>
    <t>NIFTY_S5 = 25512.3</t>
  </si>
  <si>
    <t>NIFTY_S5 = 25535.6</t>
  </si>
  <si>
    <t>NIFTY_S5 = 25745.95</t>
  </si>
  <si>
    <t>NIFTY_S5 = 25734.8</t>
  </si>
  <si>
    <t>NIFTY_S5 = 25360.2</t>
  </si>
  <si>
    <t>NIFTY_S5 = 25426.95</t>
  </si>
  <si>
    <t>NIFTY_S5 = 25333.55</t>
  </si>
  <si>
    <t>NIFTY_S5 = 25790.65</t>
  </si>
  <si>
    <t>NIFTY_S5 = 25924.2</t>
  </si>
  <si>
    <t>NIFTY_S5 = 25655.35</t>
  </si>
  <si>
    <t>NIFTY_S5 = 25625.65</t>
  </si>
  <si>
    <t>NIFTY_S5 = 25549.8</t>
  </si>
  <si>
    <t>NIFTY_S5 = 25640.55</t>
  </si>
  <si>
    <t>NIFTY_S5 = 25674.15</t>
  </si>
  <si>
    <t>NIFTY_S5 = 25219.45</t>
  </si>
  <si>
    <t>NIFTY_S5 = 25355.15</t>
  </si>
  <si>
    <t>NIFTY_S5 = 25197.55</t>
  </si>
  <si>
    <t>NIFTY_S5 = 25354.85</t>
  </si>
  <si>
    <t>NIFTY_S5 = 25765.4</t>
  </si>
  <si>
    <t>NIFTY_S5 = 25688.4</t>
  </si>
  <si>
    <t>NIFTY_S5 = 25478.3</t>
  </si>
  <si>
    <t>NIFTY_S5 = 25411.15</t>
  </si>
  <si>
    <t>NIFTY_S5 = 25375.85</t>
  </si>
  <si>
    <t>NIFTY_S5 = 25694</t>
  </si>
  <si>
    <t>NIFTY_S5 = 25859.55</t>
  </si>
  <si>
    <t>NIFTY_S5 = 25891.2</t>
  </si>
  <si>
    <t>NIFTY_S5 = 25846.05</t>
  </si>
  <si>
    <t>NIFTY_S5 = 25691.95</t>
  </si>
  <si>
    <t>NIFTY_S5 = 25452.05</t>
  </si>
  <si>
    <t>NIFTY_S5 = 25695.8</t>
  </si>
  <si>
    <t>NIFTY_S5 = 25599.25</t>
  </si>
  <si>
    <t>NIFTY_S5 = 25933.2</t>
  </si>
  <si>
    <t>NIFTY_S5 = 25807.65</t>
  </si>
  <si>
    <t>NIFTY_S5 = 25828.65</t>
  </si>
  <si>
    <t>NIFTY_S5 = 25798.8</t>
  </si>
  <si>
    <t>NIFTY_S5 = 25847.05</t>
  </si>
  <si>
    <t>NIFTY_S5 = 25150.3</t>
  </si>
  <si>
    <t>NIFTY_S5 = 24856.45</t>
  </si>
  <si>
    <t>NIFTY_S5 = 24989.85</t>
  </si>
  <si>
    <t>NIFTY_S5 = 24984.65</t>
  </si>
  <si>
    <t>NIFTY_S5 = 25142.05</t>
  </si>
  <si>
    <t>NIFTY_S5 = 24149.8</t>
  </si>
  <si>
    <t>NIFTY_S5 = 24220.35</t>
  </si>
  <si>
    <t>NIFTY_S5 = 24617.7</t>
  </si>
  <si>
    <t>NIFTY_S5 = 24196.05</t>
  </si>
  <si>
    <t>NIFTY_S5 = 24418.75</t>
  </si>
  <si>
    <t>NIFTY_S5 = 24902.6</t>
  </si>
  <si>
    <t>NIFTY_S5 = 24709.65</t>
  </si>
  <si>
    <t>NIFTY_S5 = 22592.3</t>
  </si>
  <si>
    <t>NIFTY_S5 = 24081.55</t>
  </si>
  <si>
    <t>NIFTY_S5 = 23889.9</t>
  </si>
  <si>
    <t>NIFTY_S5 = 25167.75</t>
  </si>
  <si>
    <t>NIFTY_S5 = 25188.85</t>
  </si>
  <si>
    <t>NIFTY_S5 = 25195.5</t>
  </si>
  <si>
    <t>NIFTY_S5 = 25519.15</t>
  </si>
  <si>
    <t>NIFTY_S5 = 25639.4</t>
  </si>
  <si>
    <t>NIFTY_S5 = 25679.6</t>
  </si>
  <si>
    <t>NIFTY_S5 = 25414</t>
  </si>
  <si>
    <t>NIFTY_S5 = 24983.9</t>
  </si>
  <si>
    <t>NIFTY_S5 = 24921.3</t>
  </si>
  <si>
    <t>NIFTY_S5 = 25259.5</t>
  </si>
  <si>
    <t>NIFTY_S5 = 25389.7</t>
  </si>
  <si>
    <t>NIFTY_S5 = 24152.1</t>
  </si>
  <si>
    <t>NIFTY_S5 = 24878.3</t>
  </si>
  <si>
    <t>NIFTY_S5 = 25315.3</t>
  </si>
  <si>
    <t>NIFTY_S5 = 24619.15</t>
  </si>
  <si>
    <t>NIFTY_S5 = 24902.2</t>
  </si>
  <si>
    <t>OBSERVATION</t>
  </si>
  <si>
    <t>Observation_text = "Gussa aay ki mujhe sl lagan kun nahi aaata 😭😭</t>
  </si>
  <si>
    <t>Observation_text = " 👍Good👍</t>
  </si>
  <si>
    <t>Observation_text = " aaj mai record nahi karta, par kiya, 💕💕continutiy bani rahe</t>
  </si>
  <si>
    <t>bservation_text = "eakdum tadap ke reh gaye, 6 candle no stop red</t>
  </si>
  <si>
    <t>Observation_text ="👍Good👍</t>
  </si>
  <si>
    <t>Observation_text ="</t>
  </si>
  <si>
    <t xml:space="preserve"> \n yahan pe mre favour me nifty me 38 point gaya</t>
  </si>
  <si>
    <t xml:space="preserve"> \n proper risk mgmt follow kar raha tha ki sl kaha aur kitna bada hoga!!</t>
  </si>
  <si>
    <t>\n galti kari thi HH pe entry le li thi,👿👿</t>
  </si>
  <si>
    <t>\n ==== Way forward ======</t>
  </si>
  <si>
    <t>\n ==== Dec 19 ======</t>
  </si>
  <si>
    <t xml:space="preserve"> \n webhook url thoda samjh aaay</t>
  </si>
  <si>
    <t xml:space="preserve"> \n par mai index me 23 point lena cah raha tha to usko miss kar diya</t>
  </si>
  <si>
    <t xml:space="preserve"> \n 🎯aaj bahut acche se trail kiya tha!!</t>
  </si>
  <si>
    <t>\n par waqt rehte dimag me aa gaya tha,</t>
  </si>
  <si>
    <t>\n 💰💰 ==== Trade ===== 1</t>
  </si>
  <si>
    <t>\n jaldi se kud kar le liya tha to laga har baar kaam karega 😒😒😥😭</t>
  </si>
  <si>
    <t xml:space="preserve"> \n bas secreat key daalan hoga</t>
  </si>
  <si>
    <t xml:space="preserve"> \n sl ka aaj hi concept clear karne ke liye mood khrab hua tha"</t>
  </si>
  <si>
    <t xml:space="preserve"> \n</t>
  </si>
  <si>
    <t>\n plus hammer ke signal ne bachaliya tha 😪😪</t>
  </si>
  <si>
    <t>\n entry ke baad 6 candle ne jhanjhana diya</t>
  </si>
  <si>
    <t>\n aaj ke din mane gap filter banaya, ki shift to higer timeframe</t>
  </si>
  <si>
    <t xml:space="preserve"> \n dropdown 💧to select ATM0,1,2</t>
  </si>
  <si>
    <t xml:space="preserve"> \n pehli candle , PDC ke neeche lag raha tha 25904 wale level se uthega</t>
  </si>
  <si>
    <t>\n</t>
  </si>
  <si>
    <t>\n par ab thoda bahut sL lagana aagaya hai,ki kab nikalna !!</t>
  </si>
  <si>
    <t>\n agar candle badi ho to warning!! ⚠️⚠️</t>
  </si>
  <si>
    <t xml:space="preserve"> \n 3exit 🥳3️⃣- premium based , SL and target,index based</t>
  </si>
  <si>
    <t xml:space="preserve"> \n mujhe dik raha tha support,</t>
  </si>
  <si>
    <t>\n faida ki edit tez karne ka tareeka mil gaya, video marker pe 🎥</t>
  </si>
  <si>
    <t>\n 💰💰 ==== Trade ===== 2</t>
  </si>
  <si>
    <t>\n aur solution mil gaya ki kab kaun sa timeframe choose karen!!</t>
  </si>
  <si>
    <t xml:space="preserve"> \n no order palcement if price&gt;150</t>
  </si>
  <si>
    <t xml:space="preserve"> \n par bahut strong tha 25904 pe agar wo toda to bahut neeche,</t>
  </si>
  <si>
    <t>\n 🎨👓ye bhi samjh aaya ki long ke baad agar short hai to wo exit signal hai,</t>
  </si>
  <si>
    <t>\n dimag ne nayi baat aa gayi!!🧠🧠🤯</t>
  </si>
  <si>
    <t>\n ==== Dec 20 Sat ======</t>
  </si>
  <si>
    <t xml:space="preserve"> \n if first trade profit no new trade</t>
  </si>
  <si>
    <t>\n swing ban chuka tha, major fallke baad</t>
  </si>
  <si>
    <t>\n 20 dec ko journal table ban gayi \n mai dekh raha tha ki mai 100 ka premium leta</t>
  </si>
  <si>
    <t xml:space="preserve"> \n LLHH, ke pass no TRADE ZONE</t>
  </si>
  <si>
    <t xml:space="preserve"> \n 😒 Bad😒</t>
  </si>
  <si>
    <t>\n turant nikalne ka !!</t>
  </si>
  <si>
    <t>\n signal ke bina entry le li</t>
  </si>
  <si>
    <t>\n aur usme 20 point ke chakkar me rehta</t>
  </si>
  <si>
    <t xml:space="preserve"> \n codebase - google doc ➡️to google sheet</t>
  </si>
  <si>
    <t>\n itne major fall ke baad turant kab avoide karen</t>
  </si>
  <si>
    <t>\n -840 +2000 net</t>
  </si>
  <si>
    <t>\n wo 20% ka target ho jaata</t>
  </si>
  <si>
    <t xml:space="preserve"> \n 💰💰 ==== Trade ===== 1</t>
  </si>
  <si>
    <t>\n🧿🚨 ye jahan entyr mili wo pehla profit booking ki jagha</t>
  </si>
  <si>
    <t>\n acchi baat apne RR ke liye ruka</t>
  </si>
  <si>
    <t xml:space="preserve"> \n wahan pe mai intezaar kar raha ki pura formation ho jaye par tab tak late</t>
  </si>
  <si>
    <t>\n fir agar ye breakdown hua to jo ki iska exit hoga, wo entry ki jagha⚠️</t>
  </si>
  <si>
    <t>\n"</t>
  </si>
  <si>
    <t>\n dimag me aaya ki 75 ke lot se mujhe 13 pt cahiye,</t>
  </si>
  <si>
    <t>\n ab mai entry lene ke baad 13 ka bas target rakh dunga</t>
  </si>
  <si>
    <t xml:space="preserve"> \n SL bada to mai 1-2 candle ke liye wait,</t>
  </si>
  <si>
    <t>\n aaj samjh aaya ki bt waala previous swing pe alert rehta hai!! 🚨⚠️</t>
  </si>
  <si>
    <t>\n premium pe len 100-200 ki range me</t>
  </si>
  <si>
    <t xml:space="preserve"> \n tab tak move aadha nikal gaya aur mai trap!!</t>
  </si>
  <si>
    <t>\n -378 aur -1031 , net -1410 💸💸💰</t>
  </si>
  <si>
    <t>\n dimag me chal raha tha ki ab se sirf nifty pe focus karenge</t>
  </si>
  <si>
    <t xml:space="preserve"> \n 💰💰 ==== Trade ===== 2</t>
  </si>
  <si>
    <t>\n to 1 me galat dusre me sahi ke chakkar me chale jaate!!</t>
  </si>
  <si>
    <t xml:space="preserve"> \n trade 2 bnf me liya usme usme support pe hammer🔨</t>
  </si>
  <si>
    <t>\n aise agar 1 signal galat hua to dusra sahi hoga par dono me kudne lagte</t>
  </si>
  <si>
    <t xml:space="preserve"> \n jis participant ne banaya hoga wo defend karega!!💯</t>
  </si>
  <si>
    <t xml:space="preserve"> \n wo uske close ka intezaar wo bhi move miss,</t>
  </si>
  <si>
    <t>\n ye bhi chal raha tha ki mai window pe bada sa nifty ka chart</t>
  </si>
  <si>
    <t xml:space="preserve"> \n to 🧠dimag me banne laga ki wait karne se move chala jaata ,</t>
  </si>
  <si>
    <t>\n aur uske side me dusra nifty ka hi chart zoom kar ke rakhenge</t>
  </si>
  <si>
    <t>\n journal banane me dikkat aa rahi thi confusing lag raha tha ,</t>
  </si>
  <si>
    <t xml:space="preserve"> \n to maine hammer bante hi entry le len ka filter banane ka soocha!!</t>
  </si>
  <si>
    <t>\n par hit and try karte karte elegent solution jo sheet aur ,</t>
  </si>
  <si>
    <t>\n pinescript me kaam karega!!</t>
  </si>
  <si>
    <t xml:space="preserve"> \n dhayan dena cahiye ki candle 57point ki ⚠️</t>
  </si>
  <si>
    <t>\n mai apne video dekhte hue ye note bhi bana raha tha 👩🏻‍🎓👩🏻‍🎓</t>
  </si>
  <si>
    <t xml:space="preserve"> \n aur upar se gapdown, sellers kas kar hawi hain aaj!!</t>
  </si>
  <si>
    <t>\n solution mila ki jo entry miss hojaati to kya karen??.. ab kab, max trade me bhada den, to mil sakti hai, next jab aaye gi!!🤖🤖😍😁</t>
  </si>
  <si>
    <t xml:space="preserve"> \n 🔥🔥hope duniya ki sabse powerfull feeling!! breakout zone ke neeche to turant kaat denge!!"</t>
  </si>
  <si>
    <t>\n foundation of modular code!!</t>
  </si>
  <si>
    <t xml:space="preserve"> \n aur upar se gapdown, sellers kas ke hawi hain aaj!!</t>
  </si>
  <si>
    <t>\n 😒 Bad😒</t>
  </si>
  <si>
    <t>\n 💰💰 ==== Trade ===== 2"</t>
  </si>
  <si>
    <t>Time</t>
  </si>
  <si>
    <t>Name</t>
  </si>
  <si>
    <t>Buy/Sell</t>
  </si>
  <si>
    <t>Order</t>
  </si>
  <si>
    <t>Exchange</t>
  </si>
  <si>
    <t>Segment</t>
  </si>
  <si>
    <t>Quantity/Lot</t>
  </si>
  <si>
    <t>Trade Price</t>
  </si>
  <si>
    <t>Trade Value</t>
  </si>
  <si>
    <t>Status</t>
  </si>
  <si>
    <t>INTRADAY</t>
  </si>
  <si>
    <t>NSE</t>
  </si>
  <si>
    <t>Derivative</t>
  </si>
  <si>
    <t>Traded</t>
  </si>
  <si>
    <t>MARGIN</t>
  </si>
  <si>
    <t>MainFunction</t>
  </si>
  <si>
    <t>Date Of
Creation</t>
  </si>
  <si>
    <t>in Detail</t>
  </si>
  <si>
    <t>Date of 
Removal</t>
  </si>
  <si>
    <t>CodeBase</t>
  </si>
  <si>
    <t>Yahan se Google Doc me log Rakhna shuru</t>
  </si>
  <si>
    <t>No change</t>
  </si>
  <si>
    <t>Code cleanup</t>
  </si>
  <si>
    <t>Simple clean - Unused toggle off kar diye
Show latest Hh/LL ka toggle bana diya
Ye confuse karta hai
Sirf jab levels pe hi breakout ho to range bane uske liye
Require touch to trigger, ki sirf level pe kibina touch kiye bhi
shouldRun = (bullishAfterTouch or bearishAfterTouch) and deleteOld and inDateRange and (useTouched ? touched : true)</t>
  </si>
  <si>
    <t>Reduce Number of Signals</t>
  </si>
  <si>
    <t>if (bullishAfterTouch or bearishAfterTouch) and deleteOld and inDateRange and touched</t>
  </si>
  <si>
    <t>Add kar diya
Aisa karne se signal bahut kam aayenge, frustration hoga ki miss kar rahe, par jo aayenge wo clean honge
Aur dono index me kisi me aa sakte</t>
  </si>
  <si>
    <t>Breakout zone line clr</t>
  </si>
  <si>
    <t>_isBull ? color.new(color.red, 0) : color.new(color.teal, 0)</t>
  </si>
  <si>
    <t>Breakout zone, ki line red clr ki banei, red candle ke saath</t>
  </si>
  <si>
    <t>Breakout zone</t>
  </si>
  <si>
    <t>keepOldLines</t>
  </si>
  <si>
    <t>Keep Old Breakout Lines, toggle
Chart pe purani line ko delete nahi karna hai, isse back, issebreakout faliur kun aur kab hota dekhne ko milta hai</t>
  </si>
  <si>
    <t>Valid harami candle body size</t>
  </si>
  <si>
    <t>Wahi valdi harami candle jo pichli candle ka atleast 50% ho</t>
  </si>
  <si>
    <t>body50pct = currBody &gt;= prevBody * 0.5</t>
  </si>
  <si>
    <t>Valid engulding Candle</t>
  </si>
  <si>
    <t>Engulfing tab hi valid hai, jab previous candle body atleast&gt;=1pt</t>
  </si>
  <si>
    <t>prevBodyMinPoints = input.float(1.0, "Min previous body (points)", step = 0.1)
******** Dec 20 Sat *****************
0.5 //20 dec</t>
  </si>
  <si>
    <t>Inverted Hammmer Created</t>
  </si>
  <si>
    <t>GreenHammerCondition = hammerShape and isGreen
RedHammerCondition = hammerShape and isRed
bullish = (bullishEngulfing or bullishHarami or GreenHammerCondition
bearish = (bearishEngulfing or bearishHarami or RedHammerCondition)</t>
  </si>
  <si>
    <t>Green ke saath Red 
hammer ko clear define kar diya, isse wo auto exclude ho jaa raha
******** Dec 20 Sat *****************
Min body size 1 hammer aur inverted hammer ka</t>
  </si>
  <si>
    <t>prevGreen</t>
  </si>
  <si>
    <t>Valid Entry tabhi jab, 
Previous/breakout ke clr ki candle
Aur breakout zone ke neeche price close</t>
  </si>
  <si>
    <t>prevGreen = lastBullTouch and (close[1] &gt; open[1])
longCondition = lastBullTouch and isGreen and prevGreen
 and not na(bullLineHigh_price)
 and (close &gt; bullLineHigh_price)</t>
  </si>
  <si>
    <t>Finally Long Short Entry Signals</t>
  </si>
  <si>
    <t>Finally Strategy me long short entry
Jo tameez se kaam kar rahi!!</t>
  </si>
  <si>
    <t>if longCondition
 and tradesToday &lt; maxTradesPerDay
 and inDateRange
 and (EntryCandleBodySize &lt;= bodySizeThreshold)
 and (lineType != "R") and (lineType != "PD_H")</t>
  </si>
  <si>
    <t xml:space="preserve">slLevelLong </t>
  </si>
  <si>
    <t>var float slLevelLong = na
slLevelLong := math.min(low, low[1])
strategy.exit(id="Exit Long",from_entry="Long",stop=slLevelLong)</t>
  </si>
  <si>
    <t>Exit jab breakout zone ke neechey price close</t>
  </si>
  <si>
    <t>maxTradesPerDay</t>
  </si>
  <si>
    <t>maxTradesPerDay = 4</t>
  </si>
  <si>
    <t>Max trade 4, excluding entry</t>
  </si>
  <si>
    <t>Max candle body size size</t>
  </si>
  <si>
    <t>Max candle size
Bnf ki candle max Body size 25
Nifty ka max body size 20</t>
  </si>
  <si>
    <t>bodySizeThreshold = 20
bodySizeThreshold = 25</t>
  </si>
  <si>
    <t xml:space="preserve">BackTest </t>
  </si>
  <si>
    <t>Nov - Bnf /Nifty</t>
  </si>
  <si>
    <t>BackTest 
nifty/BNF Dono ko pure nov ke liye backtest kar liya</t>
  </si>
  <si>
    <t>requireProximity</t>
  </si>
  <si>
    <t>requireProximity
and (not requireProximity or (not na(proximityLongDiff) and proximityLongDiff &lt;= proximityThreshold))</t>
  </si>
  <si>
    <t>Valid entry jab, distance between H/L and breakout zone continuation candle is less than specified point
&lt;=30 for nifty
&lt;=60 or BNF</t>
  </si>
  <si>
    <t>SL katne ki jagha</t>
  </si>
  <si>
    <t>if (not na(bullLineLow_price) and close &lt; bullLineLow_price and close &lt; open)</t>
  </si>
  <si>
    <t>SL katne ki jagha
Jab price high/Low ke upar close ho jaye with G/R candle</t>
  </si>
  <si>
    <t>proximity filter BreakoutZOne Distance</t>
  </si>
  <si>
    <t>proximity filter se</t>
  </si>
  <si>
    <t>breakout zone ke beech ka distance pe label
auto script me value sahi</t>
  </si>
  <si>
    <t>Bahut acche se coad clean kiya, bahut confidence aa raha tha ki ab mujhe eakdum clear dikh raha kis line se kya ho raha hai!!</t>
  </si>
  <si>
    <t>Journal Table Bana di</t>
  </si>
  <si>
    <t>Good bad way forward kar ke likh sakte
wo chart pe hi rahe ga, 
multiple toggle text tool mange nahi karne padenge!!!
Sabse mast cheez, excell me save karni ki jagha bhi hai!!
Har chart ke saath individual load hhoga</t>
  </si>
  <si>
    <t>Safty CONDITIONS - ⚠️ Wide GAP - Switch to Higher TimeFrame</t>
  </si>
  <si>
    <t>// Safty CONDITIONS - ⚠️ Wide GAP - Switch to Higher TimeFrame</t>
  </si>
  <si>
    <t>// ================================================================
// Safty CONDITIONS - 📏 Label Size
// ================================================================
// === Label Size Dropdown ===
SafetySafetylabelSizeInput = input.string(
 "tiny",
 title = "Safety Label Size",
 options = ["tiny", "small", "normal", "large", "huge"],
 inline = "Safty"
 )
SafetylabelSize =
 SafetySafetylabelSizeInput == "tiny" ? size.tiny :
 SafetySafetylabelSizeInput == "small" ? size.small :
 SafetySafetylabelSizeInput == "normal" ? size.normal:
 SafetySafetylabelSizeInput == "large" ? size.large :
 size.huge
// ================================================================
// Safty CONDITIONS - ⚠️ Wide GAP - Switch to Higher TimeFrame
// ================================================================
// --- First candle of the day ---
isFirstCandle = ta.change(time("D"))
// --- Previous day close ---
prevDayClose = request.security(
 syminfo.tickerid,
 "D",
 close,
 lookahead = barmerge.lookahead_on
 )[1]
// --- GAP calculation ---
gapPoints = math.abs(open - prevDayClose)
// --- First candle range ---
firstCandleRange = high - low
// --- User toggle ---
GapWarning_toggle = true
// GapWarning_toggle = input.bool(true, "Gap Warning", inline = "Safty")
// --- GAP condition ---
gapValid =
 (isNifty and gapPoints &gt; 80)
 or (isBankNifty and gapPoints &gt; 150)
if timeframe.isminutes and timeframe.multiplier == 2
 if isFirstCandle and gapValid and GapWarning_toggle and inDateRange
 label.new(
 bar_index,
 high,
 "⚠️ Wide GAP\n" +
 str.tostring(math.round(gapPoints)) + " pts\n" +
 "Switch to Higher TF",
 style = label.style_label_down,
 color = color.yellow,
 textcolor = color.black,
 size = size.large
 )</t>
  </si>
  <si>
    <t>Saftey 🔴 FIRST CANDLE RANGE HIGHLIGHT</t>
  </si>
  <si>
    <t>🔴 FIRST CANDLE RANGE HIGHLIGHT</t>
  </si>
  <si>
    <t>// ===========================================================
// Safty CONDITIONS - 🔴 FIRST CANDLE RANGE HIGHLIGHT
// ===========================================================
firstCandleBigRange = isFirstCandle and (firstCandleRange &gt;= 50)
// --- Highlight candle ---
barcolor(
 firstCandleBigRange ? color.new(color.orange, 0) : na
 )
// --- Label for big first candle ---
if timeframe.isminutes and timeframe.multiplier == 2
 if firstCandleBigRange and GapWarning_toggle and inDateRange
 label.new(
 bar_index,
 high,
 "🔥 Big First Candle\n" +
 str.tostring(math.round(firstCandleRange)) + " pts",
 style = label.style_label_down,
 color = color.aqua,
 textcolor = color.white,
 size = size.large
 )</t>
  </si>
  <si>
    <t>Daily exponential moving average</t>
  </si>
  <si>
    <t>//============================
// DEMA
//============================
showDEMA_toggle = input.bool(true, "Show DEMA")
length = 100
// length = input.int(100, minval=1)
// src = input(close, title="Source")
src = close
e1 = ta.ema(src, length)
e2 = ta.ema(e1, length)
dema = 2 * e1 - e2
plot(
 (showDEMA_toggle and inDateRange) ? dema : na, // 👈 toggle logic
 title = "DEMA (Step)",
 color = color.black,
 style = plot.style_stepline,
 linewidth = 3
 )</t>
  </si>
  <si>
    <t>Zone Width Calculation</t>
  </si>
  <si>
    <t>SAfty CONDITIONS - 2 // 🔴 Zone Width Calculation</t>
  </si>
  <si>
    <t>var float zoneWidth = na
if not na(zone_Upper_line_price) and not na(zone_Lower_line_price)
 zoneWidth := math.abs(zone_Upper_line_price - zone_Lower_line_price)
zoneLimit =
 timeframe.isminutes and timeframe.multiplier == 2 ?
 (isBankNifty ? 30 : 25) :
 timeframe.isminutes and timeframe.multiplier == 3 ?
 (isBankNifty ? 60 : 50) :
 (isBankNifty ? 30 : 25) // default safety
zoneTooWide = not na(zoneWidth) and zoneWidth &gt; zoneLimit
********* 23/12/2025 ************</t>
  </si>
  <si>
    <t>Zone Too Wide</t>
  </si>
  <si>
    <t>SAfty CONDITIONS - 4 // ⛔ Zone Too Wide</t>
  </si>
  <si>
    <t>zoneLimit =
 timeframe.isminutes and timeframe.multiplier == 2 ? 25 :
 timeframe.isminutes and timeframe.multiplier == 3 ? 50 :
 25 // default safety
zoneTooWide = not na(zoneWidth) and zoneWidth &gt; zoneLimit
********* 23/12/2025 ************</t>
  </si>
  <si>
    <t>trackedHigh vs zone_Upper_line (too close)</t>
  </si>
  <si>
    <t>SAfty CONDITIONS - 5.1 // 🔺 Safety: trackedHigh vs zone_Upper_line (too close) // Long entry blockd</t>
  </si>
  <si>
    <t>// =========================
// // // SAfty CONDITIONS - 5.1 // 🔺 Safety: trackedHigh vs zone_Upper_line (too close) // Long entry block
// =========================
var float lastTrackedHigh = na
var float lastZoneHigh = na
var bool hhTooCloseShown = false
// store last valid values
if not na(trackedHigh)
 lastTrackedHigh := trackedHigh
if not na(zone_Upper_line_price)
 lastZoneHigh := zone_Upper_line_price
// diff calculation
var float trackedHighZoneDiff = na
if not na(lastTrackedHigh) and not na(lastZoneHigh)
 trackedHighZoneDiff := math.abs(lastTrackedHigh - lastZoneHigh)
// block condition
trackedHighTooClose =
 not na(trackedHighZoneDiff)
 and trackedHighZoneDiff &lt; 30
// show label only once per zone
ShortCloseText =
 "⛔ HH too close" +
 "\nDiff: " + str.tostring(trackedHighZoneDiff) +
 "\nYahan Long mat karna !!" +
 "\nShort ke liye sooch sakte"
if trackedHighTooClose and not hhTooCloseShown
 label.new(
 bar_index,
 lastTrackedHigh,
 ShortCloseText,
 style = label.style_label_down,
 color = color.red,
 textcolor = color.white,
 size = size.small
 )
 hhTooCloseShown := true
/// RESET LOGIC (VERY IMPORTANT – same as LL) // ina ka lable spam ko rokne ke liye
if (Bearish_Candle_exitingZone or Bullish_Candle_exitingZone) and inDateRange
 llTooCloseShown := false
 hhTooCloseShown := false</t>
  </si>
  <si>
    <t>Safty CONDITIONS - 📏 LL no TradeZone</t>
  </si>
  <si>
    <t>-LL line pe box banata upper aur lower bound pe
-uske andar no entry</t>
  </si>
  <si>
    <t>// ===========================================================
// Safty CONDITIONS - 📏 LL no TradeZone
// =============================================================
var float lastTrackedLow = na
var float lastZoneLow = na
var bool llTooCloseShown = false
if not na(trackedLow)
 lastTrackedLow := trackedLow
if not na(zone_Lower_line_price)
 lastZoneLow := zone_Lower_line_price
var float trackedLowZoneDiff = na
if not na(lastTrackedLow) and not na(lastZoneLow)
 trackedLowZoneDiff := math.abs(lastTrackedLow - lastZoneLow)
upperBandInput = input.int(4, "upperBand_LL", minval=1)
LowerBandInput = input.int(4, "LowerBand_LL", minval=1)
insideNoTradeZone_LL_toggle = input.bool(true, "insideNoTradeZone_LL_toggle")
upperBand = trackedLow + upperBandInput
lowerBand = trackedLow - LowerBandInput
// STEP 1: Locked values
var float lockedLow = na
var float lockedUpperBand = na
var float lockedLowerBand = na
// STEP 2: Lock once
if not na(trackedLow) and na(lockedLow)
 lockedLow := trackedLow
 lockedUpperBand := trackedLow + upperBandInput
 lockedLowerBand := trackedLow - LowerBandInput
// STEP 3: No-trade zone
insideNoTradeZone_LL =
 not na(lockedLow)
 and insideNoTradeZone_LL_toggle
 and close &lt;= lockedUpperBand
 and close &gt;= lockedLowerBand
// STEP 4: Reset ONLY on fresh entry
enteredTrade = strategy.position_size != 0 and strategy.position_size[1] == 0
if enteredTrade
 lockedLow := na
 lockedUpperBand := na
 lockedLowerBand := na
var box upperZoneBox = na
var box lowerZoneBox = na
if not na(trackedLow) and inDateRange
 // delete old boxes
 if not na(upperZoneBox)
 box.delete(upperZoneBox)
 if not na(lowerZoneBox)
 box.delete(lowerZoneBox)
 // 🔴 Upper shaded zone (LL → upperBand)
 upperZoneBox := box.new(
 left = bar_index - 10,
 right = bar_index,
 top = upperBand,
 bottom = trackedLow,
 bgcolor = color.new(color.red, 85),
 border_color = color.new(color.red, 70)
 )
 // 🔴 Lower shaded zone (lowerBand → LL)
 lowerZoneBox := box.new(
 left = bar_index - 10,
 right = bar_index,
 top = trackedLow,
 bottom = lowerBand,
 bgcolor = color.new(color.red, 88),
 border_color = color.new(color.red, 75)
 )</t>
  </si>
  <si>
    <t>🌐🕸️🌐🕸️ DHAN WEBHOOK INPUTS</t>
  </si>
  <si>
    <t xml:space="preserve">// 🌐🕸️🌐🕸️ DHAN WEBHOOK INPUTS
secret key
indexSymbol - Dropdown Selection
Atm Size
</t>
  </si>
  <si>
    <t>// ================================
// 🌐🕸️🌐🕸️ DHAN WEBHOOK INPUTS
// ================================
dhanSecret = input.string("zxUSE", "Dhan Secret",group = "🗝️ Order Placement")
indexSymbol = input.string( "NSE:BANKNIFTY", title = "Index Symbol", options = ["NSE:NIFTY", "NSE:BANKNIFTY"],group = "🗝️ Order Placement")
// ================================
// 🔢 Steps size &amp; ATM
// ================================
stepSize = indexSymbol == "NSE:BANKNIFTY" ? 100 : 50
atmStrike = math.round(close / stepSize) * stepSize
distanceStep = input.int(0, "Strike Distance (Steps)", options = [0,1,2],group = "🗝️ Order Placement")
distanceValue = distanceStep * stepSize
ceStrike_calc = atmStrike + distanceValue
peStrike_calc = atmStrike - distanceValue
// ================================
// ✅🔒 LOCK VARIABLES (MOST IMPORTANT)
// ================================
var float lockedCEStrike = na
var float lockedPEStrike = na
// ✅ STEP 5: STRIKE → STRING (for symbol)
ceStrike_str = str.tostring(lockedCEStrike)
peStrike_str = str.tostring(lockedPEStrike)
// Use calculated strike when not locked
ceStrike_display = not na(lockedCEStrike) ? lockedCEStrike : ceStrike_calc
peStrike_display = not na(lockedPEStrike) ? lockedPEStrike : peStrike_calc
// ================================
// ExpiryDate 📅
// ================================
// expiryDate = input.string("251230", "Expiry Date",group = "🗝️ Order Placement") // YYYY-MM-DD
niftyExpiry = input.string(
 "251223",
 title = "Expiry (YYMMDD) NIFTY ",
 options = [
 "251223", // 23 Dec
 "251230", // 30 Dec
 "260106", // 06 Jan
 "260113", // 13 Jan
 "260120" // 20 Jan
 ], group = "🗝️ Order Placement", inline = "expiry" )
bnfExpiry = input.string(
 "251230",
 title = "BANKNIFTY",
 options = [
 "251230", // 30 Dec
 "260127" // 27 Jan
 ], group = "🗝️ Order Placement", inline = "expiry" )
expiryDate =
 indexSymbol == "NSE:NIFTY" ? niftyExpiry :
 indexSymbol == "NSE:BANKNIFTY" ? bnfExpiry :
 na
// 🔹 symbol (sirf jab lockedStrike valid ho)
ceSymbol = not na(lockedCEStrike)
 ? indexSymbol + expiryDate + "C" + str.tostring(lockedCEStrike)
 : na
peSymbol = not na(lockedPEStrike)
 ? indexSymbol + expiryDate + "P" + str.tostring(lockedPEStrike)
 : na
maxPremium = input.float(150, "Max Option Premium")
cePrice = not na(ceSymbol)
 ? request.security(ceSymbol, timeframe.period, close)
 : na
pePrice = not na(peSymbol)
 ? request.security(peSymbol, timeframe.period, close)
 : na
ceValid = not na(cePrice) and cePrice &lt;= maxPremium
peValid = not na(pePrice) and pePrice &lt;= maxPremium
quantity = input.string("1", "Quantity",group = "🗝️ Order Placement")
exchange = "NSE"
productType = "I"
instrument = "OPT"
long_Entry_msg = not na(lockedCEStrike) ? ( '{' + '"secret":"' + dhanSecret + '",' + '"alertType":"multi_leg_order",' + '"order_legs":[{' + '"transactionType":"B",' + '"orderType":"MKT",' + '"quantity":"' + quantity + '",' + '"exchange":"' + exchange + '",' + '"symbol":"' + indexSymbol + '",' + '"instrument":"' + instrument + '",' + '"productType":"' + productType + '",' + '"sort_order":"1",' + '"price":"0",' + '"option_type":"CE",' + '"strike_price":"' + str.tostring(lockedCEStrike) + '",' + '"expiry_date":"' + expiryDate + '"' + '}]' + '}'): na
Long_exit_msg = not na(lockedCEStrike) ?( '{' + '"secret":"' + dhanSecret + '",' + '"alertType":"multi_leg_order",' + '"order_legs":[{' + '"transactionType":"S",' + '"orderType":"MKT",' + '"quantity":"' + quantity + '",' + '"exchange":"' + exchange + '",' + '"symbol":"' + indexSymbol + '",' + '"instrument":"' + instrument + '",' + '"productType":"' + productType + '",' + '"sort_order":"1",' + '"price":"0",' + '"option_type":"CE",' + '"strike_price":"' + str.tostring(lockedCEStrike) + '",' + '"expiry_date":"' + expiryDate + '"' + '}]' + '}'): na
short_Entry_msg = not na(lockedPEStrike) ?( '{' + '"secret":"' + dhanSecret + '",' + '"alertType":"multi_leg_order",' + '"order_legs":[{' + '"transactionType":"B",' + '"orderType":"MKT",' + '"quantity":"' + quantity + '",' + '"exchange":"' + exchange + '",' + '"symbol":"' + indexSymbol + '",' + '"instrument":"' + instrument + '",' + '"productType":"' + productType + '",' + '"sort_order":"1",' + '"price":"0",' + '"option_type":"PE",' + '"strike_price":"' + str.tostring(lockedPEStrike) + '",' + '"expiry_date":"' + expiryDate + '"' + '}]' + '}'): na
short_exit_msg = not na(lockedPEStrike) ?( '{' + '"secret":"' + dhanSecret + '",' + '"alertType":"multi_leg_order",' + '"order_legs":[{' + '"transactionType":"S",' + '"orderType":"MKT",' + '"quantity":"' + quantity + '",' + '"exchange":"' + exchange + '",' + '"symbol":"' + indexSymbol + '",' + '"instrument":"' + instrument + '",' + '"productType":"' + productType + '",' + '"sort_order":"1",' + '"price":"0",' + '"option_type":"PE",' + '"strike_price":"' + str.tostring(lockedPEStrike) + '",' + '"expiry_date":"' + expiryDate + '"' + '}]' + '}'): na</t>
  </si>
  <si>
    <t>// 📊 Strike Selection Visual Table
Creates sadsa</t>
  </si>
  <si>
    <t>// ================================
// 📊 Strike Selection Visual Table
// ================================
var table strikeTable = table.new(position.top_right, 2, 6, border_width = 1)
f_expiryLabel(exp) =&gt;
 exp == "251223" ? "23 Dec" :
 exp == "251230" ? "30 Dec" :
 exp == "260106" ? "06 Jan" :
 exp == "260113" ? "13 Jan" :
 exp == "260120" ? "20 Jan" :
 exp == "260127" ? "27 Jan" :
 exp
OrderTable_BG_Clr = color.blue
// if barstate.islast
table.cell(strikeTable, 0, 0, "INDEX", bgcolor=OrderTable_BG_Clr, text_color=color.white)
table.cell(strikeTable, 1, 0, indexSymbol)
table.cell(strikeTable, 0, 1, "ATM STRIKE", bgcolor=OrderTable_BG_Clr, text_color=color.white)
table.cell(strikeTable, 1, 1, str.tostring(atmStrike))
table.cell(strikeTable, 0, 2, "DISTANCE STEP", bgcolor=OrderTable_BG_Clr, text_color=color.white)
table.cell(strikeTable, 1, 2, str.tostring(distanceStep))
table.cell(strikeTable, 0, 3, "CE STRIKE", bgcolor=color.new(color.green, 80))
table.cell(strikeTable, 1, 3, str.tostring(ceStrike_display))
table.cell(strikeTable, 0, 4, "PE STRIKE", bgcolor=color.new(color.red, 80))
table.cell(strikeTable, 1, 4, str.tostring(peStrike_display))
table.cell(strikeTable, 0, 5, "EXPIRY", bgcolor=OrderTable_BG_Clr, text_color=color.white)
table.cell(strikeTable, 1, 5, f_expiryLabel(expiryDate), text_size = size.large)</t>
  </si>
  <si>
    <t>PREMIUM BASED TARGET &amp; SL</t>
  </si>
  <si>
    <t>// // ======================================================
// // PREMIUM BASED TARGET &amp; SL
// // =========================================================
premiumTarget = 10
premiumSL = 10
// ===== Entry Premium Lock (Very Important) =====
// 🔒 PREMIUM SNAPSHOT STORE KARNA (ENTRY PE)
var float entryPremium = na
if strategy.position_size &gt; 0 and na(entryPremium)
 entryPremium := cePrice
if strategy.position_size &lt; 0 and na(entryPremium)
 entryPremium := pePrice
if strategy.position_size == 0
 entryPremium := na
premiumPnL =
 strategy.position_size &gt; 0 ? cePrice - entryPremium :
 strategy.position_size &lt; 0 ? entryPremium - pePrice :
 na
// ===== P&amp;L =====
longPremiumProfit = not na(entryPremium) ? cePrice - entryPremium : na
shortPremiumProfit = not na(entryPremium) ? entryPremium - pePrice : na
// ===== Exit Guard =====
// 📌 IMPORTANT NOTES (ignore mat karna)
// ⚠️ 1. Premium spikes
 // Option premium gap karta hai
 // +10 / −10 exact nahi milega
 // 👉 slippage accept karna padega
// ⚠️ 2. First bar issue
 // Entry bar pe hi premium move ho sakta hai
 // 👉 entry ke baad next bar se exit check better
barsAfterEntry = ta.barssince(strategy.position_size != 0)
allowExit = barsAfterEntry &gt; 0 //👉 allowExit ek SAFETY GATE hai jo bolta “Entry ke same bar me exit mat lene do.”
// ===== Exit Logic =====
Prem_base_exitLong = ((longPremiumProfit &gt;= premiumTarget) or (longPremiumProfit &lt;= -premiumSL))
Prem_base_exitShort = ((shortPremiumProfit &gt;= premiumTarget) or (shortPremiumProfit &lt;= -premiumSL))
Long_indexExitCondition = (close_Below_Red_zone and (close &lt; open)) // long
Short_indexExitCondition = (close_Above_Red_zone and (close &gt; open)) // short
LongExitTrigger = Long_indexExitCondition or Prem_base_exitLong
shortExitTrigger = Short_indexExitCondition or Prem_base_exitShort</t>
  </si>
  <si>
    <t>Google Doc se➡️sheet me moved</t>
  </si>
  <si>
    <t>if 1st trade in PROFIT, no further Trader</t>
  </si>
  <si>
    <t xml:space="preserve">// // ============================================
// Agar pehla trade PROFIT me exit hua
// // ============================================
// 🔹 STEP 1: Entry price lock karo (index price)
var float entryIndexPrice = na
// LONG entry
if strategy.position_size &gt; 0 and na(entryIndexPrice)
    entryIndexPrice := close
// SHORT entry
if strategy.position_size &lt; 0 and na(entryIndexPrice)
    entryIndexPrice := close
// reset when flat
if strategy.position_size == 0
    entryIndexPrice := na
// 🔹 STEP 2: Day profit lock flag
var bool dayProfitLocked = false
// day reset
if ta.change(time("D"))
    dayProfitLocked := false
// 🔹 STEP 3: PROFIT CLOSE detection (EXIT KE BAAD)
// detect exit bar
justClosed = strategy.position_size[1] != 0 and strategy.position_size == 0
float entryAtExit = na
float exitIndexPrice = na
if justClosed
    exitIndexPrice := close[1]
if justClosed
    entryAtExit := entryIndexPrice[1]
// LowerBandInput_HH_HH = input.int(4, "LowerBand_HH", minval=1)
FirstTradeProfit_points_Index_Nifty   = input.float(10, "FirstTradeProfit_points_Index_Nifty",minval = 0.1)
FirstTradeProfit_points_Index_Nifty_toggle = input.bool(true, "FirstTradeProfit_points_Index_Nifty_toggle")
if justClosed
    longProfitClose =
         strategy.position_size[1] &gt; 0
     and FirstTradeProfit_points_Index_Nifty_toggle
     and exitIndexPrice &gt;= entryIndexPrice[1] + FirstTradeProfit_points_Index_Nifty
    shortProfitClose =
         strategy.position_size[1] &lt; 0
     and FirstTradeProfit_points_Index_Nifty_toggle
     and exitIndexPrice &lt;= entryIndexPrice[1] - FirstTradeProfit_points_Index_Nifty
    if longProfitClose or shortProfitClose
        dayProfitLocked := true //🔑 Yahin pe lock lagta hai — EXIT KE BAAD if justClosed Loopme
DiffPt = math.abs(exitIndexPrice - entryIndexPrice[1])
if justClosed
    label.new(
         bar_index,
         high,
         "Entry @ " + str.tostring(entryIndexPrice[1]) +
         "\nExit  @ " + str.tostring(exitIndexPrice) +
         "\nPT    = " + str.tostring(DiffPt) +
         "\nLOCK  = " + str.tostring(dayProfitLocked),
         color = dayProfitLocked ? color.red : color.green,
         textcolor = color.white,
         size = size.small
         )
if justClosed
    entryIndexPrice := na
</t>
  </si>
  <si>
    <t>Yr</t>
  </si>
  <si>
    <t>Month</t>
  </si>
  <si>
    <t>Inc</t>
  </si>
  <si>
    <t>Tax</t>
  </si>
  <si>
    <t xml:space="preserve">Inc
Month
Cumm </t>
  </si>
  <si>
    <t xml:space="preserve">Inc
LifeTime
Cumm </t>
  </si>
  <si>
    <t>Column 1</t>
  </si>
  <si>
    <t>Column 9</t>
  </si>
  <si>
    <t>Column 10</t>
  </si>
  <si>
    <t>Column 11</t>
  </si>
  <si>
    <t>Column 12</t>
  </si>
  <si>
    <t>Sep</t>
  </si>
  <si>
    <t>Oct</t>
  </si>
  <si>
    <t>Nov</t>
  </si>
  <si>
    <t>Dec</t>
  </si>
  <si>
    <t>ToTal</t>
  </si>
  <si>
    <t>Jan</t>
  </si>
  <si>
    <t>Feb</t>
  </si>
  <si>
    <t>Mar</t>
  </si>
  <si>
    <t>Apr</t>
  </si>
  <si>
    <t>May</t>
  </si>
  <si>
    <t>Jun</t>
  </si>
  <si>
    <t>Jul</t>
  </si>
  <si>
    <t>Aug</t>
  </si>
  <si>
    <t>NET</t>
  </si>
  <si>
    <t>Broker</t>
  </si>
  <si>
    <t>Dhan</t>
  </si>
  <si>
    <t>Zerodha</t>
  </si>
  <si>
    <t>BTC</t>
  </si>
  <si>
    <t>DHAN</t>
  </si>
  <si>
    <t>Action</t>
  </si>
  <si>
    <t>Amount</t>
  </si>
  <si>
    <t>stockmock</t>
  </si>
  <si>
    <t>TradingView</t>
  </si>
  <si>
    <t>Hardware</t>
  </si>
  <si>
    <t>Month Total</t>
  </si>
  <si>
    <t>Collateral 
(Liquid funds)</t>
  </si>
  <si>
    <t>pay in</t>
  </si>
  <si>
    <t>Return</t>
  </si>
  <si>
    <t>zerodha margin call</t>
  </si>
  <si>
    <t>payout</t>
  </si>
  <si>
    <t>Total</t>
  </si>
  <si>
    <t>Month Closing Bal</t>
  </si>
  <si>
    <t>Diff</t>
  </si>
  <si>
    <t>%</t>
  </si>
  <si>
    <t>Mouse</t>
  </si>
  <si>
    <t>subscription Trading View</t>
  </si>
  <si>
    <t>keyboard</t>
  </si>
  <si>
    <t>DHAN HISTORIAL DATA</t>
  </si>
  <si>
    <t>stock mock</t>
  </si>
  <si>
    <t>goCharting</t>
  </si>
  <si>
    <t>OPTION - V3 - BT STRATEGY</t>
  </si>
  <si>
    <t>old paste</t>
  </si>
  <si>
    <t>https://docs.google.com/spreadsheets/d/1RwKKUlHj4HjbHFl0NP2INxOjtvMIo12aTAJavnpGf94/edit?gid=0#gid=0</t>
  </si>
  <si>
    <t>BT</t>
  </si>
  <si>
    <t>https://docs.google.com/spreadsheets/d/1XFB_2KZuQ1tTELCt4WR4md0qQU30ZMiESCX6AnWThKs/edit?gid=1523876364#gid=1523876364</t>
  </si>
  <si>
    <t>T2 / 2W6000</t>
  </si>
  <si>
    <t>https://docs.google.com/spreadsheets/d/1c-plRmqD1NjCk6RQk_BG7hRowyAGHLka5VZBIrfyLwM/edit?gid=519005993#gid=519005993</t>
  </si>
  <si>
    <t xml:space="preserve">Date - </t>
  </si>
  <si>
    <t>SITE</t>
  </si>
  <si>
    <t>Year</t>
  </si>
  <si>
    <t>Weeks</t>
  </si>
  <si>
    <t>AUTO
MANUAL</t>
  </si>
  <si>
    <t>STR</t>
  </si>
  <si>
    <t>INDEX</t>
  </si>
  <si>
    <t>SIDE</t>
  </si>
  <si>
    <t>P/L</t>
  </si>
  <si>
    <t>Entry</t>
  </si>
  <si>
    <t>Gross</t>
  </si>
  <si>
    <t>T.Gross</t>
  </si>
  <si>
    <t>Column 33</t>
  </si>
  <si>
    <t>Day End</t>
  </si>
  <si>
    <t>Net
PT</t>
  </si>
  <si>
    <t>%R</t>
  </si>
  <si>
    <t>TELEGRAM</t>
  </si>
  <si>
    <t>STRIKE</t>
  </si>
  <si>
    <t>B/S</t>
  </si>
  <si>
    <t>CE/PE</t>
  </si>
  <si>
    <t>Exit</t>
  </si>
  <si>
    <t>Duration</t>
  </si>
  <si>
    <t>CP</t>
  </si>
  <si>
    <t>Sp</t>
  </si>
  <si>
    <t>Pt Gain</t>
  </si>
  <si>
    <t>Pt Loss</t>
  </si>
  <si>
    <t>QTY</t>
  </si>
  <si>
    <t>Gain Rs</t>
  </si>
  <si>
    <t>Loss
Rs</t>
  </si>
  <si>
    <t>Column 34</t>
  </si>
  <si>
    <t>Column 35</t>
  </si>
  <si>
    <t>Column 36</t>
  </si>
  <si>
    <t>Column 37</t>
  </si>
  <si>
    <t>Column 38</t>
  </si>
  <si>
    <t>Column 39</t>
  </si>
  <si>
    <t>Column 40</t>
  </si>
  <si>
    <t>Column 41</t>
  </si>
  <si>
    <t>Column 42</t>
  </si>
  <si>
    <t>Column 43</t>
  </si>
  <si>
    <t>Column 44</t>
  </si>
  <si>
    <t>Column 45</t>
  </si>
  <si>
    <t>Column 46</t>
  </si>
  <si>
    <t>Column 47</t>
  </si>
  <si>
    <t>Column 48</t>
  </si>
  <si>
    <t>Column 49</t>
  </si>
  <si>
    <t>Column 50</t>
  </si>
  <si>
    <t>Column 51</t>
  </si>
  <si>
    <t>Column 52</t>
  </si>
  <si>
    <t>Column 53</t>
  </si>
  <si>
    <t>Column 54</t>
  </si>
  <si>
    <t>Column 55</t>
  </si>
  <si>
    <t>Column 56</t>
  </si>
  <si>
    <t>Column 57</t>
  </si>
  <si>
    <t>Column 58</t>
  </si>
  <si>
    <t>Column 59</t>
  </si>
  <si>
    <t>Column 60</t>
  </si>
  <si>
    <t>Column 61</t>
  </si>
  <si>
    <t>Column 62</t>
  </si>
  <si>
    <t>Column 63</t>
  </si>
  <si>
    <t>Column 64</t>
  </si>
  <si>
    <t>Column 65</t>
  </si>
  <si>
    <t>Column 66</t>
  </si>
  <si>
    <t>Column 67</t>
  </si>
  <si>
    <t>Column 68</t>
  </si>
  <si>
    <t>Column 69</t>
  </si>
  <si>
    <t>2025</t>
  </si>
  <si>
    <t>06 -June</t>
  </si>
  <si>
    <t>MANUAL</t>
  </si>
  <si>
    <t>ARS</t>
  </si>
  <si>
    <t>NIFTY</t>
  </si>
  <si>
    <t>BULLISH</t>
  </si>
  <si>
    <t>L</t>
  </si>
  <si>
    <t>https://t.me/c/2524275978/58</t>
  </si>
  <si>
    <t>NIFTY 05 JUN 24650 CALL</t>
  </si>
  <si>
    <t>B</t>
  </si>
  <si>
    <t>CE</t>
  </si>
  <si>
    <t>BEARISH</t>
  </si>
  <si>
    <t>https://t.me/c/2524275978/57</t>
  </si>
  <si>
    <t>NIFTY 05 JUN 24650 PUT</t>
  </si>
  <si>
    <t>PE</t>
  </si>
  <si>
    <t>AUTO</t>
  </si>
  <si>
    <t>IGN</t>
  </si>
  <si>
    <t>P</t>
  </si>
  <si>
    <t>LOSS</t>
  </si>
  <si>
    <t>https://t.me/c/2524275978/61</t>
  </si>
  <si>
    <t>NIFTY 05 JUN 24700 PUT</t>
  </si>
  <si>
    <t>https://t.me/c/2524275978/62</t>
  </si>
  <si>
    <t>NIFTY 05 JUN 24750 CALL</t>
  </si>
  <si>
    <t>DOUBT</t>
  </si>
  <si>
    <t>https://t.me/c/2524275978/63</t>
  </si>
  <si>
    <t>PROFIT</t>
  </si>
  <si>
    <t>https://t.me/c/2524275978/67</t>
  </si>
  <si>
    <t>https://t.me/c/2524275978/71</t>
  </si>
  <si>
    <t>NIFTY 05 JUN 24500 PUT</t>
  </si>
  <si>
    <t>https://t.me/c/2524275978/69</t>
  </si>
  <si>
    <t>NIFTY 05 JUN 24500 CALL</t>
  </si>
  <si>
    <t>RANDOM</t>
  </si>
  <si>
    <t>https://t.me/arsalanali36/203</t>
  </si>
  <si>
    <t>https://t.me/c/2524275978/74</t>
  </si>
  <si>
    <t>NIFTY 12 JUN 24750 CALL</t>
  </si>
  <si>
    <t>https://t.me/c/2524275978/77</t>
  </si>
  <si>
    <t>NIFTY 05 JUN 24750 PUT</t>
  </si>
  <si>
    <t>https://t.me/c/2524275978/81</t>
  </si>
  <si>
    <t>NIFTY 12 JUN 24950 PUT</t>
  </si>
  <si>
    <t>https://t.me/arsalanali36/231</t>
  </si>
  <si>
    <t>NIFTY 12 JUN 25150 CALL</t>
  </si>
  <si>
    <t>Avg</t>
  </si>
  <si>
    <t>DATE</t>
  </si>
  <si>
    <t>TIME</t>
  </si>
  <si>
    <t>INSTRUMENT</t>
  </si>
  <si>
    <t>DIR</t>
  </si>
  <si>
    <t>TP</t>
  </si>
  <si>
    <t>SL</t>
  </si>
  <si>
    <t>RR</t>
  </si>
  <si>
    <t>OUTCOME</t>
  </si>
  <si>
    <t>3 IMAGES</t>
  </si>
  <si>
    <t>TOPUP</t>
  </si>
  <si>
    <t>EUR USD</t>
  </si>
  <si>
    <t>https://t.me/c/2643947979/108</t>
  </si>
  <si>
    <t>NO</t>
  </si>
  <si>
    <t>ETH</t>
  </si>
  <si>
    <t>https://t.me/c/2643947979/117</t>
  </si>
  <si>
    <t>YES</t>
  </si>
  <si>
    <t>USTECH</t>
  </si>
  <si>
    <t>https://t.me/c/2643947979/126</t>
  </si>
  <si>
    <t>OIL</t>
  </si>
  <si>
    <t>https://t.me/c/2643947979/132</t>
  </si>
  <si>
    <t>https://t.me/c/2643947979/151</t>
  </si>
  <si>
    <t>GOLD</t>
  </si>
  <si>
    <t>https://t.me/c/2643947979/142</t>
  </si>
  <si>
    <t>https://t.me/c/2643947979/157</t>
  </si>
  <si>
    <t>AUD/USD</t>
  </si>
  <si>
    <t>https://t.me/c/2643947979/166</t>
  </si>
  <si>
    <t>https://t.me/c/2643947979/165</t>
  </si>
  <si>
    <t>ZERODHA</t>
  </si>
  <si>
    <t>TOTAL</t>
  </si>
  <si>
    <t>May - 30 - Fri</t>
  </si>
  <si>
    <t>Yr
Weeks</t>
  </si>
  <si>
    <t>Month Week</t>
  </si>
  <si>
    <t>Day End/L</t>
  </si>
  <si>
    <t>key event</t>
  </si>
  <si>
    <t>StrategyBuilder</t>
  </si>
  <si>
    <t>Straddle Chart</t>
  </si>
  <si>
    <t>Premium</t>
  </si>
  <si>
    <t>Index
TeleGRAM</t>
  </si>
  <si>
    <t>Margin Require</t>
  </si>
  <si>
    <t xml:space="preserve">YT </t>
  </si>
  <si>
    <t>Net
PT 
SELL</t>
  </si>
  <si>
    <t>ROCE</t>
  </si>
  <si>
    <t>LIVE EXECUTION</t>
  </si>
  <si>
    <t>Delta</t>
  </si>
  <si>
    <t>Sp/Day End</t>
  </si>
  <si>
    <t>Comments</t>
  </si>
  <si>
    <t>DTE</t>
  </si>
  <si>
    <t>PP</t>
  </si>
  <si>
    <t>Column 49 2</t>
  </si>
  <si>
    <t>DAY 0</t>
  </si>
  <si>
    <t>07 -July</t>
  </si>
  <si>
    <t>W 28</t>
  </si>
  <si>
    <t>NIFTY 10 JULY 25250 PE</t>
  </si>
  <si>
    <t>s4</t>
  </si>
  <si>
    <t>https://t.me/c/2820828095/5/27</t>
  </si>
  <si>
    <t>https://t.me/c/2820828095/6/11</t>
  </si>
  <si>
    <t>NIFTY 10 JULY 25650 CE</t>
  </si>
  <si>
    <t>NIFTY 10 JULY 25200 PE</t>
  </si>
  <si>
    <t>https://t.me/c/2820828095/2/22</t>
  </si>
  <si>
    <t>https://t.me/c/2820828095/3/16</t>
  </si>
  <si>
    <t>https://t.me/c/2820828095/4/19</t>
  </si>
  <si>
    <t>https://t.me/c/2820828095/5/28</t>
  </si>
  <si>
    <t>https://t.me/c/2820828095/6/13</t>
  </si>
  <si>
    <t>NIFTY 10 JULY 25800 CE</t>
  </si>
  <si>
    <t xml:space="preserve">DAY 1 </t>
  </si>
  <si>
    <t>previous day ,galti se mujhe laga aaj hi expiry thi, to square off nahi kiya</t>
  </si>
  <si>
    <t>CARRY OVER</t>
  </si>
  <si>
    <t>https://t.me/c/2820828095/3/18</t>
  </si>
  <si>
    <t>https://t.me/c/2820828095/4/21</t>
  </si>
  <si>
    <t>https://t.me/c/2820828095/2/23</t>
  </si>
  <si>
    <t>https://t.me/c/2820828095/3/17</t>
  </si>
  <si>
    <t>https://t.me/c/2820828095/4/20</t>
  </si>
  <si>
    <t>https://t.me/c/2820828095/5/29</t>
  </si>
  <si>
    <t>https://t.me/c/2820828095/6/14</t>
  </si>
  <si>
    <t>NIFTY 10 JULY 25850 CE</t>
  </si>
  <si>
    <t>UL</t>
  </si>
  <si>
    <t>NIFTY 10 JULY 24850 PE</t>
  </si>
  <si>
    <t>UnLoss</t>
  </si>
  <si>
    <t>https://t.me/c/2820828095/3/30</t>
  </si>
  <si>
    <t>https://t.me/c/2820828095/4/32</t>
  </si>
  <si>
    <t>https://t.me/c/2820828095/5/33</t>
  </si>
  <si>
    <t>UP</t>
  </si>
  <si>
    <t>DAY 3</t>
  </si>
  <si>
    <t>UnProfit</t>
  </si>
  <si>
    <t>https://t.me/c/2820828095/2/34</t>
  </si>
  <si>
    <t>https://t.me/c/2820828095/3/38</t>
  </si>
  <si>
    <t>https://t.me/c/2820828095/4/39</t>
  </si>
  <si>
    <t>https://t.me/c/2820828095/5/37</t>
  </si>
  <si>
    <t>DAY 4</t>
  </si>
  <si>
    <t>https://t.me/c/2820828095/2/45</t>
  </si>
  <si>
    <t>https://t.me/c/2820828095/3/46</t>
  </si>
  <si>
    <t>https://t.me/c/2820828095/4/47</t>
  </si>
  <si>
    <t>DAY 5</t>
  </si>
  <si>
    <t>https://t.me/c/2820828095/2/57</t>
  </si>
  <si>
    <t>https://t.me/c/2820828095/3/58</t>
  </si>
  <si>
    <t>https://t.me/c/2820828095/4/59</t>
  </si>
  <si>
    <t>DAY 6</t>
  </si>
  <si>
    <t>https://t.me/c/2820828095/2/63</t>
  </si>
  <si>
    <t>NIFTY 10 JULY 23550 PE</t>
  </si>
  <si>
    <t>BH</t>
  </si>
  <si>
    <t>NIFTY 10 JULY 24600 PE</t>
  </si>
  <si>
    <t>NIFTY 10 JULY 25400 CE</t>
  </si>
  <si>
    <t>late shuru kiya tha</t>
  </si>
  <si>
    <t>https://t.me/c/2820828095/2/43</t>
  </si>
  <si>
    <t>https://t.me/c/2820828095/3/42</t>
  </si>
  <si>
    <t>https://t.me/c/2820828095/4/41</t>
  </si>
  <si>
    <t>https://t.me/c/2820828095/5/40</t>
  </si>
  <si>
    <t>https://t.me/c/2820828095/6/44</t>
  </si>
  <si>
    <t>NIFTY 10 JULY 26250 CE</t>
  </si>
  <si>
    <t>DAY 2</t>
  </si>
  <si>
    <t>https://t.me/c/2820828095/2/49</t>
  </si>
  <si>
    <t>https://t.me/c/2820828095/3/50</t>
  </si>
  <si>
    <t>https://t.me/c/2820828095/3/51</t>
  </si>
  <si>
    <t>https://t.me/c/2820828095/5/52</t>
  </si>
  <si>
    <t>https://t.me/c/2820828095/2/60</t>
  </si>
  <si>
    <t>https://t.me/c/2820828095/3/61</t>
  </si>
  <si>
    <t>https://t.me/c/2820828095/4/62</t>
  </si>
  <si>
    <t>https://t.me/c/2820828095/2/64</t>
  </si>
  <si>
    <t>NIFTY 10 JULY 22950 PE</t>
  </si>
  <si>
    <t>NIFTY 10 JULY 24950 PE</t>
  </si>
  <si>
    <t>NIFTY 10 JULY 25500 CE</t>
  </si>
  <si>
    <t>https://t.me/c/2820828095/2/53</t>
  </si>
  <si>
    <t>https://t.me/c/2820828095/3/54</t>
  </si>
  <si>
    <t>https://t.me/c/2820828095/4/56</t>
  </si>
  <si>
    <t>NIFTY 10 JULY 27400 CE</t>
  </si>
  <si>
    <t>https://t.me/c/2820828095/2/65</t>
  </si>
  <si>
    <t>UnRProfit</t>
  </si>
  <si>
    <t>NIFTY 24 JULY 24400 PE</t>
  </si>
  <si>
    <t>NIFTY 24 JULY 25150 CE</t>
  </si>
  <si>
    <t>UnRLoss</t>
  </si>
  <si>
    <t>NIFTY 24 JULY 25150 PE</t>
  </si>
  <si>
    <t>https://t.me/c/2820828095/2/70</t>
  </si>
  <si>
    <t>https://t.me/c/2820828095/4/71</t>
  </si>
  <si>
    <t>NIFTY 24 JULY 25900 CE</t>
  </si>
  <si>
    <t>BROKER</t>
  </si>
  <si>
    <t>YR</t>
  </si>
  <si>
    <t>MONTH</t>
  </si>
  <si>
    <t>WEEK</t>
  </si>
  <si>
    <t>Fund Deployed</t>
  </si>
  <si>
    <t>Combined Premium</t>
  </si>
  <si>
    <t>LEG</t>
  </si>
  <si>
    <t>DAY 0
FRI</t>
  </si>
  <si>
    <t>DAY 03
MON</t>
  </si>
  <si>
    <t>DAY 04
TUE</t>
  </si>
  <si>
    <t>DAY 05
WED</t>
  </si>
  <si>
    <t>DAY 06
THUR</t>
  </si>
  <si>
    <t>Retun%</t>
  </si>
  <si>
    <t>Expected</t>
  </si>
  <si>
    <t>miss</t>
  </si>
  <si>
    <t>https://t.me/c/2820828095/70</t>
  </si>
  <si>
    <t>https://t.me/c/2820828095/72</t>
  </si>
  <si>
    <t>https://t.me/c/2820828095/73</t>
  </si>
  <si>
    <t>Margin Req</t>
  </si>
  <si>
    <t>No Exit</t>
  </si>
  <si>
    <t>Sell 
Exit</t>
  </si>
  <si>
    <t>L1
BUY</t>
  </si>
  <si>
    <t>L2
BUY</t>
  </si>
  <si>
    <t>L3
SELL</t>
  </si>
  <si>
    <t>L4
SELL</t>
  </si>
  <si>
    <t>Column 2</t>
  </si>
  <si>
    <t>Column 3</t>
  </si>
  <si>
    <t>Strategy Builder</t>
  </si>
  <si>
    <t>EDO 
STRADDLE</t>
  </si>
  <si>
    <t>Leg</t>
  </si>
  <si>
    <t>PAT</t>
  </si>
  <si>
    <t>24100 CE
S</t>
  </si>
  <si>
    <t>23900 PE
s</t>
  </si>
  <si>
    <t>23500 PE
B</t>
  </si>
  <si>
    <t>24350 CE
B</t>
  </si>
  <si>
    <t>23900 PE S</t>
  </si>
  <si>
    <t>23450 PE
BUY</t>
  </si>
  <si>
    <t>23800 CE
BUY</t>
  </si>
  <si>
    <t>23500 PE
SELL</t>
  </si>
  <si>
    <t>23700 CE
SELL</t>
  </si>
  <si>
    <t>https://t.me/c/2888376653/325</t>
  </si>
  <si>
    <t>https://t.me/c/2888376653/1/328</t>
  </si>
  <si>
    <t>https://t.me/c/2888376653/323</t>
  </si>
  <si>
    <t>https://t.me/c/2888376653/326</t>
  </si>
  <si>
    <t>23500 PE S</t>
  </si>
  <si>
    <t>24950 CE B</t>
  </si>
  <si>
    <t>22900 PE B</t>
  </si>
  <si>
    <t>23650 PE S</t>
  </si>
  <si>
    <t>24550 CE S</t>
  </si>
  <si>
    <t>Looking for , ki Price, Max decay kha le to nikle , ya fir agar CP pe wapis TO nikle !
Starrt at jan 03 Fri
exit 23650 PE S, at 3:09 on Jan 06 Mon, Reason : Breached Entry Price : matlab Market Gir Raha hai 
Fresh Positon : buy 24500 CE &amp; 24300 CE S, New margin Required 120000, on jan 06 Mon</t>
  </si>
  <si>
    <t>24500 CE B</t>
  </si>
  <si>
    <t>24300 CE S</t>
  </si>
  <si>
    <t>Point</t>
  </si>
  <si>
    <t>June W3</t>
  </si>
  <si>
    <t xml:space="preserve">% </t>
  </si>
  <si>
    <t>Jun - 16 - Mon</t>
  </si>
  <si>
    <t>Jun - 17 - Tue</t>
  </si>
  <si>
    <t>Jun - 18 - Wed</t>
  </si>
  <si>
    <t>Jun - 19 - Thu</t>
  </si>
  <si>
    <t>Jun - 20 - Fri</t>
  </si>
  <si>
    <t>June W4</t>
  </si>
  <si>
    <t>%  2</t>
  </si>
  <si>
    <t>Jun - 23 - Mon</t>
  </si>
  <si>
    <t>Jun - 24 - Tue</t>
  </si>
  <si>
    <t>Column 4</t>
  </si>
  <si>
    <t>Jun - 25 - Wed</t>
  </si>
  <si>
    <t>Jun - 26 - Thu</t>
  </si>
  <si>
    <t>Column 5</t>
  </si>
  <si>
    <t>Column 6</t>
  </si>
  <si>
    <t>Jun - 27 - Fri</t>
  </si>
  <si>
    <t>Column 7</t>
  </si>
  <si>
    <t>Column 8</t>
  </si>
  <si>
    <t>July W1</t>
  </si>
  <si>
    <t>%  3</t>
  </si>
  <si>
    <t>Jun - 30 - Mon</t>
  </si>
  <si>
    <t>Jul - 01 - Tue</t>
  </si>
  <si>
    <t>Jul - 02 - Wed</t>
  </si>
  <si>
    <t>Jul - 03 - Thu</t>
  </si>
  <si>
    <t>Jul - 04 - Fri</t>
  </si>
  <si>
    <t>July W2</t>
  </si>
  <si>
    <t>%  4</t>
  </si>
  <si>
    <t>Jul - 07 - Mon</t>
  </si>
  <si>
    <t>Column 13</t>
  </si>
  <si>
    <t>Jul - 08 - Tue</t>
  </si>
  <si>
    <t>Column 14</t>
  </si>
  <si>
    <t>Jul - 09 - Wed</t>
  </si>
  <si>
    <t>Jul - 10 - Thu</t>
  </si>
  <si>
    <t>Column 15</t>
  </si>
  <si>
    <t>Jul - 11 - Fri</t>
  </si>
  <si>
    <t>Column 16</t>
  </si>
  <si>
    <t xml:space="preserve">same time keep a framework in
place that does not allow you to become reckless. </t>
  </si>
  <si>
    <t>Score</t>
  </si>
  <si>
    <t>best of the best trade 
at pp, key candle, along with its confirmation !</t>
  </si>
  <si>
    <t>W 25</t>
  </si>
  <si>
    <t>i</t>
  </si>
  <si>
    <t>ii</t>
  </si>
  <si>
    <t>W 26</t>
  </si>
  <si>
    <t>iii</t>
  </si>
  <si>
    <t>W 27</t>
  </si>
  <si>
    <t>Telegram Link</t>
  </si>
  <si>
    <t>https://t.me/c/2888376653/32/44</t>
  </si>
  <si>
    <t>https://t.me/c/2888376653/32/45</t>
  </si>
  <si>
    <t>https://t.me/c/2888376653/32/46</t>
  </si>
  <si>
    <t>https://t.me/c/2888376653/32/47</t>
  </si>
  <si>
    <t>https://t.me/arsalanali36/302</t>
  </si>
  <si>
    <t>https://t.me/c/2888376653/32/48</t>
  </si>
  <si>
    <t>https://t.me/c/2888376653/24/30</t>
  </si>
  <si>
    <t>https://t.me/c/2888376653/32/49</t>
  </si>
  <si>
    <t>https://t.me/c/2888376653/24/31</t>
  </si>
  <si>
    <t>https://t.me/c/2888376653/32/50</t>
  </si>
  <si>
    <t>https://t.me/c/2888376653/4/52</t>
  </si>
  <si>
    <t>https://t.me/c/2888376653/4/61</t>
  </si>
  <si>
    <t>https://t.me/c/2888376653/4/59</t>
  </si>
  <si>
    <t>https://t.me/c/2888376653/4/73</t>
  </si>
  <si>
    <t>https://t.me/c/2888376653/4/84</t>
  </si>
  <si>
    <t>https://t.me/c/2888376653/4/90</t>
  </si>
  <si>
    <t>https://t.me/c/2888376653/4/106</t>
  </si>
  <si>
    <t>https://t.me/c/2888376653/4/107</t>
  </si>
  <si>
    <t>https://t.me/c/2888376653/4/116</t>
  </si>
  <si>
    <t>https://t.me/c/2888376653/4/117</t>
  </si>
  <si>
    <t>https://t.me/c/2888376653/171</t>
  </si>
  <si>
    <t>https://t.me/c/2888376653/4/181</t>
  </si>
  <si>
    <t>https://t.me/c/2888376653/4/182</t>
  </si>
  <si>
    <t>yt url</t>
  </si>
  <si>
    <t>https://www.youtube.com/watch?v=6lT3hO4o9-c&amp;list=PLfY3kCGZRWoivOt5wzvzT829huaJnCWcz&amp;index=1&amp;pp=gAQBiAQB</t>
  </si>
  <si>
    <t>https://www.youtube.com/watch?v=jQA06NqVjFc&amp;list=PLfY3kCGZRWoivOt5wzvzT829huaJnCWcz&amp;index=2&amp;pp=gAQBiAQB</t>
  </si>
  <si>
    <t>https://www.youtube.com/watch?v=kqkuxwE9-PE&amp;list=PLfY3kCGZRWoivOt5wzvzT829huaJnCWcz&amp;index=3&amp;pp=gAQBiAQB</t>
  </si>
  <si>
    <t>https://www.youtube.com/watch?v=YMTGlmx7bIg&amp;list=PLfY3kCGZRWoivOt5wzvzT829huaJnCWcz&amp;index=4&amp;pp=gAQBiAQB</t>
  </si>
  <si>
    <t>https://youtu.be/gi-m4hi9MEM?list=PLfY3kCGZRWoivOt5wzvzT829huaJnCWcz</t>
  </si>
  <si>
    <t>https://www.youtube.com/watch?v=SgkGAvUVrE0&amp;list=PLfY3kCGZRWoivOt5wzvzT829huaJnCWcz&amp;index=6&amp;pp=gAQBiAQB</t>
  </si>
  <si>
    <t>https://www.youtube.com/watch?v=dcDLnUa3Nxk&amp;list=PLfY3kCGZRWoivOt5wzvzT829huaJnCWcz&amp;index=7&amp;pp=gAQBiAQB</t>
  </si>
  <si>
    <t>https://www.youtube.com/watch?v=gC9p3aWdSMc&amp;list=PLfY3kCGZRWoivOt5wzvzT829huaJnCWcz&amp;index=8&amp;pp=gAQBiAQB0gcJCcEJAYcqIYzv</t>
  </si>
  <si>
    <t>https://youtu.be/JeWrxw3JIIw?list=PLfY3kCGZRWoivOt5wzvzT829huaJnCWcz</t>
  </si>
  <si>
    <t>https://youtu.be/abtBIm3ogkk?list=PLfY3kCGZRWoivOt5wzvzT829huaJnCWcz</t>
  </si>
  <si>
    <t>Entry Time</t>
  </si>
  <si>
    <t>Duration min</t>
  </si>
  <si>
    <t>07:0</t>
  </si>
  <si>
    <t>11:0</t>
  </si>
  <si>
    <t>13:0</t>
  </si>
  <si>
    <t>29:0</t>
  </si>
  <si>
    <t>Points</t>
  </si>
  <si>
    <t>Candle</t>
  </si>
  <si>
    <t>Key Candle Name</t>
  </si>
  <si>
    <t xml:space="preserve">Engulfing
Bullish </t>
  </si>
  <si>
    <t>Hammer</t>
  </si>
  <si>
    <t xml:space="preserve">Harami
Bear </t>
  </si>
  <si>
    <t>Engulfing
Bullish 
+ Hammer</t>
  </si>
  <si>
    <t xml:space="preserve">Engulfing
Bear </t>
  </si>
  <si>
    <t>Harami
Bull</t>
  </si>
  <si>
    <t>Key Candle Formed</t>
  </si>
  <si>
    <t>Candle High/Low Toda</t>
  </si>
  <si>
    <t>At DL</t>
  </si>
  <si>
    <t>Extended OHLC Breakout</t>
  </si>
  <si>
    <t>2 candle confirm</t>
  </si>
  <si>
    <t>2 candle confirm both index</t>
  </si>
  <si>
    <t>Extended OHLC</t>
  </si>
  <si>
    <t>Extended Dash Breakout</t>
  </si>
  <si>
    <t>Exit +</t>
  </si>
  <si>
    <t>System me Target</t>
  </si>
  <si>
    <t>Target  30 pt</t>
  </si>
  <si>
    <t>Exit &lt;=5</t>
  </si>
  <si>
    <t>Exit At break of trailing SL</t>
  </si>
  <si>
    <t>if reversed, Exit &lt;= 10 pt</t>
  </si>
  <si>
    <t>if reversed, Exit &lt;= 1000</t>
  </si>
  <si>
    <t>Discipline</t>
  </si>
  <si>
    <t>PSY</t>
  </si>
  <si>
    <t>Feeling FOMO</t>
  </si>
  <si>
    <t>Impulsive</t>
  </si>
  <si>
    <t>Within 10 min</t>
  </si>
  <si>
    <t>2 key candle confirm, trade 2</t>
  </si>
  <si>
    <t>x</t>
  </si>
  <si>
    <t>Confused</t>
  </si>
  <si>
    <t>Darr Kar Exit</t>
  </si>
  <si>
    <t>Don'ts</t>
  </si>
  <si>
    <t>Will not “try to learn” holding
beyond 30</t>
  </si>
  <si>
    <t>Will not “try buying”</t>
  </si>
  <si>
    <t>Execution</t>
  </si>
  <si>
    <t>5 se zyada window khule</t>
  </si>
  <si>
    <t>Technical  Lag</t>
  </si>
  <si>
    <t>Day</t>
  </si>
  <si>
    <t>fund</t>
  </si>
  <si>
    <t>max loss</t>
  </si>
  <si>
    <t>entry</t>
  </si>
  <si>
    <t>Combined 
Premium</t>
  </si>
  <si>
    <t>EOD
Premium</t>
  </si>
  <si>
    <t>EOD
Retuurn</t>
  </si>
  <si>
    <t>Return%</t>
  </si>
  <si>
    <t>24350 CE</t>
  </si>
  <si>
    <t>23950 PE</t>
  </si>
  <si>
    <t>25150 CE</t>
  </si>
  <si>
    <t>23200 PE</t>
  </si>
  <si>
    <t>FRI - 01</t>
  </si>
  <si>
    <t>DRAFT</t>
  </si>
  <si>
    <t>MON - 02</t>
  </si>
  <si>
    <t>TUE - 03</t>
  </si>
  <si>
    <t>WED - 04</t>
  </si>
  <si>
    <t>THU - 05</t>
  </si>
  <si>
    <t>exit at 
23950 PE</t>
  </si>
  <si>
    <t>22600 CE</t>
  </si>
  <si>
    <t>22400 PE</t>
  </si>
  <si>
    <t>23200 CE</t>
  </si>
  <si>
    <t>21800 PE</t>
  </si>
  <si>
    <t>22650 PE</t>
  </si>
  <si>
    <t>21750 PE</t>
  </si>
  <si>
    <t>WEEK 1</t>
  </si>
  <si>
    <t>25250 PE</t>
  </si>
  <si>
    <t>25650 CE</t>
  </si>
  <si>
    <t>undefined</t>
  </si>
  <si>
    <t>25200 PE</t>
  </si>
  <si>
    <t>25800 CE</t>
  </si>
  <si>
    <t>25850 CE</t>
  </si>
  <si>
    <t>WEEK 2</t>
  </si>
  <si>
    <t>24850 PE</t>
  </si>
  <si>
    <t>24600 PE</t>
  </si>
  <si>
    <t>25400 CE</t>
  </si>
  <si>
    <t>23550 PE</t>
  </si>
  <si>
    <t>26250 CE</t>
  </si>
  <si>
    <t>22950 PE</t>
  </si>
  <si>
    <t>24950 PE</t>
  </si>
  <si>
    <t>25500 CE</t>
  </si>
  <si>
    <t>27400 CE</t>
  </si>
  <si>
    <t>NO  POSITION</t>
  </si>
  <si>
    <t>WEEK 3</t>
  </si>
  <si>
    <t>25150 PE</t>
  </si>
  <si>
    <t>24400 PE</t>
  </si>
  <si>
    <t>25900 CE</t>
  </si>
  <si>
    <t>https://t.me/c/2820828095/2/100</t>
  </si>
  <si>
    <t>24900 PE</t>
  </si>
  <si>
    <t>25000 CE</t>
  </si>
  <si>
    <t>24200 PE</t>
  </si>
  <si>
    <t>25700 CE</t>
  </si>
  <si>
    <t>25100 CE</t>
  </si>
  <si>
    <t>25100 PE</t>
  </si>
  <si>
    <t>26100 CE</t>
  </si>
  <si>
    <t>REAL</t>
  </si>
  <si>
    <t>https://t.me/c/2820828095/2/75</t>
  </si>
  <si>
    <t>https://t.me/c/2820828095/3/76</t>
  </si>
  <si>
    <t>https://t.me/c/2820828095/5/77</t>
  </si>
  <si>
    <t>https://t.me/c/2820828095/2/78</t>
  </si>
  <si>
    <t>https://t.me/c/2820828095/3/79</t>
  </si>
  <si>
    <t>https://t.me/c/2888376653/200/305</t>
  </si>
  <si>
    <t>https://t.me/c/2820828095/4/87</t>
  </si>
  <si>
    <t>https://t.me/c/2820828095/2/92</t>
  </si>
  <si>
    <t>https://t.me/c/2820828095/3/91</t>
  </si>
  <si>
    <t>https://t.me/c/2888376653/32/314</t>
  </si>
  <si>
    <t>https://t.me/c/2820828095/4/95</t>
  </si>
  <si>
    <t>25050 PE</t>
  </si>
  <si>
    <t>24650 PE</t>
  </si>
  <si>
    <t>25550 CE</t>
  </si>
  <si>
    <t>24250 PE</t>
  </si>
  <si>
    <t>24800 PE
SELL</t>
  </si>
  <si>
    <t>24950 CE
SELL</t>
  </si>
  <si>
    <t>25200 CE
SELL</t>
  </si>
  <si>
    <t>25450 CE</t>
  </si>
  <si>
    <t>25750 CE</t>
  </si>
  <si>
    <t>9:18/3:14</t>
  </si>
  <si>
    <t>https://t.me/c/2820828095/2/102</t>
  </si>
  <si>
    <t>https://t.me/c/2820828095/3/101</t>
  </si>
  <si>
    <t>https://t.me/c/2888376653/13/318</t>
  </si>
  <si>
    <t>https://t.me/c/2820828095/4/109</t>
  </si>
  <si>
    <t>ENTRY</t>
  </si>
  <si>
    <t>MANUAL POSITION</t>
  </si>
  <si>
    <t>End of cycle</t>
  </si>
  <si>
    <t>WEEK 4</t>
  </si>
  <si>
    <t>TRADE</t>
  </si>
  <si>
    <t>TAX</t>
  </si>
  <si>
    <t>Note</t>
  </si>
  <si>
    <t>https://t.me/c/2888376653/24/378</t>
  </si>
  <si>
    <t>AUG 01 FRI | Live Trading | BankNifty Option Trading | Trading Challenge | Mr Ignorant</t>
  </si>
  <si>
    <t>https://t.me/c/2888376653/32/397</t>
  </si>
  <si>
    <t>AUG 04 MON | Live Trading | BankNifty Option Trading | Trading Challenge | Mr Ignorant - YouTube</t>
  </si>
  <si>
    <t>https://t.me/c/2888376653/24/418</t>
  </si>
  <si>
    <t>JULY 5 TUE |  Live Trading | BankNifty Option Trading | Trading Challenge | Mr Ignorant</t>
  </si>
  <si>
    <t>mai cahta hun log mujhe jaane!</t>
  </si>
  <si>
    <t>https://t.me/c/2888376653/24/430</t>
  </si>
  <si>
    <t>AUG 06 TUE | Live Trading | BankNifty Option Trading | Trading Challenge | Mr Ignorant</t>
  </si>
  <si>
    <t>twitter linkend in pe account</t>
  </si>
  <si>
    <t>https://t.me/c/2888376653/24/443</t>
  </si>
  <si>
    <t>JULY 07 THUR | FREE ALGO | BankNifty Option Trading | Trading Challenge | Mr Ignorant</t>
  </si>
  <si>
    <t>sabhai ko algo bheja , bhaisahab BUSSY they !!</t>
  </si>
  <si>
    <t>pure algo me se maine saare, buttons hata diye !</t>
  </si>
  <si>
    <t>Aisa dukan daar jo saman bechne ke bajaye, dukan ko saaf karne me laga</t>
  </si>
  <si>
    <t>realise ki mai fir se algo, banane me behek raha!!</t>
  </si>
  <si>
    <t>P/L amt on chart</t>
  </si>
  <si>
    <t>https://t.me/c/2888376653/484</t>
  </si>
  <si>
    <t>premium chart link</t>
  </si>
  <si>
    <t>Why this challenge</t>
  </si>
  <si>
    <t>Evidence based confidence, that i can trust my self with large sum</t>
  </si>
  <si>
    <t>confidence generating evidence</t>
  </si>
  <si>
    <t>1 Lot</t>
  </si>
  <si>
    <t>10 Lot</t>
  </si>
  <si>
    <t>previous  month REALITY</t>
  </si>
  <si>
    <t>target 🎯 July MONTH AVG &gt;=</t>
  </si>
  <si>
    <t>Input</t>
  </si>
  <si>
    <t>Trading Days</t>
  </si>
  <si>
    <t>Lot</t>
  </si>
  <si>
    <t>Capital</t>
  </si>
  <si>
    <t>Max Trade</t>
  </si>
  <si>
    <t>AVG TAX (2 Trade)</t>
  </si>
  <si>
    <t>Daily</t>
  </si>
  <si>
    <t>Net Daily</t>
  </si>
  <si>
    <t>Monthly</t>
  </si>
  <si>
    <t>Daily % Return</t>
  </si>
  <si>
    <t>Monthly % Return</t>
  </si>
  <si>
    <t>Column 28</t>
  </si>
  <si>
    <t>START
TIME</t>
  </si>
  <si>
    <t>STRIKE 2</t>
  </si>
  <si>
    <t>Column 29</t>
  </si>
  <si>
    <t>STRIKE 3</t>
  </si>
  <si>
    <t>TRADE 2</t>
  </si>
  <si>
    <t>PROFIT 2</t>
  </si>
  <si>
    <t>LOSS 2</t>
  </si>
  <si>
    <t>NET 2</t>
  </si>
  <si>
    <t>P/L 2</t>
  </si>
  <si>
    <t>TELEGRAM 2</t>
  </si>
  <si>
    <t>Column 17</t>
  </si>
  <si>
    <t xml:space="preserve">STR 1 - OPTIONS :: 55.03.12.06-GREATER RR - PLUS </t>
  </si>
  <si>
    <t>ATM</t>
  </si>
  <si>
    <t>https://t.me/c/2483065378/323/325</t>
  </si>
  <si>
    <t>https://t.me/c/2483065378/323/327</t>
  </si>
  <si>
    <t>https://t.me/c/2483065378/323/329</t>
  </si>
  <si>
    <t>https://t.me/c/2483065378/323/331</t>
  </si>
  <si>
    <t>https://t.me/c/2483065378/323/333</t>
  </si>
  <si>
    <t>https://t.me/c/2483065378/323/379</t>
  </si>
  <si>
    <t>https://t.me/c/2483065378/323/384</t>
  </si>
  <si>
    <t>https://t.me/c/2524275978/85</t>
  </si>
  <si>
    <t>https://t.me/c/2524275978/84</t>
  </si>
  <si>
    <t>https://t.me/c/2524275978/86</t>
  </si>
  <si>
    <t>https://t.me/c/2524275978/91</t>
  </si>
  <si>
    <t>https://t.me/c/2524275978/93</t>
  </si>
  <si>
    <t>https://t.me/c/2524275978/97</t>
  </si>
  <si>
    <t>https://t.me/c/2524275978/103</t>
  </si>
  <si>
    <t>https://t.me/c/2524275978/107</t>
  </si>
  <si>
    <t>STR 2 - OPTIONS :: 55_04_TRAILING SL</t>
  </si>
  <si>
    <t>https://t.me/c/2483065378/434/438?single</t>
  </si>
  <si>
    <t>https://t.me/c/2524275978/111</t>
  </si>
  <si>
    <t>https://t.me/c/2483065378/434/442</t>
  </si>
  <si>
    <t>https://t.me/c/2622203396/6/26</t>
  </si>
  <si>
    <t>https://t.me/c/2622203396/2/28</t>
  </si>
  <si>
    <t>https://t.me/c/2622203396/6/35</t>
  </si>
  <si>
    <t>https://t.me/c/2622203396/6/46</t>
  </si>
  <si>
    <t>https://t.me/c/2622203396/2/42</t>
  </si>
  <si>
    <t>https://t.me/c/2622203396/6/51</t>
  </si>
  <si>
    <t>https://t.me/c/2622203396/2/54</t>
  </si>
  <si>
    <t>https://t.me/c/2622203396/6/58</t>
  </si>
  <si>
    <t>https://t.me/c/2622203396/2/63</t>
  </si>
  <si>
    <t>https://t.me/c/2622203396/6/75</t>
  </si>
  <si>
    <t>https://t.me/c/2622203396/2/72</t>
  </si>
  <si>
    <t>https://t.me/c/2622203396/6/79</t>
  </si>
  <si>
    <t>https://t.me/c/2622203396/2/83</t>
  </si>
  <si>
    <t>https://t.me/c/2622203396/6/92</t>
  </si>
  <si>
    <t>https://t.me/c/2622203396/2/87</t>
  </si>
  <si>
    <t>https://t.me/c/2622203396/6/99</t>
  </si>
  <si>
    <t>https://t.me/c/2622203396/2/95</t>
  </si>
  <si>
    <t>https://t.me/c/2622203396/6/107</t>
  </si>
  <si>
    <t>https://t.me/c/2622203396/2/104</t>
  </si>
  <si>
    <t>https://t.me/c/2622203396/6/112</t>
  </si>
  <si>
    <t>https://t.me/c/2622203396/6/120</t>
  </si>
  <si>
    <t>https://t.me/c/2622203396/2/123</t>
  </si>
  <si>
    <t>https://t.me/c/2622203396/6/128</t>
  </si>
  <si>
    <t>https://t.me/c/2622203396/2/131</t>
  </si>
  <si>
    <t>https://t.me/c/2622203396/6/135</t>
  </si>
  <si>
    <t>https://t.me/c/2622203396/2/139</t>
  </si>
  <si>
    <t>https://t.me/c/2622203396/6/146</t>
  </si>
  <si>
    <t>https://t.me/c/2622203396/6/149</t>
  </si>
  <si>
    <t>https://t.me/c/2622203396/6/153</t>
  </si>
  <si>
    <t>https://t.me/c/2622203396/6/157</t>
  </si>
  <si>
    <t>https://t.me/c/2622203396/161</t>
  </si>
  <si>
    <t>https://t.me/c/2622203396/168</t>
  </si>
  <si>
    <t>https://t.me/c/2622203396/172</t>
  </si>
  <si>
    <t xml:space="preserve">STR 1 - GREATER RR - PLUS </t>
  </si>
  <si>
    <t>STR 2 -TRAILING SL</t>
  </si>
  <si>
    <t>GROSS</t>
  </si>
  <si>
    <t>WIN
Day</t>
  </si>
  <si>
    <t>LOSS
Day</t>
  </si>
  <si>
    <t>MAY</t>
  </si>
  <si>
    <t>JUNE</t>
  </si>
  <si>
    <t>JULY</t>
  </si>
  <si>
    <t>LifeTime</t>
  </si>
  <si>
    <t>M</t>
  </si>
  <si>
    <t>T</t>
  </si>
  <si>
    <t>W</t>
  </si>
  <si>
    <t>Th</t>
  </si>
  <si>
    <t>W.Avg</t>
  </si>
  <si>
    <t>M.Avg</t>
  </si>
  <si>
    <t>Rs</t>
  </si>
  <si>
    <t xml:space="preserve">Trade </t>
  </si>
  <si>
    <t>PT</t>
  </si>
  <si>
    <t>Return %</t>
  </si>
  <si>
    <t>G/L</t>
  </si>
  <si>
    <t>ExityType</t>
  </si>
  <si>
    <t>Confidence
@Entry</t>
  </si>
  <si>
    <t>yt Link</t>
  </si>
  <si>
    <t>TRAIL SL</t>
  </si>
  <si>
    <t>Zone Exit</t>
  </si>
  <si>
    <t>Mistake</t>
  </si>
  <si>
    <t>Panic</t>
  </si>
  <si>
    <t>lag raha tha!!</t>
  </si>
  <si>
    <t xml:space="preserve">Galat jagha entry, itna low aa gaya tha </t>
  </si>
  <si>
    <t>https://youtu.be/L9IgT-EXNzo</t>
  </si>
  <si>
    <t>mistake, text kar raha tha</t>
  </si>
  <si>
    <t>pehli baar computer band pe trade</t>
  </si>
  <si>
    <t>https://youtu.be/2Fu_sBAIdas?si=J10CqbWGTJB30d98</t>
  </si>
  <si>
    <t>continuation pe basis pe, par single lot orde kiya tha</t>
  </si>
  <si>
    <t>Manual/ATR</t>
  </si>
  <si>
    <t>single lot exit kiya, fir trail exit kiya</t>
  </si>
  <si>
    <t>lekage</t>
  </si>
  <si>
    <t>ATR</t>
  </si>
  <si>
    <t>sabhai se baat +3000 ja kar palat aaya</t>
  </si>
  <si>
    <t>bahut badi candle palti, fir wo 1 bar me 10000 wala move aaya</t>
  </si>
  <si>
    <t>turant lete hi palat gaya, dar lag raha to , single lot liya tha , 3 lot ki jagha</t>
  </si>
  <si>
    <t>1700 tak gaya tha, bahut der tak hold kiya par fir end me nikalna pada</t>
  </si>
  <si>
    <t>DAILY LIVE TRADE</t>
  </si>
  <si>
    <t>LINK</t>
  </si>
  <si>
    <t>STRATEGY</t>
  </si>
  <si>
    <t>Intraday Hunter</t>
  </si>
  <si>
    <t>https://www.youtube.com/@IntradayHunter</t>
  </si>
  <si>
    <t>BIG</t>
  </si>
  <si>
    <t>SL HUNTING</t>
  </si>
  <si>
    <t>Hunting Trader 2.0</t>
  </si>
  <si>
    <t>https://www.youtube.com/@huntingtraderbtcfx</t>
  </si>
  <si>
    <t>Operating Market</t>
  </si>
  <si>
    <t>https://www.youtube.com/@OperatingMarket</t>
  </si>
  <si>
    <t>Wise Stock Research</t>
  </si>
  <si>
    <t>https://www.youtube.com/@wisestockresearch</t>
  </si>
  <si>
    <t>MID</t>
  </si>
  <si>
    <t>DEMA</t>
  </si>
  <si>
    <t>Being Trader</t>
  </si>
  <si>
    <t>https://www.youtube.com/@BeingTraderOfficial</t>
  </si>
  <si>
    <t>REVERSAL</t>
  </si>
  <si>
    <t>Trade For Sure</t>
  </si>
  <si>
    <t>https://www.youtube.com/channel/UCwcQYgaopJNEc-_7PxGgr6A</t>
  </si>
  <si>
    <t>?</t>
  </si>
  <si>
    <t>Trading WIth Shakti</t>
  </si>
  <si>
    <t>https://www.youtube.com/@Tradingwithshakti</t>
  </si>
  <si>
    <t>TradeSkool</t>
  </si>
  <si>
    <t>https://www.youtube.com/@TradeSkoolGlobal</t>
  </si>
  <si>
    <t>The Trade Bull (Official)</t>
  </si>
  <si>
    <t>https://www.youtube.com/@TheTradeBullOfficial</t>
  </si>
  <si>
    <t>MS TRADING ANALYSIS</t>
  </si>
  <si>
    <t>https://www.youtube.com/@mstradinganalysis2877</t>
  </si>
  <si>
    <t>1 min</t>
  </si>
  <si>
    <t>The 30% Trader</t>
  </si>
  <si>
    <t>https://www.youtube.com/@The30PercentTrader/videos</t>
  </si>
  <si>
    <t>Trade With Siddhant</t>
  </si>
  <si>
    <t>Trade With Siddhant - YouTube</t>
  </si>
  <si>
    <t>AmitXTrades</t>
  </si>
  <si>
    <t>https://www.youtube.com/@AmitXTrades</t>
  </si>
  <si>
    <t>Very Small</t>
  </si>
  <si>
    <t>Shubham Manapure Trading</t>
  </si>
  <si>
    <t>https://www.youtube.com/@Shubhammanapure</t>
  </si>
  <si>
    <t>Malhar Devasthali📈</t>
  </si>
  <si>
    <t>https://www.youtube.com/@malhardevasthali</t>
  </si>
  <si>
    <r>
      <rPr>
        <rFont val="Arial"/>
        <color rgb="FF1155CC"/>
        <u/>
      </rPr>
      <t>TR Johnny</t>
    </r>
  </si>
  <si>
    <t>https://www.youtube.com/watch?v=WPfRwIh-yag</t>
  </si>
  <si>
    <t>Trade Wahid</t>
  </si>
  <si>
    <t>https://www.youtube.com/@TradeWahid</t>
  </si>
  <si>
    <t>The Zen Trader</t>
  </si>
  <si>
    <t>https://www.youtube.com/@ZenTraderXBT</t>
  </si>
  <si>
    <t>BAATENN</t>
  </si>
  <si>
    <t>Mind in the Market</t>
  </si>
  <si>
    <t>https://www.youtube.com/@mindinthemarket</t>
  </si>
  <si>
    <t>Trade Smarter</t>
  </si>
  <si>
    <t>https://www.youtube.com/@tradesmarter-j9t</t>
  </si>
  <si>
    <t>Taming Nifty</t>
  </si>
  <si>
    <t>https://www.youtube.com/@TamingNifty</t>
  </si>
  <si>
    <t>ALGO</t>
  </si>
  <si>
    <t>Mindset of Trader</t>
  </si>
  <si>
    <t>https://www.youtube.com/@mindsetoftrader</t>
  </si>
  <si>
    <t>MarketAlgoBot</t>
  </si>
  <si>
    <t>https://www.youtube.com/@MarketAlgoBot</t>
  </si>
  <si>
    <t>Data For Traders</t>
  </si>
  <si>
    <t>https://www.youtube.com/@datafortraders</t>
  </si>
  <si>
    <t>Technical Analysis in Hindi</t>
  </si>
  <si>
    <t>https://www.youtube.com/@TechnicalAnalysisinHindi</t>
  </si>
  <si>
    <t>TradeHull</t>
  </si>
  <si>
    <t>https://www.youtube.com/@TradeHull</t>
  </si>
  <si>
    <t>Algorithm Trading</t>
  </si>
  <si>
    <t>https://www.youtube.com/@AlgorithmTradingIn</t>
  </si>
  <si>
    <t>TradingLab</t>
  </si>
  <si>
    <t>https://www.youtube.com/@TradingLabOfficial</t>
  </si>
  <si>
    <t>ALGODER</t>
  </si>
  <si>
    <t>https://www.youtube.com/@Algoderr</t>
  </si>
  <si>
    <t>Algo Trader</t>
  </si>
  <si>
    <t>https://www.youtube.com/@iRavinderBrar</t>
  </si>
  <si>
    <t>tastytrade</t>
  </si>
  <si>
    <t>https://www.youtube.com/@tastytrade_</t>
  </si>
  <si>
    <t>LEARNING</t>
  </si>
  <si>
    <t>Nitin R</t>
  </si>
  <si>
    <t>https://www.youtube.com/@ListenToNitin</t>
  </si>
  <si>
    <t>C</t>
  </si>
  <si>
    <t>no video</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</si>
</sst>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ddd&quot; &quot;dd&quot; - &quot;mmm"/>
    <numFmt numFmtId="165" formatCode="mm&quot;:&quot;ss"/>
    <numFmt numFmtId="166" formatCode="dd/mm/yyyy"/>
    <numFmt numFmtId="167" formatCode="hh:mm:ss"/>
    <numFmt numFmtId="168" formatCode="hh&quot;:&quot;mm"/>
    <numFmt numFmtId="169" formatCode="mmm&quot; &quot;dd&quot; &quot;ddd"/>
    <numFmt numFmtId="170" formatCode="yyyy-mm-dd"/>
    <numFmt numFmtId="171" formatCode="mmm dd ddd"/>
    <numFmt numFmtId="172" formatCode="mmm d ddd"/>
    <numFmt numFmtId="173" formatCode="d mmmm"/>
    <numFmt numFmtId="174" formatCode="[$£-809]#,##0.00"/>
    <numFmt numFmtId="175" formatCode="mmm&quot; - &quot;dd&quot; - &quot;ddd"/>
    <numFmt numFmtId="176" formatCode="&quot; &quot;hh&quot;:&quot;mm"/>
    <numFmt numFmtId="177" formatCode="hh:mm"/>
    <numFmt numFmtId="178" formatCode="mm&quot;:&quot;s"/>
    <numFmt numFmtId="179" formatCode="0.0"/>
    <numFmt numFmtId="180" formatCode="0.0%"/>
  </numFmts>
  <fonts count="151">
    <font>
      <sz val="10.0"/>
      <color rgb="FF000000"/>
      <name val="Arial"/>
      <scheme val="minor"/>
    </font>
    <font>
      <color theme="1"/>
      <name val="Arial"/>
      <scheme val="minor"/>
    </font>
    <font>
      <b/>
      <sz val="14.0"/>
      <color theme="1"/>
      <name val="Arial"/>
      <scheme val="minor"/>
    </font>
    <font>
      <color theme="1"/>
      <name val="Arial"/>
    </font>
    <font>
      <b/>
      <sz val="14.0"/>
      <color rgb="FFCCCCCC"/>
      <name val="Arial"/>
      <scheme val="minor"/>
    </font>
    <font>
      <b/>
      <sz val="16.0"/>
      <color theme="1"/>
      <name val="Arial"/>
      <scheme val="minor"/>
    </font>
    <font>
      <b/>
      <sz val="13.0"/>
      <color theme="1"/>
      <name val="Arial"/>
    </font>
    <font/>
    <font>
      <sz val="14.0"/>
      <color rgb="FFCCCCCC"/>
      <name val="Arial"/>
      <scheme val="minor"/>
    </font>
    <font>
      <sz val="10.0"/>
      <color theme="1"/>
      <name val="Arial"/>
      <scheme val="minor"/>
    </font>
    <font>
      <sz val="10.0"/>
      <color theme="1"/>
      <name val="Arial"/>
    </font>
    <font>
      <sz val="14.0"/>
      <color rgb="FF000000"/>
      <name val="Arial"/>
      <scheme val="minor"/>
    </font>
    <font>
      <sz val="11.0"/>
      <color rgb="FFCCCCCC"/>
      <name val="Arial"/>
      <scheme val="minor"/>
    </font>
    <font>
      <sz val="10.0"/>
      <color rgb="FFCCCCCC"/>
      <name val="Arial"/>
      <scheme val="minor"/>
    </font>
    <font>
      <color rgb="FFFFFFFF"/>
      <name val="Arial"/>
      <scheme val="minor"/>
    </font>
    <font>
      <b/>
      <color rgb="FFE06666"/>
      <name val="Arial"/>
      <scheme val="minor"/>
    </font>
    <font>
      <b/>
      <color rgb="FF6AA84F"/>
      <name val="Arial"/>
      <scheme val="minor"/>
    </font>
    <font>
      <u/>
      <color theme="1"/>
      <name val="Arial"/>
    </font>
    <font>
      <u/>
      <color rgb="FF0000FF"/>
      <name val="Arial"/>
    </font>
    <font>
      <u/>
      <sz val="12.0"/>
      <color rgb="FF000000"/>
      <name val="&quot;Times New Roman&quot;"/>
    </font>
    <font>
      <b/>
      <color theme="1"/>
      <name val="Arial"/>
      <scheme val="minor"/>
    </font>
    <font>
      <u/>
      <color rgb="FF0000FF"/>
      <name val="Arial"/>
    </font>
    <font>
      <color rgb="FF000000"/>
      <name val="Arial"/>
    </font>
    <font>
      <u/>
      <color rgb="FF0000FF"/>
    </font>
    <font>
      <b/>
      <color rgb="FFCC0000"/>
      <name val="Arial"/>
      <scheme val="minor"/>
    </font>
    <font>
      <b/>
      <sz val="8.0"/>
      <color rgb="FFFFFFFF"/>
      <name val="Arial"/>
    </font>
    <font>
      <b/>
      <color rgb="FFFFFFFF"/>
      <name val="Arial"/>
    </font>
    <font>
      <sz val="11.0"/>
      <color rgb="FF666666"/>
      <name val="Arial"/>
    </font>
    <font>
      <sz val="11.0"/>
      <color rgb="FF666666"/>
      <name val="CircularXXWeb-Regular"/>
    </font>
    <font>
      <sz val="10.0"/>
      <color rgb="FFFFFFFF"/>
      <name val="Arial"/>
      <scheme val="minor"/>
    </font>
    <font>
      <b/>
      <sz val="10.0"/>
      <color rgb="FFFFFFFF"/>
      <name val="Arial"/>
      <scheme val="minor"/>
    </font>
    <font>
      <sz val="8.0"/>
      <color rgb="FF000000"/>
      <name val="Arial"/>
      <scheme val="minor"/>
    </font>
    <font>
      <sz val="13.0"/>
      <color rgb="FF000000"/>
      <name val="Arial"/>
      <scheme val="minor"/>
    </font>
    <font>
      <sz val="7.0"/>
      <color rgb="FF000000"/>
      <name val="Arial"/>
      <scheme val="minor"/>
    </font>
    <font>
      <color rgb="FF0F0F0F"/>
      <name val="Menlo"/>
    </font>
    <font>
      <sz val="13.0"/>
      <color rgb="FF0F0F0F"/>
      <name val="Menlo"/>
    </font>
    <font>
      <color rgb="FF000000"/>
      <name val="Menlo"/>
    </font>
    <font>
      <sz val="13.0"/>
      <color rgb="FF000000"/>
      <name val="Menlo"/>
    </font>
    <font>
      <color rgb="FF9C9C9C"/>
      <name val="Menlo"/>
    </font>
    <font>
      <sz val="13.0"/>
      <color rgb="FF9C9C9C"/>
      <name val="Menlo"/>
    </font>
    <font>
      <color rgb="FF9C9C9C"/>
      <name val="Arial"/>
    </font>
    <font>
      <color rgb="FF2E2E2E"/>
      <name val="Menlo"/>
    </font>
    <font>
      <sz val="7.0"/>
      <color rgb="FF000000"/>
      <name val="Menlo"/>
    </font>
    <font>
      <color rgb="FFF57F17"/>
      <name val="Menlo"/>
    </font>
    <font>
      <sz val="7.0"/>
      <color theme="1"/>
      <name val="Arial"/>
      <scheme val="minor"/>
    </font>
    <font>
      <sz val="7.0"/>
      <color theme="1"/>
      <name val="Menlo"/>
    </font>
    <font>
      <sz val="7.0"/>
      <color rgb="FFF57F17"/>
      <name val="Menlo"/>
    </font>
    <font>
      <color rgb="FF388E3C"/>
      <name val="Menlo"/>
    </font>
    <font>
      <color rgb="FF388E3C"/>
      <name val="Arial"/>
    </font>
    <font>
      <color rgb="FFFFFFFF"/>
      <name val="Arial"/>
    </font>
    <font>
      <sz val="11.0"/>
      <color rgb="FFFFFFFF"/>
      <name val="Courier New"/>
    </font>
    <font>
      <b/>
      <sz val="10.0"/>
      <color rgb="FFFFFFFF"/>
      <name val="Courier New"/>
    </font>
    <font>
      <sz val="11.0"/>
      <color rgb="FF000000"/>
      <name val="Courier New"/>
    </font>
    <font>
      <b/>
      <sz val="10.0"/>
      <color rgb="FF000000"/>
      <name val="Courier New"/>
    </font>
    <font>
      <sz val="10.0"/>
      <color rgb="FF000000"/>
      <name val="Courier New"/>
    </font>
    <font>
      <b/>
      <sz val="10.0"/>
      <color rgb="FF2E2E2E"/>
      <name val="Courier New"/>
    </font>
    <font>
      <sz val="10.0"/>
      <color rgb="FF2E2E2E"/>
      <name val="Courier New"/>
    </font>
    <font>
      <strike/>
      <sz val="10.0"/>
      <color rgb="FF000000"/>
      <name val="Courier New"/>
    </font>
    <font>
      <b/>
      <strike/>
      <sz val="10.0"/>
      <color rgb="FF2E2E2E"/>
      <name val="Courier New"/>
    </font>
    <font>
      <strike/>
      <sz val="11.0"/>
      <color rgb="FF000000"/>
      <name val="Courier New"/>
    </font>
    <font>
      <strike/>
      <sz val="10.0"/>
      <color rgb="FF2E2E2E"/>
      <name val="Courier New"/>
    </font>
    <font>
      <b/>
      <strike/>
      <sz val="10.0"/>
      <color rgb="FF000000"/>
      <name val="Courier New"/>
    </font>
    <font>
      <sz val="11.0"/>
      <color rgb="FF2E2E2E"/>
      <name val="Courier New"/>
    </font>
    <font>
      <b/>
      <sz val="10.0"/>
      <color rgb="FF9C9C9C"/>
      <name val="Courier New"/>
    </font>
    <font>
      <b/>
      <strike/>
      <sz val="10.0"/>
      <color rgb="FF22AB94"/>
      <name val="Courier New"/>
    </font>
    <font>
      <b/>
      <color theme="1"/>
      <name val="Courier New"/>
    </font>
    <font>
      <b/>
      <sz val="11.0"/>
      <color theme="1"/>
      <name val="Courier New"/>
    </font>
    <font>
      <color theme="1"/>
      <name val="Courier New"/>
    </font>
    <font>
      <sz val="11.0"/>
      <color theme="1"/>
      <name val="Courier New"/>
    </font>
    <font>
      <sz val="11.0"/>
      <color theme="1"/>
      <name val="Verdana"/>
    </font>
    <font>
      <sz val="11.0"/>
      <color rgb="FF817E7E"/>
      <name val="CircularXXWeb-Regular"/>
    </font>
    <font>
      <sz val="11.0"/>
      <color theme="1"/>
      <name val="Arial"/>
      <scheme val="minor"/>
    </font>
    <font>
      <b/>
      <sz val="11.0"/>
      <color theme="1"/>
      <name val="Arial"/>
      <scheme val="minor"/>
    </font>
    <font>
      <b/>
      <sz val="10.0"/>
      <color theme="1"/>
      <name val="Arial"/>
      <scheme val="minor"/>
    </font>
    <font>
      <b/>
      <sz val="11.0"/>
      <color rgb="FFFFFFFF"/>
      <name val="Roboto"/>
    </font>
    <font>
      <b/>
      <sz val="11.0"/>
      <color rgb="FF000000"/>
      <name val="Arial"/>
      <scheme val="minor"/>
    </font>
    <font>
      <u/>
      <sz val="11.0"/>
      <color rgb="FF0000FF"/>
    </font>
    <font>
      <u/>
      <color rgb="FF1155CC"/>
      <name val="Arial"/>
    </font>
    <font>
      <u/>
      <color rgb="FF0000FF"/>
      <name val="Roboto"/>
    </font>
    <font>
      <sz val="11.0"/>
      <color rgb="FF4F4F4F"/>
      <name val="CircularXXWeb-Regular"/>
    </font>
    <font>
      <sz val="11.0"/>
      <color rgb="FF434343"/>
      <name val="Roboto"/>
    </font>
    <font>
      <sz val="11.0"/>
      <color rgb="FFD9D9D9"/>
      <name val="Arial"/>
      <scheme val="minor"/>
    </font>
    <font>
      <sz val="11.0"/>
      <color rgb="FF4F4F4F"/>
      <name val="Arial"/>
    </font>
    <font>
      <u/>
      <color rgb="FF0000FF"/>
      <name val="Roboto"/>
    </font>
    <font>
      <sz val="11.0"/>
      <color theme="1"/>
      <name val="&quot;Open Sans&quot;"/>
    </font>
    <font>
      <u/>
      <color rgb="FF0000FF"/>
      <name val="Roboto"/>
    </font>
    <font>
      <color rgb="FFCCCCCC"/>
      <name val="Arial"/>
      <scheme val="minor"/>
    </font>
    <font>
      <u/>
      <color rgb="FF0000FF"/>
      <name val="Roboto"/>
    </font>
    <font>
      <sz val="9.0"/>
      <color theme="1"/>
      <name val="Arial"/>
      <scheme val="minor"/>
    </font>
    <font>
      <b/>
      <sz val="10.0"/>
      <color theme="1"/>
      <name val="Arial"/>
    </font>
    <font>
      <b/>
      <sz val="10.0"/>
      <color rgb="FFFFFFFF"/>
      <name val="Arial"/>
    </font>
    <font>
      <b/>
      <sz val="12.0"/>
      <color rgb="FFFFFFFF"/>
      <name val="Roboto"/>
    </font>
    <font>
      <sz val="10.0"/>
      <color rgb="FF434343"/>
      <name val="Arial"/>
    </font>
    <font>
      <sz val="11.0"/>
      <color rgb="FF817E7E"/>
      <name val="Arial"/>
      <scheme val="minor"/>
    </font>
    <font>
      <sz val="12.0"/>
      <color rgb="FF434343"/>
      <name val="Arial"/>
      <scheme val="minor"/>
    </font>
    <font>
      <u/>
      <color rgb="FF0000FF"/>
      <name val="Roboto"/>
    </font>
    <font>
      <u/>
      <sz val="10.0"/>
      <color rgb="FF0000FF"/>
      <name val="Arial"/>
    </font>
    <font>
      <b/>
      <sz val="12.0"/>
      <color theme="1"/>
      <name val="Arial"/>
      <scheme val="minor"/>
    </font>
    <font>
      <u/>
      <color rgb="FF0000FF"/>
      <name val="Arial"/>
    </font>
    <font>
      <b/>
      <color rgb="FFFFFFFF"/>
      <name val="Arial"/>
      <scheme val="minor"/>
    </font>
    <font>
      <u/>
      <sz val="10.0"/>
      <color rgb="FF0000FF"/>
    </font>
    <font>
      <u/>
      <sz val="10.0"/>
      <color rgb="FF0000FF"/>
    </font>
    <font>
      <u/>
      <sz val="10.0"/>
      <color rgb="FF0000FF"/>
    </font>
    <font>
      <sz val="12.0"/>
      <color theme="1"/>
      <name val="Arial"/>
      <scheme val="minor"/>
    </font>
    <font>
      <u/>
      <color rgb="FF0000FF"/>
      <name val="Roboto"/>
    </font>
    <font>
      <u/>
      <color rgb="FF0000FF"/>
      <name val="Roboto"/>
    </font>
    <font>
      <u/>
      <color rgb="FF0000FF"/>
      <name val="Roboto"/>
    </font>
    <font>
      <sz val="13.0"/>
      <color theme="1"/>
      <name val="Arial"/>
      <scheme val="minor"/>
    </font>
    <font>
      <sz val="8.0"/>
      <color theme="1"/>
      <name val="Arial"/>
      <scheme val="minor"/>
    </font>
    <font>
      <b/>
      <sz val="13.0"/>
      <color theme="1"/>
      <name val="Arial"/>
      <scheme val="minor"/>
    </font>
    <font>
      <b/>
      <sz val="13.0"/>
      <color rgb="FFFFFFFF"/>
      <name val="Arial"/>
      <scheme val="minor"/>
    </font>
    <font>
      <b/>
      <sz val="13.0"/>
      <color rgb="FF000000"/>
      <name val="Arial"/>
      <scheme val="minor"/>
    </font>
    <font>
      <sz val="8.0"/>
      <color rgb="FF666666"/>
      <name val="Arial"/>
      <scheme val="minor"/>
    </font>
    <font>
      <u/>
      <sz val="8.0"/>
      <color rgb="FF0000FF"/>
      <name val="Roboto"/>
    </font>
    <font>
      <u/>
      <sz val="8.0"/>
      <color rgb="FF0000FF"/>
      <name val="Roboto"/>
    </font>
    <font>
      <u/>
      <sz val="8.0"/>
      <color rgb="FF0000FF"/>
      <name val="Roboto"/>
    </font>
    <font>
      <u/>
      <color rgb="FF0000FF"/>
      <name val="Roboto"/>
    </font>
    <font>
      <u/>
      <color rgb="FF0000FF"/>
      <name val="Roboto"/>
    </font>
    <font>
      <color rgb="FF666666"/>
      <name val="Arial"/>
      <scheme val="minor"/>
    </font>
    <font>
      <u/>
      <sz val="13.0"/>
      <color rgb="FF0000FF"/>
      <name val="Roboto"/>
    </font>
    <font>
      <b/>
      <u/>
      <sz val="13.0"/>
      <color rgb="FF0000FF"/>
      <name val="Roboto"/>
    </font>
    <font>
      <sz val="14.0"/>
      <color theme="1"/>
      <name val="Arial"/>
      <scheme val="minor"/>
    </font>
    <font>
      <sz val="11.0"/>
      <color rgb="FF000000"/>
      <name val="Arial"/>
      <scheme val="minor"/>
    </font>
    <font>
      <u/>
      <color rgb="FF0000FF"/>
    </font>
    <font>
      <u/>
      <color rgb="FF0000FF"/>
    </font>
    <font>
      <u/>
      <color rgb="FF0000FF"/>
    </font>
    <font>
      <color rgb="FF000000"/>
      <name val="Arial"/>
      <scheme val="minor"/>
    </font>
    <font>
      <u/>
      <color rgb="FF0000FF"/>
    </font>
    <font>
      <u/>
      <color rgb="FF0000FF"/>
    </font>
    <font>
      <u/>
      <color rgb="FF0000FF"/>
    </font>
    <font>
      <u/>
      <color rgb="FF0000FF"/>
    </font>
    <font>
      <u/>
      <color rgb="FF0000FF"/>
    </font>
    <font>
      <u/>
      <color rgb="FF0000FF"/>
    </font>
    <font>
      <sz val="11.0"/>
      <color rgb="FFFFFFFF"/>
      <name val="Arial"/>
      <scheme val="minor"/>
    </font>
    <font>
      <u/>
      <color theme="1"/>
      <name val="Arial"/>
      <scheme val="minor"/>
    </font>
    <font>
      <u/>
      <color rgb="FF0000FF"/>
    </font>
    <font>
      <u/>
      <color theme="1"/>
      <name val="Arial"/>
      <scheme val="minor"/>
    </font>
    <font>
      <sz val="11.0"/>
      <color rgb="FF000000"/>
      <name val="Arial"/>
    </font>
    <font>
      <b/>
      <sz val="11.0"/>
      <color rgb="FF000000"/>
      <name val="Arial"/>
    </font>
    <font>
      <b/>
      <sz val="16.0"/>
      <color rgb="FFFFFFFF"/>
      <name val="Arial"/>
    </font>
    <font>
      <b/>
      <sz val="16.0"/>
      <color rgb="FF000000"/>
      <name val="Arial"/>
    </font>
    <font>
      <b/>
      <sz val="16.0"/>
      <color rgb="FFB7B7B7"/>
      <name val="Arial"/>
    </font>
    <font>
      <b/>
      <sz val="14.0"/>
      <color theme="1"/>
      <name val="Arial"/>
    </font>
    <font>
      <b/>
      <sz val="12.0"/>
      <color theme="1"/>
      <name val="Arial"/>
    </font>
    <font>
      <u/>
      <color rgb="FF0000FF"/>
      <name val="Roboto"/>
    </font>
    <font>
      <u/>
      <color rgb="FF434343"/>
      <name val="Roboto"/>
    </font>
    <font>
      <sz val="10.0"/>
      <color rgb="FF000000"/>
      <name val="Arial"/>
    </font>
    <font>
      <b/>
      <sz val="10.0"/>
      <color rgb="FF000000"/>
      <name val="Arial"/>
    </font>
    <font>
      <u/>
      <color rgb="FF0000FF"/>
    </font>
    <font>
      <u/>
      <color rgb="FF0000FF"/>
    </font>
    <font>
      <b/>
      <sz val="27.0"/>
      <color rgb="FF0F0F0F"/>
      <name val="Roboto"/>
    </font>
  </fonts>
  <fills count="47">
    <fill>
      <patternFill patternType="none"/>
    </fill>
    <fill>
      <patternFill patternType="lightGray"/>
    </fill>
    <fill>
      <patternFill patternType="solid">
        <fgColor rgb="FFA2C4C9"/>
        <bgColor rgb="FFA2C4C9"/>
      </patternFill>
    </fill>
    <fill>
      <patternFill patternType="solid">
        <fgColor rgb="FFB4A7D6"/>
        <bgColor rgb="FFB4A7D6"/>
      </patternFill>
    </fill>
    <fill>
      <patternFill patternType="solid">
        <fgColor rgb="FFD9EAD3"/>
        <bgColor rgb="FFD9EAD3"/>
      </patternFill>
    </fill>
    <fill>
      <patternFill patternType="solid">
        <fgColor rgb="FFA4C2F4"/>
        <bgColor rgb="FFA4C2F4"/>
      </patternFill>
    </fill>
    <fill>
      <patternFill patternType="solid">
        <fgColor rgb="FF3C78D8"/>
        <bgColor rgb="FF3C78D8"/>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4A86E8"/>
        <bgColor rgb="FF4A86E8"/>
      </patternFill>
    </fill>
    <fill>
      <patternFill patternType="solid">
        <fgColor rgb="FFC27BA0"/>
        <bgColor rgb="FFC27BA0"/>
      </patternFill>
    </fill>
    <fill>
      <patternFill patternType="solid">
        <fgColor rgb="FFFFFFFF"/>
        <bgColor rgb="FFFFFFFF"/>
      </patternFill>
    </fill>
    <fill>
      <patternFill patternType="solid">
        <fgColor rgb="FFF4CCCC"/>
        <bgColor rgb="FFF4CCCC"/>
      </patternFill>
    </fill>
    <fill>
      <patternFill patternType="solid">
        <fgColor rgb="FFB7E1CD"/>
        <bgColor rgb="FFB7E1CD"/>
      </patternFill>
    </fill>
    <fill>
      <patternFill patternType="solid">
        <fgColor rgb="FF999999"/>
        <bgColor rgb="FF999999"/>
      </patternFill>
    </fill>
    <fill>
      <patternFill patternType="solid">
        <fgColor rgb="FFFFF2CC"/>
        <bgColor rgb="FFFFF2CC"/>
      </patternFill>
    </fill>
    <fill>
      <patternFill patternType="solid">
        <fgColor rgb="FFCFE2F3"/>
        <bgColor rgb="FFCFE2F3"/>
      </patternFill>
    </fill>
    <fill>
      <patternFill patternType="solid">
        <fgColor rgb="FFF1C232"/>
        <bgColor rgb="FFF1C232"/>
      </patternFill>
    </fill>
    <fill>
      <patternFill patternType="solid">
        <fgColor rgb="FF356854"/>
        <bgColor rgb="FF356854"/>
      </patternFill>
    </fill>
    <fill>
      <patternFill patternType="solid">
        <fgColor rgb="FFF6B26B"/>
        <bgColor rgb="FFF6B26B"/>
      </patternFill>
    </fill>
    <fill>
      <patternFill patternType="solid">
        <fgColor rgb="FFFFFBF8"/>
        <bgColor rgb="FFFFFBF8"/>
      </patternFill>
    </fill>
    <fill>
      <patternFill patternType="solid">
        <fgColor rgb="FFF6F8F9"/>
        <bgColor rgb="FFF6F8F9"/>
      </patternFill>
    </fill>
    <fill>
      <patternFill patternType="solid">
        <fgColor rgb="FFF9CB9C"/>
        <bgColor rgb="FFF9CB9C"/>
      </patternFill>
    </fill>
    <fill>
      <patternFill patternType="solid">
        <fgColor rgb="FF6D9EEB"/>
        <bgColor rgb="FF6D9EEB"/>
      </patternFill>
    </fill>
    <fill>
      <patternFill patternType="solid">
        <fgColor rgb="FFEA9999"/>
        <bgColor rgb="FFEA9999"/>
      </patternFill>
    </fill>
    <fill>
      <patternFill patternType="solid">
        <fgColor rgb="FFE06666"/>
        <bgColor rgb="FFE06666"/>
      </patternFill>
    </fill>
    <fill>
      <patternFill patternType="solid">
        <fgColor rgb="FFB6D7A8"/>
        <bgColor rgb="FFB6D7A8"/>
      </patternFill>
    </fill>
    <fill>
      <patternFill patternType="solid">
        <fgColor rgb="FF93C47D"/>
        <bgColor rgb="FF93C47D"/>
      </patternFill>
    </fill>
    <fill>
      <patternFill patternType="solid">
        <fgColor rgb="FF666666"/>
        <bgColor rgb="FF666666"/>
      </patternFill>
    </fill>
    <fill>
      <patternFill patternType="solid">
        <fgColor rgb="FFD0E0E3"/>
        <bgColor rgb="FFD0E0E3"/>
      </patternFill>
    </fill>
    <fill>
      <patternFill patternType="solid">
        <fgColor rgb="FF6AA84F"/>
        <bgColor rgb="FF6AA84F"/>
      </patternFill>
    </fill>
    <fill>
      <patternFill patternType="solid">
        <fgColor rgb="FF38761D"/>
        <bgColor rgb="FF38761D"/>
      </patternFill>
    </fill>
    <fill>
      <patternFill patternType="solid">
        <fgColor rgb="FF274E13"/>
        <bgColor rgb="FF274E13"/>
      </patternFill>
    </fill>
    <fill>
      <patternFill patternType="solid">
        <fgColor rgb="FFEAD1DC"/>
        <bgColor rgb="FFEAD1DC"/>
      </patternFill>
    </fill>
    <fill>
      <patternFill patternType="solid">
        <fgColor rgb="FFFFFF00"/>
        <bgColor rgb="FFFFFF00"/>
      </patternFill>
    </fill>
    <fill>
      <patternFill patternType="solid">
        <fgColor rgb="FF434343"/>
        <bgColor rgb="FF434343"/>
      </patternFill>
    </fill>
    <fill>
      <patternFill patternType="solid">
        <fgColor rgb="FFCC0000"/>
        <bgColor rgb="FFCC0000"/>
      </patternFill>
    </fill>
    <fill>
      <patternFill patternType="solid">
        <fgColor rgb="FFD9D9D9"/>
        <bgColor rgb="FFD9D9D9"/>
      </patternFill>
    </fill>
    <fill>
      <patternFill patternType="solid">
        <fgColor rgb="FF8E7CC3"/>
        <bgColor rgb="FF8E7CC3"/>
      </patternFill>
    </fill>
    <fill>
      <patternFill patternType="solid">
        <fgColor rgb="FF6FA8DC"/>
        <bgColor rgb="FF6FA8DC"/>
      </patternFill>
    </fill>
    <fill>
      <patternFill patternType="solid">
        <fgColor rgb="FFFFD966"/>
        <bgColor rgb="FFFFD966"/>
      </patternFill>
    </fill>
    <fill>
      <patternFill patternType="solid">
        <fgColor rgb="FF674EA7"/>
        <bgColor rgb="FF674EA7"/>
      </patternFill>
    </fill>
    <fill>
      <patternFill patternType="solid">
        <fgColor rgb="FFD9D2E9"/>
        <bgColor rgb="FFD9D2E9"/>
      </patternFill>
    </fill>
    <fill>
      <patternFill patternType="solid">
        <fgColor rgb="FFC9DAF8"/>
        <bgColor rgb="FFC9DAF8"/>
      </patternFill>
    </fill>
    <fill>
      <patternFill patternType="solid">
        <fgColor rgb="FF45818E"/>
        <bgColor rgb="FF45818E"/>
      </patternFill>
    </fill>
    <fill>
      <patternFill patternType="solid">
        <fgColor rgb="FF1155CC"/>
        <bgColor rgb="FF1155CC"/>
      </patternFill>
    </fill>
  </fills>
  <borders count="36">
    <border/>
    <border>
      <right style="dotted">
        <color rgb="FFB7B7B7"/>
      </right>
    </border>
    <border>
      <bottom style="dotted">
        <color rgb="FFB7B7B7"/>
      </bottom>
    </border>
    <border>
      <right style="dotted">
        <color rgb="FFB7B7B7"/>
      </right>
      <bottom style="dotted">
        <color rgb="FFB7B7B7"/>
      </bottom>
    </border>
    <border>
      <left style="dotted">
        <color rgb="FFB7B7B7"/>
      </left>
      <top style="dotted">
        <color rgb="FFB7B7B7"/>
      </top>
      <bottom style="dotted">
        <color rgb="FFB7B7B7"/>
      </bottom>
    </border>
    <border>
      <right style="dotted">
        <color rgb="FFB7B7B7"/>
      </right>
      <top style="dotted">
        <color rgb="FFB7B7B7"/>
      </top>
      <bottom style="dotted">
        <color rgb="FFB7B7B7"/>
      </bottom>
    </border>
    <border>
      <left style="dotted">
        <color rgb="FFB7B7B7"/>
      </left>
      <right style="dotted">
        <color rgb="FFB7B7B7"/>
      </right>
      <top style="dotted">
        <color rgb="FFB7B7B7"/>
      </top>
      <bottom style="dotted">
        <color rgb="FFB7B7B7"/>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rder>
    <border>
      <left style="thin">
        <color rgb="FFEFEFEF"/>
      </left>
      <right style="thin">
        <color rgb="FFEFEFEF"/>
      </right>
      <top style="thin">
        <color rgb="FFEFEFEF"/>
      </top>
      <bottom style="thin">
        <color rgb="FFEFEFEF"/>
      </bottom>
    </border>
    <border>
      <left style="thin">
        <color rgb="FF284E3F"/>
      </left>
      <right style="thin">
        <color rgb="FF284E3F"/>
      </right>
      <top style="thin">
        <color rgb="FF284E3F"/>
      </top>
      <bottom style="thin">
        <color rgb="FF284E3F"/>
      </bottom>
    </border>
    <border>
      <right style="thin">
        <color rgb="FFD9D9D9"/>
      </right>
    </border>
    <border>
      <top style="thin">
        <color rgb="FFD9D9D9"/>
      </top>
    </border>
    <border>
      <bottom style="thick">
        <color rgb="FFCCCCCC"/>
      </bottom>
    </border>
    <border>
      <right style="thin">
        <color rgb="FF000000"/>
      </right>
    </border>
    <border>
      <left style="thin">
        <color rgb="FFD9D9D9"/>
      </left>
      <right style="thin">
        <color rgb="FFD9D9D9"/>
      </right>
      <top style="thin">
        <color rgb="FFD9D9D9"/>
      </top>
      <bottom style="thin">
        <color rgb="FFD9D9D9"/>
      </bottom>
    </border>
    <border>
      <bottom style="thin">
        <color rgb="FF000000"/>
      </bottom>
    </border>
    <border>
      <left style="thin">
        <color rgb="FFD9D9D9"/>
      </left>
      <right style="thin">
        <color rgb="FFD9D9D9"/>
      </right>
      <top style="thin">
        <color rgb="FFD9D9D9"/>
      </top>
      <bottom style="thin">
        <color rgb="FF000000"/>
      </bottom>
    </border>
    <border>
      <left style="thin">
        <color rgb="FFD9D9D9"/>
      </left>
      <right style="thin">
        <color rgb="FFD9D9D9"/>
      </right>
      <bottom style="thin">
        <color rgb="FFD9D9D9"/>
      </bottom>
    </border>
    <border>
      <left style="thin">
        <color rgb="FFD9D9D9"/>
      </left>
      <right style="thin">
        <color rgb="FFD9D9D9"/>
      </right>
      <top style="thin">
        <color rgb="FFD9D9D9"/>
      </top>
    </border>
    <border>
      <left style="thin">
        <color rgb="FFD9D9D9"/>
      </left>
      <right style="thin">
        <color rgb="FFD9D9D9"/>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medium">
        <color rgb="FF000000"/>
      </right>
    </border>
    <border>
      <left style="thin">
        <color rgb="FF000000"/>
      </left>
      <right style="medium">
        <color rgb="FF000000"/>
      </right>
      <top style="thin">
        <color rgb="FF000000"/>
      </top>
      <bottom style="thin">
        <color rgb="FF000000"/>
      </bottom>
    </border>
    <border>
      <right style="medium">
        <color rgb="FF000000"/>
      </right>
      <bottom style="thin">
        <color rgb="FF000000"/>
      </bottom>
    </border>
  </borders>
  <cellStyleXfs count="1">
    <xf borderId="0" fillId="0" fontId="0" numFmtId="0" applyAlignment="1" applyFont="1"/>
  </cellStyleXfs>
  <cellXfs count="946">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readingOrder="0"/>
    </xf>
    <xf borderId="1" fillId="0" fontId="1" numFmtId="0" xfId="0" applyBorder="1" applyFont="1"/>
    <xf borderId="2" fillId="0" fontId="1" numFmtId="0" xfId="0" applyBorder="1" applyFont="1"/>
    <xf borderId="3" fillId="0" fontId="1" numFmtId="0" xfId="0" applyBorder="1" applyFont="1"/>
    <xf borderId="2" fillId="0" fontId="1" numFmtId="0" xfId="0" applyAlignment="1" applyBorder="1" applyFont="1">
      <alignment horizontal="center"/>
    </xf>
    <xf borderId="0" fillId="0" fontId="2" numFmtId="0" xfId="0" applyAlignment="1" applyFont="1">
      <alignment horizontal="center" readingOrder="0" vertical="center"/>
    </xf>
    <xf borderId="0" fillId="0" fontId="3" numFmtId="164" xfId="0" applyAlignment="1" applyFont="1" applyNumberFormat="1">
      <alignment horizontal="center" vertical="center"/>
    </xf>
    <xf borderId="0" fillId="0" fontId="3" numFmtId="164" xfId="0" applyAlignment="1" applyFont="1" applyNumberFormat="1">
      <alignment horizontal="right"/>
    </xf>
    <xf borderId="0" fillId="0" fontId="4" numFmtId="0" xfId="0" applyAlignment="1" applyFont="1">
      <alignment horizontal="center" readingOrder="0" vertical="center"/>
    </xf>
    <xf borderId="0" fillId="0" fontId="5" numFmtId="3" xfId="0" applyAlignment="1" applyFont="1" applyNumberFormat="1">
      <alignment horizontal="center" vertical="center"/>
    </xf>
    <xf borderId="0" fillId="0" fontId="5" numFmtId="10" xfId="0" applyAlignment="1" applyFont="1" applyNumberFormat="1">
      <alignment horizontal="center" vertical="center"/>
    </xf>
    <xf borderId="0" fillId="0" fontId="1" numFmtId="0" xfId="0" applyAlignment="1" applyFont="1">
      <alignment horizontal="center" vertical="center"/>
    </xf>
    <xf borderId="4" fillId="0" fontId="6" numFmtId="164" xfId="0" applyAlignment="1" applyBorder="1" applyFont="1" applyNumberFormat="1">
      <alignment horizontal="center" readingOrder="0" vertical="center"/>
    </xf>
    <xf borderId="5" fillId="0" fontId="7" numFmtId="0" xfId="0" applyBorder="1" applyFont="1"/>
    <xf borderId="6" fillId="0" fontId="8" numFmtId="0" xfId="0" applyAlignment="1" applyBorder="1" applyFont="1">
      <alignment horizontal="center" readingOrder="0" vertical="center"/>
    </xf>
    <xf borderId="6" fillId="0" fontId="9" numFmtId="3" xfId="0" applyAlignment="1" applyBorder="1" applyFont="1" applyNumberFormat="1">
      <alignment horizontal="center" vertical="center"/>
    </xf>
    <xf borderId="6" fillId="2" fontId="3" numFmtId="0" xfId="0" applyAlignment="1" applyBorder="1" applyFill="1" applyFont="1">
      <alignment horizontal="center" readingOrder="0" vertical="center"/>
    </xf>
    <xf borderId="6" fillId="3" fontId="3" numFmtId="0" xfId="0" applyAlignment="1" applyBorder="1" applyFill="1" applyFont="1">
      <alignment horizontal="center" readingOrder="0" vertical="center"/>
    </xf>
    <xf borderId="6" fillId="0" fontId="9" numFmtId="9" xfId="0" applyAlignment="1" applyBorder="1" applyFont="1" applyNumberFormat="1">
      <alignment horizontal="center" vertical="center"/>
    </xf>
    <xf borderId="6" fillId="4" fontId="3" numFmtId="0" xfId="0" applyAlignment="1" applyBorder="1" applyFill="1" applyFont="1">
      <alignment horizontal="center" readingOrder="0" vertical="center"/>
    </xf>
    <xf borderId="6" fillId="5" fontId="3" numFmtId="0" xfId="0" applyAlignment="1" applyBorder="1" applyFill="1" applyFont="1">
      <alignment horizontal="center" readingOrder="0" vertical="center"/>
    </xf>
    <xf borderId="6" fillId="0" fontId="10" numFmtId="165" xfId="0" applyAlignment="1" applyBorder="1" applyFont="1" applyNumberFormat="1">
      <alignment horizontal="center" vertical="center"/>
    </xf>
    <xf borderId="4" fillId="0" fontId="11" numFmtId="0" xfId="0" applyAlignment="1" applyBorder="1" applyFont="1">
      <alignment horizontal="center" readingOrder="0" vertical="center"/>
    </xf>
    <xf borderId="0" fillId="0" fontId="1" numFmtId="166" xfId="0" applyAlignment="1" applyFont="1" applyNumberFormat="1">
      <alignment readingOrder="0"/>
    </xf>
    <xf borderId="4" fillId="0" fontId="4" numFmtId="0" xfId="0" applyAlignment="1" applyBorder="1" applyFont="1">
      <alignment horizontal="center" readingOrder="0" vertical="center"/>
    </xf>
    <xf borderId="6" fillId="0" fontId="4" numFmtId="0" xfId="0" applyAlignment="1" applyBorder="1" applyFont="1">
      <alignment horizontal="center" readingOrder="0" vertical="center"/>
    </xf>
    <xf borderId="6" fillId="0" fontId="12" numFmtId="164" xfId="0" applyAlignment="1" applyBorder="1" applyFont="1" applyNumberFormat="1">
      <alignment horizontal="center" readingOrder="0" vertical="center"/>
    </xf>
    <xf borderId="6" fillId="0" fontId="13" numFmtId="3" xfId="0" applyAlignment="1" applyBorder="1" applyFont="1" applyNumberFormat="1">
      <alignment horizontal="center" vertical="center"/>
    </xf>
    <xf borderId="0" fillId="6" fontId="14" numFmtId="0" xfId="0" applyAlignment="1" applyFill="1" applyFont="1">
      <alignment horizontal="center" readingOrder="0" shrinkToFit="0" vertical="center" wrapText="1"/>
    </xf>
    <xf borderId="0" fillId="7" fontId="1" numFmtId="0" xfId="0" applyAlignment="1" applyFill="1" applyFont="1">
      <alignment horizontal="center" readingOrder="0" shrinkToFit="0" vertical="center" wrapText="1"/>
    </xf>
    <xf borderId="0" fillId="0" fontId="3" numFmtId="0" xfId="0" applyAlignment="1" applyFont="1">
      <alignment horizontal="center" readingOrder="0" shrinkToFit="0" vertical="bottom" wrapText="0"/>
    </xf>
    <xf borderId="0" fillId="0" fontId="1" numFmtId="0" xfId="0" applyAlignment="1" applyFont="1">
      <alignment vertical="center"/>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5" numFmtId="0" xfId="0" applyAlignment="1" applyFont="1">
      <alignment horizontal="center" shrinkToFit="0" vertical="center" wrapText="1"/>
    </xf>
    <xf borderId="0" fillId="0" fontId="16" numFmtId="0" xfId="0" applyAlignment="1" applyFont="1">
      <alignment horizontal="center" shrinkToFit="0" vertical="center" wrapText="1"/>
    </xf>
    <xf borderId="0" fillId="8" fontId="1" numFmtId="0" xfId="0" applyAlignment="1" applyFill="1" applyFont="1">
      <alignment horizontal="center" shrinkToFit="0" vertical="center" wrapText="1"/>
    </xf>
    <xf borderId="0" fillId="7" fontId="1" numFmtId="0" xfId="0" applyAlignment="1" applyFont="1">
      <alignment horizontal="center" shrinkToFit="0" vertical="center" wrapText="1"/>
    </xf>
    <xf borderId="0" fillId="0" fontId="17" numFmtId="0" xfId="0" applyAlignment="1" applyFont="1">
      <alignment horizontal="center" readingOrder="0" shrinkToFit="0" vertical="bottom" wrapText="0"/>
    </xf>
    <xf borderId="0" fillId="0" fontId="18" numFmtId="0" xfId="0" applyAlignment="1" applyFont="1">
      <alignment horizontal="center" readingOrder="0" shrinkToFit="0" vertical="bottom" wrapText="0"/>
    </xf>
    <xf borderId="0" fillId="0" fontId="19" numFmtId="0" xfId="0" applyAlignment="1" applyFont="1">
      <alignment readingOrder="0" shrinkToFit="0" wrapText="0"/>
    </xf>
    <xf borderId="0" fillId="0" fontId="20" numFmtId="0" xfId="0" applyAlignment="1" applyFont="1">
      <alignment horizontal="center" readingOrder="0" shrinkToFit="0" vertical="center" wrapText="1"/>
    </xf>
    <xf borderId="0" fillId="9" fontId="1" numFmtId="0" xfId="0" applyAlignment="1" applyFill="1" applyFont="1">
      <alignment horizontal="center" readingOrder="0" shrinkToFit="0" vertical="center" wrapText="1"/>
    </xf>
    <xf borderId="0" fillId="0" fontId="21" numFmtId="0" xfId="0" applyAlignment="1" applyFont="1">
      <alignment horizontal="center" readingOrder="0" shrinkToFit="0" vertical="bottom" wrapText="0"/>
    </xf>
    <xf borderId="0" fillId="0" fontId="1" numFmtId="0" xfId="0" applyAlignment="1" applyFont="1">
      <alignment readingOrder="0"/>
    </xf>
    <xf borderId="0" fillId="0" fontId="22" numFmtId="0" xfId="0" applyAlignment="1" applyFont="1">
      <alignment horizontal="center" readingOrder="0" shrinkToFit="0" vertical="bottom" wrapText="0"/>
    </xf>
    <xf borderId="0" fillId="0" fontId="23" numFmtId="0" xfId="0" applyAlignment="1" applyFont="1">
      <alignment horizontal="center" readingOrder="0" shrinkToFit="0" wrapText="0"/>
    </xf>
    <xf borderId="0" fillId="0" fontId="24" numFmtId="0" xfId="0" applyAlignment="1" applyFont="1">
      <alignment horizontal="center" shrinkToFit="0" vertical="center" wrapText="1"/>
    </xf>
    <xf borderId="0" fillId="0" fontId="1" numFmtId="0" xfId="0" applyAlignment="1" applyFont="1">
      <alignment readingOrder="0" vertical="center"/>
    </xf>
    <xf borderId="0" fillId="0" fontId="1" numFmtId="0" xfId="0" applyAlignment="1" applyFont="1">
      <alignment readingOrder="0" shrinkToFit="0" vertical="center" wrapText="1"/>
    </xf>
    <xf borderId="0" fillId="6" fontId="25" numFmtId="0" xfId="0" applyAlignment="1" applyFont="1">
      <alignment horizontal="center" readingOrder="0" shrinkToFit="0" vertical="center" wrapText="1"/>
    </xf>
    <xf borderId="0" fillId="6" fontId="25" numFmtId="49" xfId="0" applyAlignment="1" applyFont="1" applyNumberFormat="1">
      <alignment horizontal="center" shrinkToFit="0" vertical="center" wrapText="1"/>
    </xf>
    <xf borderId="0" fillId="6" fontId="25" numFmtId="0" xfId="0" applyAlignment="1" applyFont="1">
      <alignment horizontal="center" shrinkToFit="0" vertical="center" wrapText="1"/>
    </xf>
    <xf borderId="0" fillId="6" fontId="26" numFmtId="0" xfId="0" applyAlignment="1" applyFont="1">
      <alignment horizontal="center" readingOrder="0" vertical="center"/>
    </xf>
    <xf borderId="0" fillId="6" fontId="25" numFmtId="3" xfId="0" applyAlignment="1" applyFont="1" applyNumberFormat="1">
      <alignment horizontal="center" shrinkToFit="0" vertical="center" wrapText="1"/>
    </xf>
    <xf borderId="0" fillId="6" fontId="25" numFmtId="1" xfId="0" applyAlignment="1" applyFont="1" applyNumberFormat="1">
      <alignment horizontal="center" shrinkToFit="0" vertical="center" wrapText="1"/>
    </xf>
    <xf borderId="0" fillId="6" fontId="25" numFmtId="3" xfId="0" applyAlignment="1" applyFont="1" applyNumberFormat="1">
      <alignment horizontal="center" readingOrder="0" shrinkToFit="0" vertical="center" wrapText="1"/>
    </xf>
    <xf borderId="0" fillId="0" fontId="3" numFmtId="164" xfId="0" applyAlignment="1" applyFont="1" applyNumberFormat="1">
      <alignment horizontal="center" readingOrder="0" vertical="center"/>
    </xf>
    <xf borderId="0" fillId="0" fontId="3" numFmtId="0" xfId="0" applyAlignment="1" applyFont="1">
      <alignment horizontal="center" readingOrder="0" vertical="center"/>
    </xf>
    <xf borderId="0" fillId="0" fontId="3" numFmtId="167" xfId="0" applyAlignment="1" applyFont="1" applyNumberFormat="1">
      <alignment horizontal="center" vertical="center"/>
    </xf>
    <xf borderId="0" fillId="0" fontId="3" numFmtId="168" xfId="0" applyAlignment="1" applyFont="1" applyNumberFormat="1">
      <alignment horizontal="center" vertical="center"/>
    </xf>
    <xf borderId="0" fillId="0" fontId="3" numFmtId="167" xfId="0" applyAlignment="1" applyFont="1" applyNumberFormat="1">
      <alignment vertical="bottom"/>
    </xf>
    <xf borderId="0" fillId="0" fontId="1" numFmtId="0" xfId="0" applyAlignment="1" applyFont="1">
      <alignment horizontal="center" readingOrder="0" vertical="center"/>
    </xf>
    <xf borderId="0" fillId="0" fontId="1" numFmtId="3" xfId="0" applyAlignment="1" applyFont="1" applyNumberFormat="1">
      <alignment horizontal="center" readingOrder="0" vertical="center"/>
    </xf>
    <xf borderId="0" fillId="0" fontId="3" numFmtId="1" xfId="0" applyAlignment="1" applyFont="1" applyNumberFormat="1">
      <alignment horizontal="center" vertical="center"/>
    </xf>
    <xf borderId="0" fillId="0" fontId="3" numFmtId="9" xfId="0" applyAlignment="1" applyFont="1" applyNumberFormat="1">
      <alignment horizontal="center" vertical="center"/>
    </xf>
    <xf borderId="0" fillId="0" fontId="3" numFmtId="3" xfId="0" applyAlignment="1" applyFont="1" applyNumberFormat="1">
      <alignment horizontal="center" vertical="center"/>
    </xf>
    <xf borderId="0" fillId="0" fontId="3" numFmtId="165" xfId="0" applyAlignment="1" applyFont="1" applyNumberFormat="1">
      <alignment horizontal="center" vertical="center"/>
    </xf>
    <xf borderId="0" fillId="0" fontId="3" numFmtId="1" xfId="0" applyAlignment="1" applyFont="1" applyNumberFormat="1">
      <alignment horizontal="center" vertical="center"/>
    </xf>
    <xf borderId="0" fillId="0" fontId="3" numFmtId="3" xfId="0" applyAlignment="1" applyFont="1" applyNumberFormat="1">
      <alignment horizontal="center" vertical="bottom"/>
    </xf>
    <xf borderId="0" fillId="0" fontId="3" numFmtId="165" xfId="0" applyAlignment="1" applyFont="1" applyNumberFormat="1">
      <alignment horizontal="center" vertical="bottom"/>
    </xf>
    <xf borderId="0" fillId="0" fontId="3" numFmtId="0" xfId="0" applyAlignment="1" applyFont="1">
      <alignment horizontal="center" vertical="center"/>
    </xf>
    <xf borderId="0" fillId="0" fontId="3" numFmtId="10" xfId="0" applyAlignment="1" applyFont="1" applyNumberFormat="1">
      <alignment horizontal="center" vertical="center"/>
    </xf>
    <xf borderId="0" fillId="2" fontId="3" numFmtId="0" xfId="0" applyAlignment="1" applyFont="1">
      <alignment horizontal="center" readingOrder="0" vertical="center"/>
    </xf>
    <xf borderId="0" fillId="3" fontId="3" numFmtId="0" xfId="0" applyAlignment="1" applyFont="1">
      <alignment horizontal="center" readingOrder="0" vertical="center"/>
    </xf>
    <xf borderId="0" fillId="0" fontId="3" numFmtId="0" xfId="0" applyAlignment="1" applyFont="1">
      <alignment horizontal="center" readingOrder="0" vertical="bottom"/>
    </xf>
    <xf borderId="0" fillId="0" fontId="3" numFmtId="3" xfId="0" applyAlignment="1" applyFont="1" applyNumberFormat="1">
      <alignment horizontal="center" readingOrder="0" vertical="bottom"/>
    </xf>
    <xf borderId="0" fillId="0" fontId="27" numFmtId="0" xfId="0" applyAlignment="1" applyFont="1">
      <alignment horizontal="center" readingOrder="0" shrinkToFit="0" vertical="center" wrapText="0"/>
    </xf>
    <xf borderId="7" fillId="0" fontId="3" numFmtId="168" xfId="0" applyAlignment="1" applyBorder="1" applyFont="1" applyNumberFormat="1">
      <alignment horizontal="center" vertical="center"/>
    </xf>
    <xf borderId="8" fillId="0" fontId="3" numFmtId="168" xfId="0" applyAlignment="1" applyBorder="1" applyFont="1" applyNumberFormat="1">
      <alignment horizontal="center" vertical="center"/>
    </xf>
    <xf borderId="7" fillId="0" fontId="3" numFmtId="168" xfId="0" applyAlignment="1" applyBorder="1" applyFont="1" applyNumberFormat="1">
      <alignment horizontal="center"/>
    </xf>
    <xf borderId="0" fillId="0" fontId="3" numFmtId="168" xfId="0" applyAlignment="1" applyFont="1" applyNumberFormat="1">
      <alignment horizontal="center"/>
    </xf>
    <xf borderId="0" fillId="0" fontId="28" numFmtId="167" xfId="0" applyAlignment="1" applyFont="1" applyNumberFormat="1">
      <alignment horizontal="center" readingOrder="0" shrinkToFit="0" vertical="center" wrapText="0"/>
    </xf>
    <xf borderId="0" fillId="0" fontId="3" numFmtId="1" xfId="0" applyAlignment="1" applyFont="1" applyNumberFormat="1">
      <alignment horizontal="right" vertical="bottom"/>
    </xf>
    <xf borderId="8" fillId="0" fontId="3" numFmtId="168" xfId="0" applyAlignment="1" applyBorder="1" applyFont="1" applyNumberFormat="1">
      <alignment horizontal="center"/>
    </xf>
    <xf borderId="0" fillId="0" fontId="3" numFmtId="0" xfId="0" applyAlignment="1" applyFont="1">
      <alignment vertical="bottom"/>
    </xf>
    <xf borderId="0" fillId="0" fontId="3" numFmtId="1" xfId="0" applyAlignment="1" applyFont="1" applyNumberFormat="1">
      <alignment horizontal="center" vertical="bottom"/>
    </xf>
    <xf borderId="9" fillId="0" fontId="3" numFmtId="168" xfId="0" applyAlignment="1" applyBorder="1" applyFont="1" applyNumberFormat="1">
      <alignment horizontal="center"/>
    </xf>
    <xf borderId="0" fillId="0" fontId="28" numFmtId="3" xfId="0" applyAlignment="1" applyFont="1" applyNumberFormat="1">
      <alignment horizontal="center" readingOrder="0" shrinkToFit="0" vertical="center" wrapText="0"/>
    </xf>
    <xf borderId="0" fillId="10" fontId="29" numFmtId="169" xfId="0" applyAlignment="1" applyFill="1" applyFont="1" applyNumberFormat="1">
      <alignment horizontal="center" readingOrder="0" shrinkToFit="0" vertical="center" wrapText="0"/>
    </xf>
    <xf borderId="0" fillId="11" fontId="30" numFmtId="169" xfId="0" applyAlignment="1" applyFill="1" applyFont="1" applyNumberFormat="1">
      <alignment horizontal="center" readingOrder="0" shrinkToFit="0" vertical="center" wrapText="0"/>
    </xf>
    <xf borderId="0" fillId="12" fontId="31" numFmtId="0" xfId="0" applyAlignment="1" applyFill="1" applyFont="1">
      <alignment horizontal="center" readingOrder="0" shrinkToFit="0" wrapText="0"/>
    </xf>
    <xf borderId="0" fillId="0" fontId="32" numFmtId="0" xfId="0" applyAlignment="1" applyFont="1">
      <alignment horizontal="center" readingOrder="0" shrinkToFit="0" wrapText="0"/>
    </xf>
    <xf borderId="0" fillId="0" fontId="33" numFmtId="0" xfId="0" applyAlignment="1" applyFont="1">
      <alignment horizontal="center" shrinkToFit="0" wrapText="0"/>
    </xf>
    <xf borderId="0" fillId="13" fontId="33" numFmtId="1" xfId="0" applyAlignment="1" applyFill="1" applyFont="1" applyNumberFormat="1">
      <alignment horizontal="center" shrinkToFit="0" vertical="center" wrapText="0"/>
    </xf>
    <xf borderId="0" fillId="14" fontId="33" numFmtId="1" xfId="0" applyAlignment="1" applyFill="1" applyFont="1" applyNumberFormat="1">
      <alignment horizontal="center" shrinkToFit="0" vertical="center" wrapText="0"/>
    </xf>
    <xf borderId="0" fillId="0" fontId="33" numFmtId="1" xfId="0" applyAlignment="1" applyFont="1" applyNumberFormat="1">
      <alignment horizontal="center" shrinkToFit="0" wrapText="0"/>
    </xf>
    <xf borderId="0" fillId="0" fontId="33" numFmtId="1" xfId="0" applyAlignment="1" applyFont="1" applyNumberFormat="1">
      <alignment horizontal="center" shrinkToFit="0" vertical="center" wrapText="0"/>
    </xf>
    <xf borderId="0" fillId="14" fontId="33" numFmtId="1" xfId="0" applyAlignment="1" applyFont="1" applyNumberFormat="1">
      <alignment horizontal="center" shrinkToFit="0" vertical="bottom" wrapText="0"/>
    </xf>
    <xf borderId="0" fillId="13" fontId="33" numFmtId="1" xfId="0" applyAlignment="1" applyFont="1" applyNumberFormat="1">
      <alignment horizontal="center" shrinkToFit="0" vertical="bottom" wrapText="0"/>
    </xf>
    <xf borderId="0" fillId="14" fontId="33" numFmtId="1" xfId="0" applyAlignment="1" applyFont="1" applyNumberFormat="1">
      <alignment horizontal="center" readingOrder="0" shrinkToFit="0" vertical="bottom" wrapText="0"/>
    </xf>
    <xf borderId="0" fillId="12" fontId="33" numFmtId="0" xfId="0" applyAlignment="1" applyFont="1">
      <alignment horizontal="center" shrinkToFit="0" vertical="center" wrapText="0"/>
    </xf>
    <xf borderId="0" fillId="0" fontId="33" numFmtId="1" xfId="0" applyAlignment="1" applyFont="1" applyNumberFormat="1">
      <alignment horizontal="center" shrinkToFit="0" vertical="bottom" wrapText="0"/>
    </xf>
    <xf borderId="0" fillId="0" fontId="33" numFmtId="1" xfId="0" applyAlignment="1" applyFont="1" applyNumberFormat="1">
      <alignment horizontal="center" readingOrder="0" shrinkToFit="0" vertical="bottom" wrapText="0"/>
    </xf>
    <xf borderId="0" fillId="0" fontId="33" numFmtId="0" xfId="0" applyAlignment="1" applyFont="1">
      <alignment horizontal="center" readingOrder="0" shrinkToFit="0" vertical="center" wrapText="0"/>
    </xf>
    <xf borderId="0" fillId="12" fontId="33" numFmtId="0" xfId="0" applyAlignment="1" applyFont="1">
      <alignment horizontal="center" readingOrder="0" shrinkToFit="0" vertical="center" wrapText="0"/>
    </xf>
    <xf borderId="0" fillId="12" fontId="34" numFmtId="0" xfId="0" applyAlignment="1" applyFont="1">
      <alignment shrinkToFit="0" wrapText="0"/>
    </xf>
    <xf borderId="0" fillId="12" fontId="34" numFmtId="1" xfId="0" applyAlignment="1" applyFont="1" applyNumberFormat="1">
      <alignment shrinkToFit="0" wrapText="0"/>
    </xf>
    <xf borderId="0" fillId="12" fontId="35" numFmtId="0" xfId="0" applyAlignment="1" applyFont="1">
      <alignment shrinkToFit="0" wrapText="0"/>
    </xf>
    <xf borderId="0" fillId="12" fontId="33" numFmtId="0" xfId="0" applyAlignment="1" applyFont="1">
      <alignment horizontal="center" readingOrder="0" shrinkToFit="0" wrapText="0"/>
    </xf>
    <xf borderId="0" fillId="12" fontId="36" numFmtId="0" xfId="0" applyAlignment="1" applyFont="1">
      <alignment readingOrder="0" shrinkToFit="0" wrapText="0"/>
    </xf>
    <xf borderId="0" fillId="12" fontId="37" numFmtId="0" xfId="0" applyAlignment="1" applyFont="1">
      <alignment readingOrder="0" shrinkToFit="0" wrapText="0"/>
    </xf>
    <xf borderId="0" fillId="12" fontId="22" numFmtId="0" xfId="0" applyAlignment="1" applyFont="1">
      <alignment readingOrder="0" shrinkToFit="0" wrapText="0"/>
    </xf>
    <xf borderId="0" fillId="12" fontId="22" numFmtId="0" xfId="0" applyAlignment="1" applyFont="1">
      <alignment readingOrder="0"/>
    </xf>
    <xf borderId="0" fillId="12" fontId="36" numFmtId="0" xfId="0" applyAlignment="1" applyFont="1">
      <alignment readingOrder="0"/>
    </xf>
    <xf borderId="0" fillId="12" fontId="38" numFmtId="0" xfId="0" applyAlignment="1" applyFont="1">
      <alignment readingOrder="0" shrinkToFit="0" wrapText="0"/>
    </xf>
    <xf borderId="0" fillId="12" fontId="39" numFmtId="0" xfId="0" applyAlignment="1" applyFont="1">
      <alignment readingOrder="0" shrinkToFit="0" wrapText="0"/>
    </xf>
    <xf borderId="0" fillId="12" fontId="40" numFmtId="0" xfId="0" applyAlignment="1" applyFont="1">
      <alignment readingOrder="0" shrinkToFit="0" wrapText="0"/>
    </xf>
    <xf borderId="0" fillId="12" fontId="40" numFmtId="0" xfId="0" applyAlignment="1" applyFont="1">
      <alignment readingOrder="0"/>
    </xf>
    <xf borderId="0" fillId="12" fontId="38" numFmtId="0" xfId="0" applyAlignment="1" applyFont="1">
      <alignment readingOrder="0"/>
    </xf>
    <xf borderId="0" fillId="12" fontId="41" numFmtId="0" xfId="0" applyAlignment="1" applyFont="1">
      <alignment readingOrder="0"/>
    </xf>
    <xf borderId="0" fillId="12" fontId="36" numFmtId="0" xfId="0" applyAlignment="1" applyFont="1">
      <alignment shrinkToFit="0" wrapText="0"/>
    </xf>
    <xf borderId="0" fillId="12" fontId="42" numFmtId="0" xfId="0" applyAlignment="1" applyFont="1">
      <alignment readingOrder="0" shrinkToFit="0" wrapText="0"/>
    </xf>
    <xf borderId="0" fillId="0" fontId="1" numFmtId="0" xfId="0" applyAlignment="1" applyFont="1">
      <alignment shrinkToFit="0" wrapText="0"/>
    </xf>
    <xf borderId="0" fillId="12" fontId="37" numFmtId="0" xfId="0" applyAlignment="1" applyFont="1">
      <alignment shrinkToFit="0" wrapText="0"/>
    </xf>
    <xf borderId="0" fillId="12" fontId="43" numFmtId="0" xfId="0" applyAlignment="1" applyFont="1">
      <alignment readingOrder="0" shrinkToFit="0" wrapText="0"/>
    </xf>
    <xf borderId="0" fillId="12" fontId="36" numFmtId="0" xfId="0" applyFont="1"/>
    <xf borderId="0" fillId="0" fontId="31" numFmtId="0" xfId="0" applyAlignment="1" applyFont="1">
      <alignment horizontal="center" shrinkToFit="0" wrapText="0"/>
    </xf>
    <xf borderId="0" fillId="0" fontId="33" numFmtId="0" xfId="0" applyAlignment="1" applyFont="1">
      <alignment horizontal="center" shrinkToFit="0" vertical="center" wrapText="0"/>
    </xf>
    <xf borderId="0" fillId="0" fontId="33" numFmtId="0" xfId="0" applyAlignment="1" applyFont="1">
      <alignment shrinkToFit="0" wrapText="0"/>
    </xf>
    <xf borderId="0" fillId="15" fontId="33" numFmtId="0" xfId="0" applyAlignment="1" applyFill="1" applyFont="1">
      <alignment horizontal="center" shrinkToFit="0" vertical="center" wrapText="0"/>
    </xf>
    <xf borderId="0" fillId="15" fontId="31" numFmtId="0" xfId="0" applyAlignment="1" applyFont="1">
      <alignment horizontal="center" shrinkToFit="0" wrapText="0"/>
    </xf>
    <xf borderId="0" fillId="15" fontId="33" numFmtId="0" xfId="0" applyAlignment="1" applyFont="1">
      <alignment horizontal="center" readingOrder="0" shrinkToFit="0" vertical="center" wrapText="0"/>
    </xf>
    <xf borderId="0" fillId="13" fontId="33" numFmtId="0" xfId="0" applyAlignment="1" applyFont="1">
      <alignment horizontal="center" readingOrder="0" shrinkToFit="0" vertical="center" wrapText="0"/>
    </xf>
    <xf borderId="0" fillId="0" fontId="33" numFmtId="0" xfId="0" applyAlignment="1" applyFont="1">
      <alignment horizontal="center" readingOrder="0" shrinkToFit="0" vertical="bottom" wrapText="0"/>
    </xf>
    <xf borderId="0" fillId="13" fontId="44" numFmtId="3" xfId="0" applyAlignment="1" applyFont="1" applyNumberFormat="1">
      <alignment shrinkToFit="0" wrapText="0"/>
    </xf>
    <xf borderId="0" fillId="12" fontId="45" numFmtId="0" xfId="0" applyAlignment="1" applyFont="1">
      <alignment readingOrder="0" shrinkToFit="0" wrapText="0"/>
    </xf>
    <xf borderId="0" fillId="12" fontId="44" numFmtId="0" xfId="0" applyAlignment="1" applyFont="1">
      <alignment horizontal="center" readingOrder="0" shrinkToFit="0" vertical="center" wrapText="0"/>
    </xf>
    <xf borderId="0" fillId="12" fontId="46" numFmtId="0" xfId="0" applyAlignment="1" applyFont="1">
      <alignment readingOrder="0" shrinkToFit="0" wrapText="0"/>
    </xf>
    <xf borderId="0" fillId="12" fontId="43" numFmtId="0" xfId="0" applyAlignment="1" applyFont="1">
      <alignment readingOrder="0"/>
    </xf>
    <xf borderId="0" fillId="13" fontId="33" numFmtId="0" xfId="0" applyAlignment="1" applyFont="1">
      <alignment horizontal="center" shrinkToFit="0" vertical="center" wrapText="0"/>
    </xf>
    <xf borderId="0" fillId="0" fontId="33" numFmtId="0" xfId="0" applyAlignment="1" applyFont="1">
      <alignment horizontal="center" shrinkToFit="0" vertical="bottom" wrapText="0"/>
    </xf>
    <xf borderId="0" fillId="0" fontId="44" numFmtId="0" xfId="0" applyAlignment="1" applyFont="1">
      <alignment shrinkToFit="0" wrapText="0"/>
    </xf>
    <xf borderId="0" fillId="12" fontId="47" numFmtId="0" xfId="0" applyAlignment="1" applyFont="1">
      <alignment readingOrder="0" shrinkToFit="0" wrapText="0"/>
    </xf>
    <xf borderId="0" fillId="0" fontId="9" numFmtId="0" xfId="0" applyAlignment="1" applyFont="1">
      <alignment shrinkToFit="0" wrapText="0"/>
    </xf>
    <xf borderId="0" fillId="12" fontId="48" numFmtId="0" xfId="0" applyAlignment="1" applyFont="1">
      <alignment readingOrder="0" shrinkToFit="0" wrapText="0"/>
    </xf>
    <xf borderId="0" fillId="6" fontId="49" numFmtId="0" xfId="0" applyAlignment="1" applyFont="1">
      <alignment vertical="bottom"/>
    </xf>
    <xf borderId="0" fillId="0" fontId="3" numFmtId="0" xfId="0" applyAlignment="1" applyFont="1">
      <alignment horizontal="right" readingOrder="0" vertical="bottom"/>
    </xf>
    <xf borderId="0" fillId="0" fontId="3" numFmtId="170" xfId="0" applyAlignment="1" applyFont="1" applyNumberFormat="1">
      <alignment horizontal="right" vertical="bottom"/>
    </xf>
    <xf borderId="0" fillId="0" fontId="3" numFmtId="167" xfId="0" applyAlignment="1" applyFont="1" applyNumberFormat="1">
      <alignment horizontal="right" vertical="bottom"/>
    </xf>
    <xf borderId="0" fillId="0" fontId="3" numFmtId="0" xfId="0" applyAlignment="1" applyFont="1">
      <alignment horizontal="right" vertical="bottom"/>
    </xf>
    <xf borderId="0" fillId="6" fontId="50" numFmtId="0" xfId="0" applyAlignment="1" applyFont="1">
      <alignment horizontal="center" readingOrder="0" shrinkToFit="0" vertical="top" wrapText="1"/>
    </xf>
    <xf borderId="0" fillId="6" fontId="51" numFmtId="0" xfId="0" applyAlignment="1" applyFont="1">
      <alignment horizontal="left" readingOrder="0" shrinkToFit="0" vertical="top" wrapText="1"/>
    </xf>
    <xf borderId="0" fillId="0" fontId="52" numFmtId="0" xfId="0" applyAlignment="1" applyFont="1">
      <alignment horizontal="center" readingOrder="0" shrinkToFit="0" vertical="top" wrapText="1"/>
    </xf>
    <xf borderId="0" fillId="16" fontId="53" numFmtId="171" xfId="0" applyAlignment="1" applyFill="1" applyFont="1" applyNumberFormat="1">
      <alignment horizontal="left" readingOrder="0" shrinkToFit="0" vertical="top" wrapText="1"/>
    </xf>
    <xf borderId="0" fillId="0" fontId="54" numFmtId="0" xfId="0" applyAlignment="1" applyFont="1">
      <alignment horizontal="left" readingOrder="0" shrinkToFit="0" vertical="top" wrapText="1"/>
    </xf>
    <xf borderId="0" fillId="0" fontId="53" numFmtId="0" xfId="0" applyAlignment="1" applyFont="1">
      <alignment horizontal="left" shrinkToFit="0" vertical="top" wrapText="1"/>
    </xf>
    <xf borderId="0" fillId="17" fontId="53" numFmtId="172" xfId="0" applyAlignment="1" applyFill="1" applyFont="1" applyNumberFormat="1">
      <alignment horizontal="left" readingOrder="0" shrinkToFit="0" vertical="top" wrapText="1"/>
    </xf>
    <xf borderId="0" fillId="0" fontId="55" numFmtId="0" xfId="0" applyAlignment="1" applyFont="1">
      <alignment horizontal="left" readingOrder="0" shrinkToFit="0" vertical="top" wrapText="1"/>
    </xf>
    <xf borderId="0" fillId="0" fontId="53" numFmtId="0" xfId="0" applyAlignment="1" applyFont="1">
      <alignment horizontal="left" readingOrder="0" shrinkToFit="0" vertical="top" wrapText="1"/>
    </xf>
    <xf borderId="0" fillId="0" fontId="56" numFmtId="0" xfId="0" applyAlignment="1" applyFont="1">
      <alignment horizontal="left" readingOrder="0" shrinkToFit="0" vertical="top" wrapText="1"/>
    </xf>
    <xf borderId="0" fillId="18" fontId="55" numFmtId="0" xfId="0" applyAlignment="1" applyFill="1" applyFont="1">
      <alignment horizontal="left" readingOrder="0" shrinkToFit="0" vertical="top" wrapText="1"/>
    </xf>
    <xf borderId="0" fillId="0" fontId="57" numFmtId="0" xfId="0" applyAlignment="1" applyFont="1">
      <alignment horizontal="left" readingOrder="0" shrinkToFit="0" vertical="top" wrapText="1"/>
    </xf>
    <xf borderId="0" fillId="0" fontId="58" numFmtId="0" xfId="0" applyAlignment="1" applyFont="1">
      <alignment horizontal="left" readingOrder="0" shrinkToFit="0" vertical="top" wrapText="1"/>
    </xf>
    <xf borderId="0" fillId="0" fontId="59" numFmtId="0" xfId="0" applyAlignment="1" applyFont="1">
      <alignment horizontal="center" readingOrder="0" shrinkToFit="0" vertical="top" wrapText="1"/>
    </xf>
    <xf borderId="0" fillId="0" fontId="60" numFmtId="0" xfId="0" applyAlignment="1" applyFont="1">
      <alignment horizontal="left" readingOrder="0" shrinkToFit="0" vertical="top" wrapText="1"/>
    </xf>
    <xf borderId="0" fillId="0" fontId="61" numFmtId="0" xfId="0" applyAlignment="1" applyFont="1">
      <alignment horizontal="left" shrinkToFit="0" vertical="top" wrapText="1"/>
    </xf>
    <xf borderId="0" fillId="0" fontId="57" numFmtId="0" xfId="0" applyAlignment="1" applyFont="1">
      <alignment horizontal="left" readingOrder="0" shrinkToFit="0" vertical="top" wrapText="1"/>
    </xf>
    <xf borderId="0" fillId="0" fontId="62" numFmtId="0" xfId="0" applyAlignment="1" applyFont="1">
      <alignment horizontal="center" readingOrder="0" shrinkToFit="0" vertical="top" wrapText="1"/>
    </xf>
    <xf borderId="10" fillId="0" fontId="59" numFmtId="0" xfId="0" applyAlignment="1" applyBorder="1" applyFont="1">
      <alignment horizontal="center" readingOrder="0" shrinkToFit="0" vertical="top" wrapText="1"/>
    </xf>
    <xf borderId="0" fillId="0" fontId="61" numFmtId="0" xfId="0" applyAlignment="1" applyFont="1">
      <alignment horizontal="left" readingOrder="0" shrinkToFit="0" vertical="top" wrapText="1"/>
    </xf>
    <xf borderId="0" fillId="0" fontId="58" numFmtId="0" xfId="0" applyAlignment="1" applyFont="1">
      <alignment horizontal="left" readingOrder="0" shrinkToFit="0" vertical="top" wrapText="1"/>
    </xf>
    <xf borderId="0" fillId="0" fontId="63" numFmtId="0" xfId="0" applyAlignment="1" applyFont="1">
      <alignment horizontal="left" readingOrder="0" shrinkToFit="0" vertical="top" wrapText="1"/>
    </xf>
    <xf borderId="0" fillId="0" fontId="59" numFmtId="0" xfId="0" applyAlignment="1" applyFont="1">
      <alignment horizontal="center" readingOrder="0" shrinkToFit="0" vertical="top" wrapText="1"/>
    </xf>
    <xf borderId="0" fillId="0" fontId="53" numFmtId="172" xfId="0" applyAlignment="1" applyFont="1" applyNumberFormat="1">
      <alignment horizontal="left" readingOrder="0" shrinkToFit="0" vertical="top" wrapText="1"/>
    </xf>
    <xf borderId="0" fillId="0" fontId="61" numFmtId="0" xfId="0" applyAlignment="1" applyFont="1">
      <alignment horizontal="left" readingOrder="0" shrinkToFit="0" vertical="top" wrapText="1"/>
    </xf>
    <xf borderId="0" fillId="0" fontId="64" numFmtId="0" xfId="0" applyAlignment="1" applyFont="1">
      <alignment horizontal="left" readingOrder="0" shrinkToFit="0" vertical="top" wrapText="1"/>
    </xf>
    <xf borderId="0" fillId="0" fontId="65" numFmtId="0" xfId="0" applyAlignment="1" applyFont="1">
      <alignment horizontal="center" readingOrder="0" shrinkToFit="0" vertical="center" wrapText="0"/>
    </xf>
    <xf borderId="0" fillId="0" fontId="66" numFmtId="1" xfId="0" applyAlignment="1" applyFont="1" applyNumberFormat="1">
      <alignment horizontal="center" readingOrder="0" shrinkToFit="0" vertical="center" wrapText="0"/>
    </xf>
    <xf borderId="0" fillId="0" fontId="66" numFmtId="0" xfId="0" applyAlignment="1" applyFont="1">
      <alignment horizontal="center" readingOrder="0" shrinkToFit="0" vertical="center" wrapText="0"/>
    </xf>
    <xf borderId="0" fillId="0" fontId="65" numFmtId="1" xfId="0" applyAlignment="1" applyFont="1" applyNumberFormat="1">
      <alignment horizontal="center" readingOrder="0" shrinkToFit="0" vertical="center" wrapText="0"/>
    </xf>
    <xf borderId="0" fillId="0" fontId="67" numFmtId="1"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0"/>
    </xf>
    <xf borderId="0" fillId="0" fontId="67" numFmtId="0" xfId="0" applyAlignment="1" applyFont="1">
      <alignment horizontal="center" readingOrder="0" shrinkToFit="0" vertical="center" wrapText="0"/>
    </xf>
    <xf borderId="0" fillId="0" fontId="68" numFmtId="0" xfId="0" applyAlignment="1" applyFont="1">
      <alignment horizontal="center" readingOrder="0" shrinkToFit="0" vertical="center" wrapText="0"/>
    </xf>
    <xf borderId="0" fillId="0" fontId="68" numFmtId="1" xfId="0" applyAlignment="1" applyFont="1" applyNumberFormat="1">
      <alignment horizontal="center" readingOrder="0" shrinkToFit="0" vertical="center" wrapText="0"/>
    </xf>
    <xf borderId="0" fillId="0" fontId="1" numFmtId="0" xfId="0" applyAlignment="1" applyFont="1">
      <alignment horizontal="center" shrinkToFit="0" vertical="center" wrapText="0"/>
    </xf>
    <xf borderId="0" fillId="9" fontId="66" numFmtId="0" xfId="0" applyAlignment="1" applyFont="1">
      <alignment horizontal="center" readingOrder="0" shrinkToFit="0" vertical="center" wrapText="0"/>
    </xf>
    <xf borderId="0" fillId="9" fontId="66" numFmtId="3" xfId="0" applyAlignment="1" applyFont="1" applyNumberFormat="1">
      <alignment horizontal="center" readingOrder="0" shrinkToFit="0" vertical="center" wrapText="0"/>
    </xf>
    <xf borderId="0" fillId="7" fontId="67" numFmtId="1" xfId="0" applyAlignment="1" applyFont="1" applyNumberFormat="1">
      <alignment horizontal="center" readingOrder="0" shrinkToFit="0" vertical="center" wrapText="0"/>
    </xf>
    <xf borderId="0" fillId="16" fontId="68" numFmtId="1" xfId="0" applyAlignment="1" applyFont="1" applyNumberFormat="1">
      <alignment horizontal="center" readingOrder="0" shrinkToFit="0" vertical="center" wrapText="0"/>
    </xf>
    <xf borderId="0" fillId="9" fontId="66" numFmtId="1" xfId="0" applyAlignment="1" applyFont="1" applyNumberFormat="1">
      <alignment horizontal="center" readingOrder="0" shrinkToFit="0" vertical="center" wrapText="0"/>
    </xf>
    <xf borderId="0" fillId="0" fontId="69" numFmtId="0" xfId="0" applyAlignment="1" applyFont="1">
      <alignment horizontal="center" readingOrder="0" shrinkToFit="0" vertical="center" wrapText="0"/>
    </xf>
    <xf borderId="0" fillId="15" fontId="66" numFmtId="0" xfId="0" applyAlignment="1" applyFont="1">
      <alignment horizontal="center" readingOrder="0" shrinkToFit="0" vertical="center" wrapText="0"/>
    </xf>
    <xf borderId="0" fillId="15" fontId="66" numFmtId="3" xfId="0" applyAlignment="1" applyFont="1" applyNumberFormat="1">
      <alignment horizontal="center" readingOrder="0" shrinkToFit="0" vertical="center" wrapText="0"/>
    </xf>
    <xf borderId="0" fillId="0" fontId="69" numFmtId="0" xfId="0" applyAlignment="1" applyFont="1">
      <alignment horizontal="center" readingOrder="0" vertical="center"/>
    </xf>
    <xf borderId="0" fillId="0" fontId="66" numFmtId="1" xfId="0" applyAlignment="1" applyFont="1" applyNumberFormat="1">
      <alignment horizontal="center" readingOrder="0" vertical="center"/>
    </xf>
    <xf borderId="0" fillId="0" fontId="66" numFmtId="0" xfId="0" applyAlignment="1" applyFont="1">
      <alignment horizontal="center" readingOrder="0" vertical="center"/>
    </xf>
    <xf borderId="0" fillId="0" fontId="65" numFmtId="1" xfId="0" applyAlignment="1" applyFont="1" applyNumberFormat="1">
      <alignment horizontal="center" readingOrder="0" vertical="center"/>
    </xf>
    <xf borderId="0" fillId="0" fontId="1" numFmtId="0" xfId="0" applyAlignment="1" applyFont="1">
      <alignment horizontal="center" readingOrder="0"/>
    </xf>
    <xf borderId="0" fillId="0" fontId="68" numFmtId="1" xfId="0" applyAlignment="1" applyFont="1" applyNumberFormat="1">
      <alignment readingOrder="0" shrinkToFit="0" vertical="center" wrapText="0"/>
    </xf>
    <xf borderId="0" fillId="7" fontId="65" numFmtId="0" xfId="0" applyAlignment="1" applyFont="1">
      <alignment horizontal="center" shrinkToFit="0" vertical="center" wrapText="0"/>
    </xf>
    <xf borderId="0" fillId="7" fontId="67" numFmtId="1" xfId="0" applyAlignment="1" applyFont="1" applyNumberFormat="1">
      <alignment shrinkToFit="0" vertical="center" wrapText="0"/>
    </xf>
    <xf borderId="0" fillId="7" fontId="67" numFmtId="1" xfId="0" applyAlignment="1" applyFont="1" applyNumberFormat="1">
      <alignment horizontal="center" shrinkToFit="0" vertical="center" wrapText="0"/>
    </xf>
    <xf borderId="0" fillId="7" fontId="67" numFmtId="0" xfId="0" applyAlignment="1" applyFont="1">
      <alignment horizontal="center" shrinkToFit="0" vertical="center" wrapText="0"/>
    </xf>
    <xf borderId="11" fillId="0" fontId="1" numFmtId="1" xfId="0" applyAlignment="1" applyBorder="1" applyFont="1" applyNumberFormat="1">
      <alignment shrinkToFit="0" vertical="center" wrapText="0"/>
    </xf>
    <xf borderId="11" fillId="0" fontId="1" numFmtId="1" xfId="0" applyAlignment="1" applyBorder="1" applyFont="1" applyNumberFormat="1">
      <alignment readingOrder="0" shrinkToFit="0" vertical="center" wrapText="0"/>
    </xf>
    <xf borderId="0" fillId="0" fontId="1" numFmtId="1" xfId="0" applyAlignment="1" applyFont="1" applyNumberFormat="1">
      <alignment shrinkToFit="0" vertical="center" wrapText="0"/>
    </xf>
    <xf borderId="0" fillId="0" fontId="68" numFmtId="0" xfId="0" applyAlignment="1" applyFont="1">
      <alignment horizontal="center" readingOrder="0" vertical="center"/>
    </xf>
    <xf borderId="0" fillId="0" fontId="1" numFmtId="0" xfId="0" applyAlignment="1" applyFont="1">
      <alignment readingOrder="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173" xfId="0" applyAlignment="1" applyFont="1" applyNumberFormat="1">
      <alignment horizontal="center" readingOrder="0" shrinkToFit="0" vertical="center" wrapText="0"/>
    </xf>
    <xf borderId="0" fillId="0" fontId="1" numFmtId="0" xfId="0" applyAlignment="1" applyFont="1">
      <alignment horizontal="center" shrinkToFit="0" vertical="center" wrapText="0"/>
    </xf>
    <xf borderId="0" fillId="0" fontId="1" numFmtId="1" xfId="0" applyAlignment="1" applyFont="1" applyNumberFormat="1">
      <alignment horizontal="center" readingOrder="0" vertical="center"/>
    </xf>
    <xf borderId="0" fillId="0" fontId="1" numFmtId="0" xfId="0" applyAlignment="1" applyFont="1">
      <alignment horizontal="center" readingOrder="0" shrinkToFit="0" vertical="center" wrapText="0"/>
    </xf>
    <xf borderId="0" fillId="0" fontId="1" numFmtId="0" xfId="0" applyAlignment="1" applyFont="1">
      <alignment shrinkToFit="0" vertical="center" wrapText="0"/>
    </xf>
    <xf borderId="0" fillId="0" fontId="1" numFmtId="0" xfId="0" applyAlignment="1" applyFont="1">
      <alignment horizontal="left" readingOrder="0" shrinkToFit="0" vertical="center" wrapText="0"/>
    </xf>
    <xf borderId="0" fillId="0" fontId="1" numFmtId="1" xfId="0" applyAlignment="1" applyFont="1" applyNumberFormat="1">
      <alignment horizontal="center" readingOrder="0" shrinkToFit="0" vertical="center" wrapText="0"/>
    </xf>
    <xf borderId="0" fillId="0" fontId="1" numFmtId="3" xfId="0" applyAlignment="1" applyFont="1" applyNumberFormat="1">
      <alignment readingOrder="0" shrinkToFit="0" vertical="center" wrapText="0"/>
    </xf>
    <xf borderId="0" fillId="0" fontId="1" numFmtId="3" xfId="0" applyAlignment="1" applyFont="1" applyNumberFormat="1">
      <alignment horizontal="center" shrinkToFit="0" vertical="center" wrapText="0"/>
    </xf>
    <xf borderId="0" fillId="0" fontId="1" numFmtId="10" xfId="0" applyAlignment="1" applyFont="1" applyNumberFormat="1">
      <alignment horizontal="center" shrinkToFit="0" vertical="center" wrapText="0"/>
    </xf>
    <xf borderId="0" fillId="0" fontId="20"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12" fontId="70" numFmtId="0" xfId="0" applyAlignment="1" applyFont="1">
      <alignment horizontal="right" readingOrder="0" shrinkToFit="0" vertical="center" wrapText="0"/>
    </xf>
    <xf borderId="0" fillId="0" fontId="1" numFmtId="173"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9" xfId="0" applyAlignment="1" applyFont="1" applyNumberFormat="1">
      <alignment horizontal="center"/>
    </xf>
    <xf borderId="0" fillId="0" fontId="71" numFmtId="0" xfId="0" applyAlignment="1" applyFont="1">
      <alignment horizontal="left" readingOrder="0" vertical="center"/>
    </xf>
    <xf borderId="0" fillId="0" fontId="71" numFmtId="0" xfId="0" applyAlignment="1" applyFont="1">
      <alignment horizontal="center" readingOrder="0" vertical="center"/>
    </xf>
    <xf borderId="0" fillId="0" fontId="72" numFmtId="49" xfId="0" applyAlignment="1" applyFont="1" applyNumberFormat="1">
      <alignment horizontal="center" readingOrder="0" shrinkToFit="0" vertical="center" wrapText="1"/>
    </xf>
    <xf borderId="0" fillId="0" fontId="72" numFmtId="49" xfId="0" applyAlignment="1" applyFont="1" applyNumberFormat="1">
      <alignment horizontal="center" readingOrder="0" shrinkToFit="0" vertical="center" wrapText="1"/>
    </xf>
    <xf borderId="0" fillId="0" fontId="71" numFmtId="49" xfId="0" applyAlignment="1" applyFont="1" applyNumberFormat="1">
      <alignment horizontal="center" readingOrder="0" shrinkToFit="0" vertical="center" wrapText="1"/>
    </xf>
    <xf borderId="0" fillId="0" fontId="72" numFmtId="1" xfId="0" applyAlignment="1" applyFont="1" applyNumberFormat="1">
      <alignment horizontal="center" readingOrder="0" shrinkToFit="0" vertical="center" wrapText="1"/>
    </xf>
    <xf borderId="0" fillId="0" fontId="72" numFmtId="3" xfId="0" applyAlignment="1" applyFont="1" applyNumberFormat="1">
      <alignment horizontal="center" readingOrder="0" shrinkToFit="0" vertical="center" wrapText="1"/>
    </xf>
    <xf borderId="0" fillId="0" fontId="73" numFmtId="3" xfId="0" applyAlignment="1" applyFont="1" applyNumberFormat="1">
      <alignment horizontal="center" readingOrder="0" shrinkToFit="0" vertical="center" wrapText="1"/>
    </xf>
    <xf borderId="0" fillId="0" fontId="72" numFmtId="0" xfId="0" applyAlignment="1" applyFont="1">
      <alignment horizontal="center" readingOrder="0" vertical="center"/>
    </xf>
    <xf borderId="0" fillId="0" fontId="72" numFmtId="4" xfId="0" applyAlignment="1" applyFont="1" applyNumberFormat="1">
      <alignment horizontal="left" readingOrder="0" shrinkToFit="0" vertical="center" wrapText="1"/>
    </xf>
    <xf borderId="0" fillId="19" fontId="74" numFmtId="49" xfId="0" applyAlignment="1" applyFill="1" applyFont="1" applyNumberFormat="1">
      <alignment horizontal="right" readingOrder="0" shrinkToFit="0" wrapText="0"/>
    </xf>
    <xf borderId="0" fillId="19" fontId="74" numFmtId="49" xfId="0" applyAlignment="1" applyFont="1" applyNumberFormat="1">
      <alignment horizontal="center" readingOrder="0" shrinkToFit="0" wrapText="1"/>
    </xf>
    <xf borderId="0" fillId="0" fontId="72" numFmtId="4" xfId="0" applyAlignment="1" applyFont="1" applyNumberFormat="1">
      <alignment horizontal="center" readingOrder="0" shrinkToFit="0" vertical="center" wrapText="1"/>
    </xf>
    <xf borderId="0" fillId="0" fontId="75" numFmtId="174" xfId="0" applyAlignment="1" applyFont="1" applyNumberFormat="1">
      <alignment horizontal="center" readingOrder="0" shrinkToFit="0" vertical="center" wrapText="1"/>
    </xf>
    <xf borderId="0" fillId="0" fontId="76" numFmtId="0" xfId="0" applyAlignment="1" applyFont="1">
      <alignment horizontal="center" readingOrder="0" vertical="center"/>
    </xf>
    <xf borderId="0" fillId="0" fontId="72" numFmtId="174" xfId="0" applyAlignment="1" applyFont="1" applyNumberFormat="1">
      <alignment horizontal="center" readingOrder="0" shrinkToFit="0" vertical="center" wrapText="1"/>
    </xf>
    <xf borderId="0" fillId="0" fontId="77" numFmtId="0" xfId="0" applyAlignment="1" applyFont="1">
      <alignment vertical="bottom"/>
    </xf>
    <xf borderId="0" fillId="0" fontId="72" numFmtId="174" xfId="0" applyAlignment="1" applyFont="1" applyNumberFormat="1">
      <alignment horizontal="center" readingOrder="0" shrinkToFit="0" vertical="center" wrapText="1"/>
    </xf>
    <xf borderId="0" fillId="0" fontId="71" numFmtId="0" xfId="0" applyAlignment="1" applyFont="1">
      <alignment horizontal="center" readingOrder="0" shrinkToFit="0" vertical="center" wrapText="0"/>
    </xf>
    <xf borderId="0" fillId="0" fontId="72" numFmtId="49" xfId="0" applyAlignment="1" applyFont="1" applyNumberFormat="1">
      <alignment horizontal="center" readingOrder="0" shrinkToFit="0" vertical="center" wrapText="1"/>
    </xf>
    <xf borderId="0" fillId="0" fontId="72" numFmtId="49" xfId="0" applyAlignment="1" applyFont="1" applyNumberFormat="1">
      <alignment horizontal="center" readingOrder="0" shrinkToFit="0" vertical="center" wrapText="1"/>
    </xf>
    <xf borderId="0" fillId="0" fontId="71" numFmtId="49" xfId="0" applyAlignment="1" applyFont="1" applyNumberFormat="1">
      <alignment horizontal="center" readingOrder="0" shrinkToFit="0" vertical="center" wrapText="1"/>
    </xf>
    <xf borderId="0" fillId="0" fontId="72" numFmtId="1" xfId="0" applyAlignment="1" applyFont="1" applyNumberFormat="1">
      <alignment horizontal="center" readingOrder="0" shrinkToFit="0" vertical="center" wrapText="1"/>
    </xf>
    <xf borderId="0" fillId="0" fontId="72" numFmtId="3" xfId="0" applyAlignment="1" applyFont="1" applyNumberFormat="1">
      <alignment horizontal="center" readingOrder="0" shrinkToFit="0" vertical="center" wrapText="1"/>
    </xf>
    <xf borderId="0" fillId="0" fontId="73" numFmtId="3" xfId="0" applyAlignment="1" applyFont="1" applyNumberFormat="1">
      <alignment horizontal="center" readingOrder="0" shrinkToFit="0" vertical="center" wrapText="1"/>
    </xf>
    <xf borderId="0" fillId="0" fontId="72" numFmtId="0" xfId="0" applyAlignment="1" applyFont="1">
      <alignment horizontal="center" readingOrder="0" shrinkToFit="0" vertical="center" wrapText="0"/>
    </xf>
    <xf borderId="0" fillId="0" fontId="72" numFmtId="4" xfId="0" applyAlignment="1" applyFont="1" applyNumberFormat="1">
      <alignment horizontal="left" readingOrder="0" shrinkToFit="0" vertical="center" wrapText="1"/>
    </xf>
    <xf borderId="12" fillId="19" fontId="74" numFmtId="49" xfId="0" applyAlignment="1" applyBorder="1" applyFont="1" applyNumberFormat="1">
      <alignment horizontal="right" readingOrder="0" shrinkToFit="0" vertical="center" wrapText="0"/>
    </xf>
    <xf borderId="12" fillId="19" fontId="74" numFmtId="49" xfId="0" applyAlignment="1" applyBorder="1" applyFont="1" applyNumberFormat="1">
      <alignment horizontal="center" readingOrder="0" shrinkToFit="0" vertical="center" wrapText="1"/>
    </xf>
    <xf borderId="0" fillId="0" fontId="72" numFmtId="4" xfId="0" applyAlignment="1" applyFont="1" applyNumberFormat="1">
      <alignment horizontal="center" readingOrder="0" shrinkToFit="0" vertical="center" wrapText="1"/>
    </xf>
    <xf borderId="0" fillId="0" fontId="71" numFmtId="175" xfId="0" applyAlignment="1" applyFont="1" applyNumberFormat="1">
      <alignment horizontal="center" readingOrder="0" shrinkToFit="0" vertical="center" wrapText="1"/>
    </xf>
    <xf borderId="0" fillId="20" fontId="71" numFmtId="0" xfId="0" applyAlignment="1" applyFill="1" applyFont="1">
      <alignment horizontal="center" readingOrder="0" shrinkToFit="0" vertical="center" wrapText="0"/>
    </xf>
    <xf borderId="0" fillId="17" fontId="9" numFmtId="49" xfId="0" applyAlignment="1" applyFont="1" applyNumberFormat="1">
      <alignment horizontal="center" readingOrder="0" shrinkToFit="0" vertical="center" wrapText="0"/>
    </xf>
    <xf borderId="0" fillId="3" fontId="71" numFmtId="49" xfId="0" applyAlignment="1" applyFont="1" applyNumberFormat="1">
      <alignment horizontal="center" readingOrder="0" shrinkToFit="0" vertical="center" wrapText="0"/>
    </xf>
    <xf borderId="0" fillId="0" fontId="1" numFmtId="49" xfId="0" applyAlignment="1" applyFont="1" applyNumberFormat="1">
      <alignment horizontal="center" shrinkToFit="0" vertical="center" wrapText="0"/>
    </xf>
    <xf borderId="0" fillId="3" fontId="1" numFmtId="0" xfId="0" applyAlignment="1" applyFont="1">
      <alignment horizontal="center" readingOrder="0" shrinkToFit="0" vertical="center" wrapText="0"/>
    </xf>
    <xf borderId="0" fillId="16" fontId="71" numFmtId="0" xfId="0" applyAlignment="1" applyFont="1">
      <alignment horizontal="center" readingOrder="0" shrinkToFit="0" vertical="center" wrapText="0"/>
    </xf>
    <xf borderId="0" fillId="0" fontId="1" numFmtId="176" xfId="0" applyAlignment="1" applyFont="1" applyNumberFormat="1">
      <alignment horizontal="center" shrinkToFit="0" vertical="center" wrapText="0"/>
    </xf>
    <xf borderId="0" fillId="13" fontId="71" numFmtId="3" xfId="0" applyAlignment="1" applyFont="1" applyNumberFormat="1">
      <alignment horizontal="center" shrinkToFit="0" vertical="center" wrapText="0"/>
    </xf>
    <xf borderId="0" fillId="0" fontId="1" numFmtId="177" xfId="0" applyAlignment="1" applyFont="1" applyNumberFormat="1">
      <alignment horizontal="center" readingOrder="0" shrinkToFit="0" vertical="center" wrapText="0"/>
    </xf>
    <xf borderId="0" fillId="0" fontId="9" numFmtId="3" xfId="0" applyAlignment="1" applyFont="1" applyNumberFormat="1">
      <alignment horizontal="center" readingOrder="0" shrinkToFit="0" vertical="center" wrapText="0"/>
    </xf>
    <xf borderId="0" fillId="0" fontId="71" numFmtId="1" xfId="0" applyAlignment="1" applyFont="1" applyNumberFormat="1">
      <alignment horizontal="center" shrinkToFit="0" vertical="center" wrapText="0"/>
    </xf>
    <xf borderId="0" fillId="0" fontId="1" numFmtId="9" xfId="0" applyAlignment="1" applyFont="1" applyNumberFormat="1">
      <alignment horizontal="center" readingOrder="0" shrinkToFit="0" vertical="center" wrapText="0"/>
    </xf>
    <xf borderId="0" fillId="0" fontId="78" numFmtId="0" xfId="0" applyAlignment="1" applyFont="1">
      <alignment horizontal="left" readingOrder="0" shrinkToFit="0" vertical="center" wrapText="0"/>
    </xf>
    <xf borderId="0" fillId="21" fontId="79" numFmtId="0" xfId="0" applyAlignment="1" applyFill="1" applyFont="1">
      <alignment horizontal="right" readingOrder="0" shrinkToFit="0" vertical="center" wrapText="0"/>
    </xf>
    <xf borderId="0" fillId="22" fontId="80" numFmtId="1" xfId="0" applyAlignment="1" applyFill="1" applyFont="1" applyNumberFormat="1">
      <alignment horizontal="center" readingOrder="0" shrinkToFit="0" vertical="center" wrapText="0"/>
    </xf>
    <xf borderId="0" fillId="5" fontId="71" numFmtId="4" xfId="0" applyAlignment="1" applyFont="1" applyNumberFormat="1">
      <alignment horizontal="center" readingOrder="0" shrinkToFit="0" vertical="center" wrapText="0"/>
    </xf>
    <xf borderId="13" fillId="0" fontId="71" numFmtId="178" xfId="0" applyAlignment="1" applyBorder="1" applyFont="1" applyNumberFormat="1">
      <alignment horizontal="center" readingOrder="0" shrinkToFit="0" vertical="center" wrapText="0"/>
    </xf>
    <xf borderId="13" fillId="0" fontId="71" numFmtId="1" xfId="0" applyAlignment="1" applyBorder="1" applyFont="1" applyNumberFormat="1">
      <alignment horizontal="center" readingOrder="0" shrinkToFit="0" vertical="center" wrapText="0"/>
    </xf>
    <xf borderId="0" fillId="0" fontId="72" numFmtId="1" xfId="0" applyAlignment="1" applyFont="1" applyNumberFormat="1">
      <alignment horizontal="center" shrinkToFit="0" vertical="center" wrapText="0"/>
    </xf>
    <xf borderId="14" fillId="0" fontId="9" numFmtId="3" xfId="0" applyAlignment="1" applyBorder="1" applyFont="1" applyNumberFormat="1">
      <alignment horizontal="center" readingOrder="0" shrinkToFit="0" vertical="center" wrapText="0"/>
    </xf>
    <xf borderId="0" fillId="0" fontId="81" numFmtId="175" xfId="0" applyAlignment="1" applyFont="1" applyNumberFormat="1">
      <alignment horizontal="center" shrinkToFit="0" vertical="center" wrapText="1"/>
    </xf>
    <xf borderId="0" fillId="23" fontId="1" numFmtId="176" xfId="0" applyAlignment="1" applyFill="1" applyFont="1" applyNumberFormat="1">
      <alignment horizontal="center" shrinkToFit="0" vertical="center" wrapText="0"/>
    </xf>
    <xf borderId="0" fillId="21" fontId="79" numFmtId="1" xfId="0" applyAlignment="1" applyFont="1" applyNumberFormat="1">
      <alignment horizontal="right" readingOrder="0" shrinkToFit="0" vertical="center" wrapText="0"/>
    </xf>
    <xf borderId="0" fillId="24" fontId="1" numFmtId="0" xfId="0" applyAlignment="1" applyFill="1" applyFont="1">
      <alignment horizontal="center" readingOrder="0" shrinkToFit="0" vertical="center" wrapText="0"/>
    </xf>
    <xf borderId="0" fillId="4" fontId="71" numFmtId="3" xfId="0" applyAlignment="1" applyFont="1" applyNumberFormat="1">
      <alignment horizontal="center" shrinkToFit="0" vertical="center" wrapText="0"/>
    </xf>
    <xf borderId="0" fillId="25" fontId="1" numFmtId="10" xfId="0" applyAlignment="1" applyFill="1" applyFont="1" applyNumberFormat="1">
      <alignment horizontal="center" readingOrder="0" shrinkToFit="0" vertical="center" wrapText="0"/>
    </xf>
    <xf borderId="0" fillId="26" fontId="1" numFmtId="0" xfId="0" applyAlignment="1" applyFill="1" applyFont="1">
      <alignment horizontal="center" readingOrder="0" shrinkToFit="0" vertical="center" wrapText="0"/>
    </xf>
    <xf borderId="0" fillId="0" fontId="1" numFmtId="1" xfId="0" applyAlignment="1" applyFont="1" applyNumberFormat="1">
      <alignment horizontal="center" shrinkToFit="0" vertical="center" wrapText="0"/>
    </xf>
    <xf borderId="0" fillId="27" fontId="1" numFmtId="10" xfId="0" applyAlignment="1" applyFill="1" applyFont="1" applyNumberFormat="1">
      <alignment horizontal="center" readingOrder="0" shrinkToFit="0" vertical="center" wrapText="0"/>
    </xf>
    <xf borderId="0" fillId="28" fontId="1" numFmtId="0" xfId="0" applyAlignment="1" applyFill="1" applyFont="1">
      <alignment horizontal="center" readingOrder="0" shrinkToFit="0" vertical="center" wrapText="0"/>
    </xf>
    <xf borderId="0" fillId="21" fontId="82" numFmtId="1" xfId="0" applyAlignment="1" applyFont="1" applyNumberFormat="1">
      <alignment horizontal="left" readingOrder="0" shrinkToFit="0" vertical="center" wrapText="0"/>
    </xf>
    <xf borderId="0" fillId="0" fontId="20" numFmtId="0" xfId="0" applyAlignment="1" applyFont="1">
      <alignment shrinkToFit="0" vertical="center" wrapText="0"/>
    </xf>
    <xf borderId="0" fillId="0" fontId="83" numFmtId="0" xfId="0" applyAlignment="1" applyFont="1">
      <alignment readingOrder="0" shrinkToFit="0" vertical="center" wrapText="0"/>
    </xf>
    <xf borderId="0" fillId="21" fontId="79" numFmtId="1" xfId="0" applyAlignment="1" applyFont="1" applyNumberFormat="1">
      <alignment horizontal="left" readingOrder="0" shrinkToFit="0" vertical="center" wrapText="0"/>
    </xf>
    <xf borderId="0" fillId="0" fontId="20" numFmtId="0" xfId="0" applyAlignment="1" applyFont="1">
      <alignment horizontal="center" shrinkToFit="0" vertical="center" wrapText="0"/>
    </xf>
    <xf borderId="0" fillId="12" fontId="79" numFmtId="1" xfId="0" applyAlignment="1" applyFont="1" applyNumberFormat="1">
      <alignment horizontal="left" readingOrder="0" shrinkToFit="0" vertical="center" wrapText="0"/>
    </xf>
    <xf borderId="0" fillId="20" fontId="71" numFmtId="49" xfId="0" applyAlignment="1" applyFont="1" applyNumberFormat="1">
      <alignment horizontal="center" readingOrder="0" shrinkToFit="0" vertical="center" wrapText="0"/>
    </xf>
    <xf borderId="0" fillId="12" fontId="79" numFmtId="0" xfId="0" applyAlignment="1" applyFont="1">
      <alignment horizontal="left" readingOrder="0" shrinkToFit="0" vertical="center" wrapText="0"/>
    </xf>
    <xf borderId="0" fillId="0" fontId="1" numFmtId="0" xfId="0" applyAlignment="1" applyFont="1">
      <alignment horizontal="left" shrinkToFit="0" vertical="center" wrapText="0"/>
    </xf>
    <xf borderId="0" fillId="0" fontId="84" numFmtId="1" xfId="0" applyAlignment="1" applyFont="1" applyNumberFormat="1">
      <alignment horizontal="right" readingOrder="0" shrinkToFit="0" vertical="top" wrapText="0"/>
    </xf>
    <xf borderId="0" fillId="22" fontId="80" numFmtId="1" xfId="0" applyAlignment="1" applyFont="1" applyNumberFormat="1">
      <alignment horizontal="center" shrinkToFit="0" vertical="center" wrapText="0"/>
    </xf>
    <xf borderId="0" fillId="0" fontId="1" numFmtId="178" xfId="0" applyAlignment="1" applyFont="1" applyNumberFormat="1">
      <alignment horizontal="center" shrinkToFit="0" vertical="center" wrapText="0"/>
    </xf>
    <xf borderId="0" fillId="9" fontId="81" numFmtId="175" xfId="0" applyAlignment="1" applyFont="1" applyNumberFormat="1">
      <alignment horizontal="center" shrinkToFit="0" vertical="center" wrapText="1"/>
    </xf>
    <xf borderId="0" fillId="9" fontId="71" numFmtId="49" xfId="0" applyAlignment="1" applyFont="1" applyNumberFormat="1">
      <alignment horizontal="center" readingOrder="0" shrinkToFit="0" vertical="center" wrapText="0"/>
    </xf>
    <xf borderId="0" fillId="9" fontId="9" numFmtId="49" xfId="0" applyAlignment="1" applyFont="1" applyNumberFormat="1">
      <alignment horizontal="center" readingOrder="0" shrinkToFit="0" vertical="center" wrapText="0"/>
    </xf>
    <xf borderId="0" fillId="9" fontId="1" numFmtId="49" xfId="0" applyAlignment="1" applyFont="1" applyNumberFormat="1">
      <alignment horizontal="center" shrinkToFit="0" vertical="center" wrapText="0"/>
    </xf>
    <xf borderId="0" fillId="9" fontId="1" numFmtId="0" xfId="0" applyAlignment="1" applyFont="1">
      <alignment horizontal="center" readingOrder="0" shrinkToFit="0" vertical="center" wrapText="0"/>
    </xf>
    <xf borderId="0" fillId="9" fontId="1" numFmtId="0" xfId="0" applyAlignment="1" applyFont="1">
      <alignment horizontal="center" shrinkToFit="0" vertical="center" wrapText="0"/>
    </xf>
    <xf borderId="0" fillId="9" fontId="1" numFmtId="177" xfId="0" applyAlignment="1" applyFont="1" applyNumberFormat="1">
      <alignment horizontal="center" readingOrder="0" shrinkToFit="0" vertical="center" wrapText="0"/>
    </xf>
    <xf borderId="0" fillId="9" fontId="1" numFmtId="1" xfId="0" applyAlignment="1" applyFont="1" applyNumberFormat="1">
      <alignment horizontal="center" shrinkToFit="0" vertical="center" wrapText="0"/>
    </xf>
    <xf borderId="0" fillId="9" fontId="1" numFmtId="9" xfId="0" applyAlignment="1" applyFont="1" applyNumberFormat="1">
      <alignment horizontal="center" readingOrder="0" shrinkToFit="0" vertical="center" wrapText="0"/>
    </xf>
    <xf borderId="0" fillId="9" fontId="1" numFmtId="1" xfId="0" applyAlignment="1" applyFont="1" applyNumberFormat="1">
      <alignment horizontal="center" readingOrder="0" shrinkToFit="0" vertical="center" wrapText="0"/>
    </xf>
    <xf borderId="0" fillId="9" fontId="1" numFmtId="0" xfId="0" applyAlignment="1" applyFont="1">
      <alignment horizontal="left" shrinkToFit="0" vertical="center" wrapText="0"/>
    </xf>
    <xf borderId="0" fillId="9" fontId="84" numFmtId="1" xfId="0" applyAlignment="1" applyFont="1" applyNumberFormat="1">
      <alignment horizontal="right" readingOrder="0" shrinkToFit="0" vertical="top" wrapText="0"/>
    </xf>
    <xf borderId="0" fillId="9" fontId="80" numFmtId="1" xfId="0" applyAlignment="1" applyFont="1" applyNumberFormat="1">
      <alignment horizontal="center" shrinkToFit="0" vertical="center" wrapText="0"/>
    </xf>
    <xf borderId="0" fillId="9" fontId="1" numFmtId="178" xfId="0" applyAlignment="1" applyFont="1" applyNumberFormat="1">
      <alignment horizontal="center" shrinkToFit="0" vertical="center" wrapText="0"/>
    </xf>
    <xf borderId="0" fillId="9" fontId="20" numFmtId="0" xfId="0" applyAlignment="1" applyFont="1">
      <alignment horizontal="center" shrinkToFit="0" vertical="center" wrapText="0"/>
    </xf>
    <xf borderId="0" fillId="9" fontId="1" numFmtId="3" xfId="0" applyAlignment="1" applyFont="1" applyNumberFormat="1">
      <alignment horizontal="center" shrinkToFit="0" vertical="center" wrapText="0"/>
    </xf>
    <xf borderId="0" fillId="0" fontId="81" numFmtId="0" xfId="0" applyAlignment="1" applyFont="1">
      <alignment horizontal="center" readingOrder="0" shrinkToFit="0" vertical="center" wrapText="1"/>
    </xf>
    <xf borderId="0" fillId="0" fontId="1" numFmtId="4" xfId="0" applyAlignment="1" applyFont="1" applyNumberFormat="1">
      <alignment horizontal="center" shrinkToFit="0" vertical="center" wrapText="0"/>
    </xf>
    <xf borderId="0" fillId="0" fontId="81" numFmtId="175" xfId="0" applyAlignment="1" applyFont="1" applyNumberFormat="1">
      <alignment horizontal="center" readingOrder="0" shrinkToFit="0" vertical="center" wrapText="1"/>
    </xf>
    <xf borderId="0" fillId="0" fontId="84" numFmtId="9" xfId="0" applyAlignment="1" applyFont="1" applyNumberFormat="1">
      <alignment horizontal="right" readingOrder="0" shrinkToFit="0" vertical="top" wrapText="0"/>
    </xf>
    <xf borderId="15" fillId="0" fontId="1" numFmtId="175" xfId="0" applyAlignment="1" applyBorder="1" applyFont="1" applyNumberFormat="1">
      <alignment horizontal="center" shrinkToFit="0" vertical="center" wrapText="0"/>
    </xf>
    <xf borderId="15" fillId="12" fontId="1" numFmtId="49" xfId="0" applyAlignment="1" applyBorder="1" applyFont="1" applyNumberFormat="1">
      <alignment horizontal="center" shrinkToFit="0" vertical="center" wrapText="0"/>
    </xf>
    <xf borderId="15" fillId="12" fontId="1" numFmtId="0" xfId="0" applyAlignment="1" applyBorder="1" applyFont="1">
      <alignment horizontal="center" shrinkToFit="0" vertical="center" wrapText="0"/>
    </xf>
    <xf borderId="15" fillId="12" fontId="1" numFmtId="49" xfId="0" applyAlignment="1" applyBorder="1" applyFont="1" applyNumberFormat="1">
      <alignment horizontal="center" shrinkToFit="0" vertical="center" wrapText="0"/>
    </xf>
    <xf borderId="15" fillId="12" fontId="1" numFmtId="1" xfId="0" applyAlignment="1" applyBorder="1" applyFont="1" applyNumberFormat="1">
      <alignment horizontal="center" shrinkToFit="0" vertical="center" wrapText="0"/>
    </xf>
    <xf borderId="15" fillId="12" fontId="1" numFmtId="9" xfId="0" applyAlignment="1" applyBorder="1" applyFont="1" applyNumberFormat="1">
      <alignment horizontal="center" readingOrder="0" shrinkToFit="0" vertical="center" wrapText="0"/>
    </xf>
    <xf borderId="15" fillId="12" fontId="1" numFmtId="0" xfId="0" applyAlignment="1" applyBorder="1" applyFont="1">
      <alignment horizontal="left" shrinkToFit="0" vertical="center" wrapText="0"/>
    </xf>
    <xf borderId="15" fillId="12" fontId="80" numFmtId="1" xfId="0" applyAlignment="1" applyBorder="1" applyFont="1" applyNumberFormat="1">
      <alignment horizontal="right" shrinkToFit="0" vertical="center" wrapText="0"/>
    </xf>
    <xf borderId="15" fillId="12" fontId="80" numFmtId="1" xfId="0" applyAlignment="1" applyBorder="1" applyFont="1" applyNumberFormat="1">
      <alignment horizontal="center" shrinkToFit="0" vertical="center" wrapText="0"/>
    </xf>
    <xf borderId="15" fillId="12" fontId="1" numFmtId="178" xfId="0" applyAlignment="1" applyBorder="1" applyFont="1" applyNumberFormat="1">
      <alignment horizontal="center" shrinkToFit="0" vertical="center" wrapText="0"/>
    </xf>
    <xf borderId="15" fillId="12" fontId="20" numFmtId="0" xfId="0" applyAlignment="1" applyBorder="1" applyFont="1">
      <alignment horizontal="center" shrinkToFit="0" vertical="center" wrapText="0"/>
    </xf>
    <xf borderId="15" fillId="12" fontId="1" numFmtId="3" xfId="0" applyAlignment="1" applyBorder="1" applyFont="1" applyNumberFormat="1">
      <alignment horizontal="center" shrinkToFit="0" vertical="center" wrapText="0"/>
    </xf>
    <xf borderId="0" fillId="12" fontId="1" numFmtId="1" xfId="0" applyAlignment="1" applyFont="1" applyNumberFormat="1">
      <alignment horizontal="center" shrinkToFit="0" vertical="center" wrapText="0"/>
    </xf>
    <xf borderId="0" fillId="0" fontId="1" numFmtId="49" xfId="0" applyAlignment="1" applyFont="1" applyNumberForma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1" numFmtId="179" xfId="0" applyAlignment="1" applyFont="1" applyNumberFormat="1">
      <alignment horizontal="center" readingOrder="0" shrinkToFit="0" vertical="center" wrapText="0"/>
    </xf>
    <xf borderId="0" fillId="0" fontId="85" numFmtId="0" xfId="0" applyAlignment="1" applyFont="1">
      <alignment horizontal="center" readingOrder="0" shrinkToFit="0" vertical="center" wrapText="0"/>
    </xf>
    <xf borderId="0" fillId="0" fontId="1" numFmtId="1" xfId="0" applyAlignment="1" applyFont="1" applyNumberFormat="1">
      <alignment horizontal="center" readingOrder="0" shrinkToFit="0" vertical="center" wrapText="0"/>
    </xf>
    <xf borderId="0" fillId="0" fontId="86" numFmtId="173" xfId="0" applyAlignment="1" applyFont="1" applyNumberFormat="1">
      <alignment horizontal="center" readingOrder="0" shrinkToFit="0" vertical="center" wrapText="0"/>
    </xf>
    <xf borderId="0" fillId="0" fontId="1" numFmtId="179" xfId="0" applyAlignment="1" applyFont="1" applyNumberFormat="1">
      <alignment horizontal="center" shrinkToFit="0" vertical="center" wrapText="0"/>
    </xf>
    <xf borderId="0" fillId="0" fontId="1" numFmtId="177" xfId="0" applyAlignment="1" applyFont="1" applyNumberFormat="1">
      <alignment horizontal="center" readingOrder="0" shrinkToFit="0" vertical="center" wrapText="0"/>
    </xf>
    <xf borderId="0" fillId="0" fontId="87" numFmtId="0" xfId="0" applyAlignment="1" applyFont="1">
      <alignment horizontal="center" readingOrder="0" shrinkToFit="0" vertical="center" wrapText="0"/>
    </xf>
    <xf borderId="0" fillId="0" fontId="1" numFmtId="1" xfId="0" applyAlignment="1" applyFont="1" applyNumberFormat="1">
      <alignment horizontal="center" shrinkToFit="0" vertical="center" wrapText="0"/>
    </xf>
    <xf borderId="0" fillId="0" fontId="88" numFmtId="49" xfId="0" applyAlignment="1" applyFont="1" applyNumberFormat="1">
      <alignment horizontal="center" readingOrder="0" shrinkToFit="0" vertical="center" wrapText="0"/>
    </xf>
    <xf borderId="0" fillId="0" fontId="88" numFmtId="0" xfId="0" applyAlignment="1" applyFont="1">
      <alignment horizontal="center" readingOrder="0" shrinkToFit="0" vertical="center" wrapText="0"/>
    </xf>
    <xf borderId="0" fillId="0" fontId="71" numFmtId="175" xfId="0" applyAlignment="1" applyFont="1" applyNumberFormat="1">
      <alignment horizontal="right" readingOrder="0" shrinkToFit="0" vertical="center" wrapText="1"/>
    </xf>
    <xf borderId="16" fillId="0" fontId="1" numFmtId="1" xfId="0" applyAlignment="1" applyBorder="1" applyFont="1" applyNumberFormat="1">
      <alignment readingOrder="0" shrinkToFit="0" vertical="center" wrapText="0"/>
    </xf>
    <xf borderId="16" fillId="0" fontId="1" numFmtId="0" xfId="0" applyAlignment="1" applyBorder="1" applyFont="1">
      <alignment horizontal="center" readingOrder="0" shrinkToFit="0" vertical="center" wrapText="0"/>
    </xf>
    <xf borderId="0" fillId="27" fontId="1" numFmtId="3" xfId="0" applyAlignment="1" applyFont="1" applyNumberFormat="1">
      <alignment horizontal="center" readingOrder="0" shrinkToFit="0" vertical="center" wrapText="0"/>
    </xf>
    <xf borderId="0" fillId="0" fontId="1" numFmtId="3" xfId="0" applyAlignment="1" applyFont="1" applyNumberFormat="1">
      <alignment horizontal="center" readingOrder="0" shrinkToFit="0" vertical="center" wrapText="0"/>
    </xf>
    <xf borderId="0" fillId="0" fontId="12" numFmtId="175" xfId="0" applyAlignment="1" applyFont="1" applyNumberFormat="1">
      <alignment horizontal="right" readingOrder="0" shrinkToFit="0" vertical="center" wrapText="1"/>
    </xf>
    <xf borderId="0" fillId="0" fontId="12" numFmtId="0" xfId="0" applyAlignment="1" applyFont="1">
      <alignment horizontal="right" readingOrder="0" shrinkToFit="0" vertical="center" wrapText="1"/>
    </xf>
    <xf borderId="16" fillId="27" fontId="1" numFmtId="3" xfId="0" applyAlignment="1" applyBorder="1" applyFont="1" applyNumberFormat="1">
      <alignment horizontal="center" readingOrder="0" shrinkToFit="0" vertical="center" wrapText="0"/>
    </xf>
    <xf borderId="16" fillId="0" fontId="1" numFmtId="3" xfId="0" applyAlignment="1" applyBorder="1" applyFont="1" applyNumberFormat="1">
      <alignment horizontal="center" readingOrder="0" shrinkToFit="0" vertical="center" wrapText="0"/>
    </xf>
    <xf borderId="16" fillId="0" fontId="1" numFmtId="3" xfId="0" applyAlignment="1" applyBorder="1" applyFont="1" applyNumberFormat="1">
      <alignment horizontal="center" shrinkToFit="0" vertical="center" wrapText="0"/>
    </xf>
    <xf borderId="16" fillId="0" fontId="1" numFmtId="0" xfId="0" applyAlignment="1" applyBorder="1" applyFont="1">
      <alignment horizontal="center" shrinkToFit="0" vertical="center" wrapText="0"/>
    </xf>
    <xf borderId="0" fillId="9" fontId="14" numFmtId="0" xfId="0" applyAlignment="1" applyFont="1">
      <alignment horizontal="right" readingOrder="0" shrinkToFit="0" vertical="center" wrapText="0"/>
    </xf>
    <xf borderId="16" fillId="9" fontId="14" numFmtId="1" xfId="0" applyAlignment="1" applyBorder="1" applyFont="1" applyNumberFormat="1">
      <alignment shrinkToFit="0" vertical="center" wrapText="0"/>
    </xf>
    <xf borderId="16" fillId="9" fontId="14" numFmtId="0" xfId="0" applyAlignment="1" applyBorder="1" applyFont="1">
      <alignment horizontal="center" shrinkToFit="0" vertical="center" wrapText="0"/>
    </xf>
    <xf borderId="0" fillId="9" fontId="14" numFmtId="0" xfId="0" applyAlignment="1" applyFont="1">
      <alignment horizontal="center" shrinkToFit="0" vertical="center" wrapText="0"/>
    </xf>
    <xf borderId="0" fillId="0" fontId="14" numFmtId="0" xfId="0" applyAlignment="1" applyFont="1">
      <alignment horizontal="center" shrinkToFit="0" vertical="center" wrapText="0"/>
    </xf>
    <xf borderId="0" fillId="29" fontId="14" numFmtId="0" xfId="0" applyAlignment="1" applyFill="1" applyFont="1">
      <alignment horizontal="right" readingOrder="0" shrinkToFit="0" vertical="center" wrapText="0"/>
    </xf>
    <xf borderId="16" fillId="29" fontId="14" numFmtId="1" xfId="0" applyAlignment="1" applyBorder="1" applyFont="1" applyNumberFormat="1">
      <alignment shrinkToFit="0" vertical="center" wrapText="0"/>
    </xf>
    <xf borderId="16" fillId="29" fontId="14" numFmtId="0" xfId="0" applyAlignment="1" applyBorder="1" applyFont="1">
      <alignment horizontal="center" shrinkToFit="0" vertical="center" wrapText="0"/>
    </xf>
    <xf borderId="0" fillId="29" fontId="14" numFmtId="1" xfId="0" applyAlignment="1" applyFont="1" applyNumberFormat="1">
      <alignment horizontal="center" shrinkToFit="0" vertical="center" wrapText="0"/>
    </xf>
    <xf borderId="0" fillId="0" fontId="14" numFmtId="0" xfId="0" applyAlignment="1" applyFont="1">
      <alignment horizontal="right" readingOrder="0" shrinkToFit="0" vertical="center" wrapText="0"/>
    </xf>
    <xf borderId="0" fillId="0" fontId="14" numFmtId="1" xfId="0" applyAlignment="1" applyFont="1" applyNumberFormat="1">
      <alignment horizontal="center" shrinkToFit="0" vertical="center" wrapText="0"/>
    </xf>
    <xf borderId="0" fillId="0" fontId="71" numFmtId="49" xfId="0" applyAlignment="1" applyFont="1" applyNumberFormat="1">
      <alignment horizontal="center" readingOrder="0" shrinkToFit="0" vertical="center" wrapText="0"/>
    </xf>
    <xf borderId="0" fillId="0" fontId="89" numFmtId="49" xfId="0" applyAlignment="1" applyFont="1" applyNumberFormat="1">
      <alignment horizontal="left" readingOrder="0" shrinkToFit="0" vertical="center" wrapText="1"/>
    </xf>
    <xf borderId="0" fillId="19" fontId="90" numFmtId="49" xfId="0" applyAlignment="1" applyFont="1" applyNumberFormat="1">
      <alignment horizontal="left" readingOrder="0" shrinkToFit="0" vertical="center" wrapText="1"/>
    </xf>
    <xf borderId="0" fillId="0" fontId="89" numFmtId="4" xfId="0" applyAlignment="1" applyFont="1" applyNumberFormat="1">
      <alignment horizontal="left" readingOrder="0" shrinkToFit="0" vertical="center" wrapText="1"/>
    </xf>
    <xf borderId="0" fillId="19" fontId="91" numFmtId="49" xfId="0" applyAlignment="1" applyFont="1" applyNumberFormat="1">
      <alignment horizontal="center" readingOrder="0" shrinkToFit="0" vertical="center" wrapText="1"/>
    </xf>
    <xf borderId="0" fillId="0" fontId="72" numFmtId="49" xfId="0" applyAlignment="1" applyFont="1" applyNumberFormat="1">
      <alignment horizontal="left" readingOrder="0" shrinkToFit="0" vertical="center" wrapText="0"/>
    </xf>
    <xf borderId="0" fillId="0" fontId="89" numFmtId="49" xfId="0" applyAlignment="1" applyFont="1" applyNumberFormat="1">
      <alignment horizontal="center" readingOrder="0" shrinkToFit="0" vertical="center" wrapText="1"/>
    </xf>
    <xf borderId="0" fillId="0" fontId="9" numFmtId="49" xfId="0" applyAlignment="1" applyFont="1" applyNumberFormat="1">
      <alignment readingOrder="0" shrinkToFit="0" vertical="center" wrapText="0"/>
    </xf>
    <xf borderId="0" fillId="24" fontId="9" numFmtId="49" xfId="0" applyAlignment="1" applyFont="1" applyNumberFormat="1">
      <alignment readingOrder="0" shrinkToFit="0" vertical="center" wrapText="0"/>
    </xf>
    <xf borderId="0" fillId="30" fontId="71" numFmtId="49" xfId="0" applyAlignment="1" applyFill="1" applyFont="1" applyNumberFormat="1">
      <alignment horizontal="center" readingOrder="0" shrinkToFit="0" vertical="center" wrapText="0"/>
    </xf>
    <xf borderId="0" fillId="30" fontId="71" numFmtId="0" xfId="0" applyAlignment="1" applyFont="1">
      <alignment horizontal="center" readingOrder="0" shrinkToFit="0" vertical="center" wrapText="0"/>
    </xf>
    <xf borderId="0" fillId="12" fontId="71" numFmtId="3" xfId="0" applyAlignment="1" applyFont="1" applyNumberFormat="1">
      <alignment horizontal="center" shrinkToFit="0" vertical="center" wrapText="0"/>
    </xf>
    <xf borderId="0" fillId="28" fontId="1" numFmtId="0" xfId="0" applyAlignment="1" applyFont="1">
      <alignment horizontal="center" readingOrder="0" shrinkToFit="0" vertical="center" wrapText="0"/>
    </xf>
    <xf borderId="0" fillId="0" fontId="10" numFmtId="0" xfId="0" applyAlignment="1" applyFont="1">
      <alignment horizontal="left" readingOrder="0" shrinkToFit="0" vertical="center" wrapText="0"/>
    </xf>
    <xf borderId="0" fillId="22" fontId="92" numFmtId="1" xfId="0" applyAlignment="1" applyFont="1" applyNumberFormat="1">
      <alignment horizontal="left" readingOrder="0" shrinkToFit="0" vertical="center" wrapText="0"/>
    </xf>
    <xf borderId="0" fillId="0" fontId="10" numFmtId="3" xfId="0" applyAlignment="1" applyFont="1" applyNumberFormat="1">
      <alignment readingOrder="0" shrinkToFit="0" vertical="center" wrapText="0"/>
    </xf>
    <xf borderId="0" fillId="0" fontId="9" numFmtId="3" xfId="0" applyAlignment="1" applyFont="1" applyNumberFormat="1">
      <alignment horizontal="center" readingOrder="0" shrinkToFit="0" vertical="center" wrapText="0"/>
    </xf>
    <xf borderId="0" fillId="0" fontId="1" numFmtId="180" xfId="0" applyAlignment="1" applyFont="1" applyNumberFormat="1">
      <alignment readingOrder="0" shrinkToFit="0" vertical="center" wrapText="0"/>
    </xf>
    <xf borderId="0" fillId="0" fontId="71" numFmtId="1" xfId="0" applyAlignment="1" applyFont="1" applyNumberFormat="1">
      <alignment horizontal="center" shrinkToFit="0" vertical="center" wrapText="0"/>
    </xf>
    <xf borderId="0" fillId="12" fontId="93" numFmtId="180" xfId="0" applyAlignment="1" applyFont="1" applyNumberFormat="1">
      <alignment horizontal="center" shrinkToFit="0" vertical="center" wrapText="0"/>
    </xf>
    <xf borderId="0" fillId="0" fontId="71" numFmtId="1" xfId="0" applyAlignment="1" applyFont="1" applyNumberFormat="1">
      <alignment horizontal="center" readingOrder="0" shrinkToFit="0" vertical="center" wrapText="0"/>
    </xf>
    <xf borderId="17" fillId="24" fontId="94" numFmtId="1" xfId="0" applyAlignment="1" applyBorder="1" applyFont="1" applyNumberFormat="1">
      <alignment horizontal="center" readingOrder="0" shrinkToFit="0" vertical="center" wrapText="0"/>
    </xf>
    <xf borderId="0" fillId="12" fontId="93" numFmtId="176" xfId="0" applyAlignment="1" applyFont="1" applyNumberFormat="1">
      <alignment horizontal="center" shrinkToFit="0" vertical="center" wrapText="0"/>
    </xf>
    <xf borderId="0" fillId="22" fontId="80" numFmtId="1" xfId="0" applyAlignment="1" applyFont="1" applyNumberFormat="1">
      <alignment horizontal="center" readingOrder="0" shrinkToFit="0" vertical="center" wrapText="0"/>
    </xf>
    <xf borderId="0" fillId="12" fontId="93" numFmtId="176" xfId="0" applyAlignment="1" applyFont="1" applyNumberFormat="1">
      <alignment horizontal="center" readingOrder="0" shrinkToFit="0" vertical="center" wrapText="0"/>
    </xf>
    <xf borderId="0" fillId="0" fontId="71" numFmtId="179" xfId="0" applyAlignment="1" applyFont="1" applyNumberFormat="1">
      <alignment horizontal="center" readingOrder="0" shrinkToFit="0" vertical="center" wrapText="0"/>
    </xf>
    <xf borderId="0" fillId="0" fontId="71" numFmtId="178" xfId="0" applyAlignment="1" applyFont="1" applyNumberFormat="1">
      <alignment horizontal="center" readingOrder="0" shrinkToFit="0" vertical="center" wrapText="0"/>
    </xf>
    <xf borderId="0" fillId="0" fontId="1" numFmtId="9" xfId="0" applyAlignment="1" applyFont="1" applyNumberFormat="1">
      <alignment horizontal="left" readingOrder="0" shrinkToFit="0" vertical="center" wrapText="0"/>
    </xf>
    <xf borderId="0" fillId="0" fontId="10" numFmtId="0" xfId="0" applyAlignment="1" applyFont="1">
      <alignment horizontal="center" readingOrder="0" shrinkToFit="0" vertical="center" wrapText="0"/>
    </xf>
    <xf borderId="18" fillId="0" fontId="9" numFmtId="49" xfId="0" applyAlignment="1" applyBorder="1" applyFont="1" applyNumberFormat="1">
      <alignment readingOrder="0" shrinkToFit="0" vertical="center" wrapText="0"/>
    </xf>
    <xf borderId="18" fillId="0" fontId="81" numFmtId="175" xfId="0" applyAlignment="1" applyBorder="1" applyFont="1" applyNumberFormat="1">
      <alignment horizontal="center" readingOrder="0" shrinkToFit="0" vertical="center" wrapText="1"/>
    </xf>
    <xf borderId="18" fillId="24" fontId="9" numFmtId="49" xfId="0" applyAlignment="1" applyBorder="1" applyFont="1" applyNumberFormat="1">
      <alignment readingOrder="0" shrinkToFit="0" vertical="center" wrapText="0"/>
    </xf>
    <xf borderId="18" fillId="17" fontId="9" numFmtId="49" xfId="0" applyAlignment="1" applyBorder="1" applyFont="1" applyNumberFormat="1">
      <alignment horizontal="center" readingOrder="0" shrinkToFit="0" vertical="center" wrapText="0"/>
    </xf>
    <xf borderId="18" fillId="30" fontId="71" numFmtId="49" xfId="0" applyAlignment="1" applyBorder="1" applyFont="1" applyNumberFormat="1">
      <alignment horizontal="center" readingOrder="0" shrinkToFit="0" vertical="center" wrapText="0"/>
    </xf>
    <xf borderId="18" fillId="30" fontId="71" numFmtId="0" xfId="0" applyAlignment="1" applyBorder="1" applyFont="1">
      <alignment horizontal="center" readingOrder="0" shrinkToFit="0" vertical="center" wrapText="0"/>
    </xf>
    <xf borderId="18" fillId="16" fontId="71" numFmtId="0" xfId="0" applyAlignment="1" applyBorder="1" applyFont="1">
      <alignment horizontal="center" readingOrder="0" shrinkToFit="0" vertical="center" wrapText="0"/>
    </xf>
    <xf borderId="18" fillId="12" fontId="71" numFmtId="3" xfId="0" applyAlignment="1" applyBorder="1" applyFont="1" applyNumberFormat="1">
      <alignment horizontal="center" shrinkToFit="0" vertical="center" wrapText="0"/>
    </xf>
    <xf borderId="18" fillId="28" fontId="1" numFmtId="0" xfId="0" applyAlignment="1" applyBorder="1" applyFont="1">
      <alignment horizontal="center" readingOrder="0" shrinkToFit="0" vertical="center" wrapText="0"/>
    </xf>
    <xf borderId="18" fillId="0" fontId="10" numFmtId="0" xfId="0" applyAlignment="1" applyBorder="1" applyFont="1">
      <alignment horizontal="left" readingOrder="0" shrinkToFit="0" vertical="center" wrapText="0"/>
    </xf>
    <xf borderId="18" fillId="22" fontId="92" numFmtId="1" xfId="0" applyAlignment="1" applyBorder="1" applyFont="1" applyNumberFormat="1">
      <alignment horizontal="left" readingOrder="0" shrinkToFit="0" vertical="center" wrapText="0"/>
    </xf>
    <xf borderId="18" fillId="0" fontId="95" numFmtId="0" xfId="0" applyAlignment="1" applyBorder="1" applyFont="1">
      <alignment readingOrder="0" shrinkToFit="0" vertical="center" wrapText="0"/>
    </xf>
    <xf borderId="18" fillId="0" fontId="10" numFmtId="3" xfId="0" applyAlignment="1" applyBorder="1" applyFont="1" applyNumberFormat="1">
      <alignment horizontal="center" readingOrder="0" shrinkToFit="0" vertical="center" wrapText="0"/>
    </xf>
    <xf borderId="18" fillId="0" fontId="96" numFmtId="0" xfId="0" applyAlignment="1" applyBorder="1" applyFont="1">
      <alignment horizontal="left" readingOrder="0" shrinkToFit="0" vertical="center" wrapText="0"/>
    </xf>
    <xf borderId="18" fillId="0" fontId="9" numFmtId="3" xfId="0" applyAlignment="1" applyBorder="1" applyFont="1" applyNumberFormat="1">
      <alignment horizontal="center" readingOrder="0" shrinkToFit="0" vertical="center" wrapText="0"/>
    </xf>
    <xf borderId="18" fillId="4" fontId="71" numFmtId="3" xfId="0" applyAlignment="1" applyBorder="1" applyFont="1" applyNumberFormat="1">
      <alignment horizontal="center" shrinkToFit="0" vertical="center" wrapText="0"/>
    </xf>
    <xf borderId="18" fillId="0" fontId="1" numFmtId="180" xfId="0" applyAlignment="1" applyBorder="1" applyFont="1" applyNumberFormat="1">
      <alignment shrinkToFit="0" vertical="center" wrapText="0"/>
    </xf>
    <xf borderId="18" fillId="0" fontId="71" numFmtId="1" xfId="0" applyAlignment="1" applyBorder="1" applyFont="1" applyNumberFormat="1">
      <alignment horizontal="center" shrinkToFit="0" vertical="center" wrapText="0"/>
    </xf>
    <xf borderId="18" fillId="0" fontId="1" numFmtId="180" xfId="0" applyAlignment="1" applyBorder="1" applyFont="1" applyNumberFormat="1">
      <alignment horizontal="center" readingOrder="0" shrinkToFit="0" vertical="center" wrapText="0"/>
    </xf>
    <xf borderId="18" fillId="0" fontId="71" numFmtId="1" xfId="0" applyAlignment="1" applyBorder="1" applyFont="1" applyNumberFormat="1">
      <alignment horizontal="center" readingOrder="0" shrinkToFit="0" vertical="center" wrapText="0"/>
    </xf>
    <xf borderId="18" fillId="0" fontId="1" numFmtId="0" xfId="0" applyAlignment="1" applyBorder="1" applyFont="1">
      <alignment shrinkToFit="0" vertical="center" wrapText="0"/>
    </xf>
    <xf borderId="19" fillId="24" fontId="94" numFmtId="1" xfId="0" applyAlignment="1" applyBorder="1" applyFont="1" applyNumberFormat="1">
      <alignment horizontal="center" readingOrder="0" shrinkToFit="0" vertical="center" wrapText="0"/>
    </xf>
    <xf borderId="18" fillId="12" fontId="93" numFmtId="176" xfId="0" applyAlignment="1" applyBorder="1" applyFont="1" applyNumberFormat="1">
      <alignment horizontal="center" shrinkToFit="0" vertical="center" wrapText="0"/>
    </xf>
    <xf borderId="18" fillId="22" fontId="80" numFmtId="1" xfId="0" applyAlignment="1" applyBorder="1" applyFont="1" applyNumberFormat="1">
      <alignment horizontal="center" readingOrder="0" shrinkToFit="0" vertical="center" wrapText="0"/>
    </xf>
    <xf borderId="18" fillId="5" fontId="71" numFmtId="4" xfId="0" applyAlignment="1" applyBorder="1" applyFont="1" applyNumberFormat="1">
      <alignment horizontal="center" readingOrder="0" shrinkToFit="0" vertical="center" wrapText="0"/>
    </xf>
    <xf borderId="18" fillId="12" fontId="93" numFmtId="176" xfId="0" applyAlignment="1" applyBorder="1" applyFont="1" applyNumberFormat="1">
      <alignment horizontal="center" readingOrder="0" shrinkToFit="0" vertical="center" wrapText="0"/>
    </xf>
    <xf borderId="18" fillId="0" fontId="71" numFmtId="179" xfId="0" applyAlignment="1" applyBorder="1" applyFont="1" applyNumberFormat="1">
      <alignment horizontal="center" readingOrder="0" shrinkToFit="0" vertical="center" wrapText="0"/>
    </xf>
    <xf borderId="18" fillId="0" fontId="71" numFmtId="178" xfId="0" applyAlignment="1" applyBorder="1" applyFont="1" applyNumberFormat="1">
      <alignment horizontal="center" readingOrder="0" shrinkToFit="0" vertical="center" wrapText="0"/>
    </xf>
    <xf borderId="18" fillId="0" fontId="9" numFmtId="3" xfId="0" applyAlignment="1" applyBorder="1" applyFont="1" applyNumberFormat="1">
      <alignment horizontal="center" readingOrder="0" shrinkToFit="0" vertical="center" wrapText="0"/>
    </xf>
    <xf borderId="18" fillId="0" fontId="1" numFmtId="9" xfId="0" applyAlignment="1" applyBorder="1" applyFont="1" applyNumberFormat="1">
      <alignment horizontal="left" readingOrder="0" shrinkToFit="0" vertical="center" wrapText="0"/>
    </xf>
    <xf borderId="18" fillId="0" fontId="10" numFmtId="0" xfId="0" applyAlignment="1" applyBorder="1" applyFont="1">
      <alignment horizontal="center" readingOrder="0" shrinkToFit="0" vertical="center" wrapText="0"/>
    </xf>
    <xf borderId="0" fillId="0" fontId="1" numFmtId="3" xfId="0" applyAlignment="1" applyFont="1" applyNumberFormat="1">
      <alignment shrinkToFit="0" vertical="center" wrapText="0"/>
    </xf>
    <xf borderId="0" fillId="0" fontId="1" numFmtId="180" xfId="0" applyAlignment="1" applyFont="1" applyNumberFormat="1">
      <alignment shrinkToFit="0" vertical="center" wrapText="0"/>
    </xf>
    <xf borderId="0" fillId="0" fontId="1" numFmtId="180" xfId="0" applyAlignment="1" applyFont="1" applyNumberFormat="1">
      <alignment horizontal="center" readingOrder="0" shrinkToFit="0" vertical="center" wrapText="0"/>
    </xf>
    <xf borderId="20" fillId="22" fontId="94" numFmtId="1" xfId="0" applyAlignment="1" applyBorder="1" applyFont="1" applyNumberFormat="1">
      <alignment horizontal="center" readingOrder="0" shrinkToFit="0" vertical="center" wrapText="0"/>
    </xf>
    <xf borderId="0" fillId="0" fontId="10" numFmtId="3" xfId="0" applyAlignment="1" applyFont="1" applyNumberFormat="1">
      <alignment horizontal="center" readingOrder="0" shrinkToFit="0" vertical="center" wrapText="0"/>
    </xf>
    <xf borderId="17" fillId="22" fontId="94" numFmtId="1" xfId="0" applyAlignment="1" applyBorder="1" applyFont="1" applyNumberFormat="1">
      <alignment horizontal="center" readingOrder="0" shrinkToFit="0" vertical="center" wrapText="0"/>
    </xf>
    <xf borderId="0" fillId="31" fontId="29" numFmtId="49" xfId="0" applyAlignment="1" applyFill="1" applyFont="1" applyNumberFormat="1">
      <alignment readingOrder="0" shrinkToFit="0" vertical="center" wrapText="0"/>
    </xf>
    <xf borderId="0" fillId="12" fontId="93" numFmtId="0" xfId="0" applyAlignment="1" applyFont="1">
      <alignment horizontal="center" readingOrder="0" shrinkToFit="0" vertical="center" wrapText="0"/>
    </xf>
    <xf borderId="0" fillId="0" fontId="1" numFmtId="179" xfId="0" applyAlignment="1" applyFont="1" applyNumberFormat="1">
      <alignment horizontal="center" readingOrder="0" shrinkToFit="0" vertical="center" wrapText="0"/>
    </xf>
    <xf borderId="18" fillId="31" fontId="29" numFmtId="49" xfId="0" applyAlignment="1" applyBorder="1" applyFont="1" applyNumberFormat="1">
      <alignment readingOrder="0" shrinkToFit="0" vertical="center" wrapText="0"/>
    </xf>
    <xf borderId="18" fillId="0" fontId="1" numFmtId="0" xfId="0" applyAlignment="1" applyBorder="1" applyFont="1">
      <alignment readingOrder="0" shrinkToFit="0" vertical="center" wrapText="0"/>
    </xf>
    <xf borderId="19" fillId="22" fontId="94" numFmtId="1" xfId="0" applyAlignment="1" applyBorder="1" applyFont="1" applyNumberFormat="1">
      <alignment horizontal="center" readingOrder="0" shrinkToFit="0" vertical="center" wrapText="0"/>
    </xf>
    <xf borderId="18" fillId="12" fontId="93" numFmtId="0" xfId="0" applyAlignment="1" applyBorder="1" applyFont="1">
      <alignment horizontal="center" readingOrder="0" shrinkToFit="0" vertical="center" wrapText="0"/>
    </xf>
    <xf borderId="18" fillId="0" fontId="1" numFmtId="179" xfId="0" applyAlignment="1" applyBorder="1" applyFont="1" applyNumberFormat="1">
      <alignment horizontal="center" readingOrder="0" shrinkToFit="0" vertical="center" wrapText="0"/>
    </xf>
    <xf borderId="18" fillId="0" fontId="1" numFmtId="1" xfId="0" applyAlignment="1" applyBorder="1" applyFont="1" applyNumberFormat="1">
      <alignment shrinkToFit="0" vertical="center" wrapText="0"/>
    </xf>
    <xf borderId="20" fillId="24" fontId="94" numFmtId="1" xfId="0" applyAlignment="1" applyBorder="1" applyFont="1" applyNumberFormat="1">
      <alignment horizontal="center" readingOrder="0" shrinkToFit="0" vertical="center" wrapText="0"/>
    </xf>
    <xf borderId="18" fillId="0" fontId="71" numFmtId="175" xfId="0" applyAlignment="1" applyBorder="1" applyFont="1" applyNumberFormat="1">
      <alignment horizontal="center" readingOrder="0" shrinkToFit="0" vertical="center" wrapText="1"/>
    </xf>
    <xf borderId="0" fillId="13" fontId="1" numFmtId="0" xfId="0" applyAlignment="1" applyFont="1">
      <alignment horizontal="center" readingOrder="0" shrinkToFit="0" vertical="center" wrapText="0"/>
    </xf>
    <xf borderId="0" fillId="0" fontId="1" numFmtId="180" xfId="0" applyAlignment="1" applyFont="1" applyNumberFormat="1">
      <alignment horizontal="center" shrinkToFit="0" vertical="center" wrapText="0"/>
    </xf>
    <xf borderId="0" fillId="4" fontId="71" numFmtId="3" xfId="0" applyAlignment="1" applyFont="1" applyNumberFormat="1">
      <alignment horizontal="center" readingOrder="0" shrinkToFit="0" vertical="center" wrapText="0"/>
    </xf>
    <xf borderId="0" fillId="27" fontId="0" numFmtId="49" xfId="0" applyAlignment="1" applyFont="1" applyNumberFormat="1">
      <alignment readingOrder="0" shrinkToFit="0" vertical="center" wrapText="0"/>
    </xf>
    <xf borderId="0" fillId="0" fontId="71" numFmtId="0" xfId="0" applyAlignment="1" applyFont="1">
      <alignment horizontal="center" readingOrder="0" shrinkToFit="0" vertical="center" wrapText="0"/>
    </xf>
    <xf borderId="0" fillId="0" fontId="1" numFmtId="179" xfId="0" applyAlignment="1" applyFont="1" applyNumberFormat="1">
      <alignment horizontal="center" shrinkToFit="0" vertical="center" wrapText="0"/>
    </xf>
    <xf borderId="0" fillId="4" fontId="1" numFmtId="0" xfId="0" applyAlignment="1" applyFont="1">
      <alignment horizontal="center" readingOrder="0" shrinkToFit="0" vertical="center" wrapText="0"/>
    </xf>
    <xf borderId="0" fillId="32" fontId="29" numFmtId="49" xfId="0" applyAlignment="1" applyFill="1" applyFont="1" applyNumberFormat="1">
      <alignment readingOrder="0" shrinkToFit="0" vertical="center" wrapText="0"/>
    </xf>
    <xf borderId="21" fillId="22" fontId="94" numFmtId="1" xfId="0" applyAlignment="1" applyBorder="1" applyFont="1" applyNumberFormat="1">
      <alignment horizontal="center" readingOrder="0" shrinkToFit="0" vertical="center" wrapText="0"/>
    </xf>
    <xf borderId="0" fillId="22" fontId="94" numFmtId="1" xfId="0" applyAlignment="1" applyFont="1" applyNumberFormat="1">
      <alignment horizontal="center" readingOrder="0" shrinkToFit="0" vertical="center" wrapText="0"/>
    </xf>
    <xf borderId="0" fillId="33" fontId="29" numFmtId="49" xfId="0" applyAlignment="1" applyFill="1" applyFont="1" applyNumberFormat="1">
      <alignment readingOrder="0" shrinkToFit="0" vertical="center" wrapText="0"/>
    </xf>
    <xf borderId="0" fillId="0" fontId="1" numFmtId="180" xfId="0" applyAlignment="1" applyFont="1" applyNumberFormat="1">
      <alignment readingOrder="0" shrinkToFit="0" vertical="center" wrapText="0"/>
    </xf>
    <xf borderId="0" fillId="22" fontId="94" numFmtId="180" xfId="0" applyAlignment="1" applyFont="1" applyNumberFormat="1">
      <alignment horizontal="center" readingOrder="0" shrinkToFit="0" vertical="center" wrapText="0"/>
    </xf>
    <xf borderId="18" fillId="33" fontId="29" numFmtId="49" xfId="0" applyAlignment="1" applyBorder="1" applyFont="1" applyNumberFormat="1">
      <alignment readingOrder="0" shrinkToFit="0" vertical="center" wrapText="0"/>
    </xf>
    <xf borderId="18" fillId="0" fontId="1" numFmtId="3" xfId="0" applyAlignment="1" applyBorder="1" applyFont="1" applyNumberFormat="1">
      <alignment readingOrder="0" shrinkToFit="0" vertical="center" wrapText="0"/>
    </xf>
    <xf borderId="18" fillId="0" fontId="1" numFmtId="180" xfId="0" applyAlignment="1" applyBorder="1" applyFont="1" applyNumberFormat="1">
      <alignment horizontal="center" shrinkToFit="0" vertical="center" wrapText="0"/>
    </xf>
    <xf borderId="18" fillId="22" fontId="94" numFmtId="1" xfId="0" applyAlignment="1" applyBorder="1" applyFont="1" applyNumberFormat="1">
      <alignment horizontal="center" readingOrder="0" shrinkToFit="0" vertical="center" wrapText="0"/>
    </xf>
    <xf borderId="18" fillId="0" fontId="1" numFmtId="178" xfId="0" applyAlignment="1" applyBorder="1" applyFont="1" applyNumberFormat="1">
      <alignment horizontal="center" shrinkToFit="0" vertical="center" wrapText="0"/>
    </xf>
    <xf borderId="0" fillId="34" fontId="71" numFmtId="49" xfId="0" applyAlignment="1" applyFill="1" applyFont="1" applyNumberFormat="1">
      <alignment horizontal="center" readingOrder="0" shrinkToFit="0" vertical="center" wrapText="0"/>
    </xf>
    <xf borderId="0" fillId="2" fontId="80" numFmtId="1" xfId="0" applyAlignment="1" applyFont="1" applyNumberFormat="1">
      <alignment horizontal="center" readingOrder="0" shrinkToFit="0" vertical="center" wrapText="0"/>
    </xf>
    <xf borderId="0" fillId="0" fontId="97" numFmtId="3" xfId="0" applyAlignment="1" applyFont="1" applyNumberFormat="1">
      <alignment horizontal="center" readingOrder="0" shrinkToFit="0" vertical="center" wrapText="0"/>
    </xf>
    <xf borderId="0" fillId="4" fontId="0" numFmtId="49" xfId="0" applyAlignment="1" applyFont="1" applyNumberFormat="1">
      <alignment readingOrder="0" shrinkToFit="0" vertical="center" wrapText="0"/>
    </xf>
    <xf borderId="20" fillId="22" fontId="3" numFmtId="3" xfId="0" applyAlignment="1" applyBorder="1" applyFont="1" applyNumberFormat="1">
      <alignment shrinkToFit="0" vertical="center" wrapText="0"/>
    </xf>
    <xf borderId="20" fillId="22" fontId="3" numFmtId="49" xfId="0" applyAlignment="1" applyBorder="1" applyFont="1" applyNumberFormat="1">
      <alignment horizontal="center" shrinkToFit="0" vertical="center" wrapText="0"/>
    </xf>
    <xf borderId="20" fillId="22" fontId="3" numFmtId="49" xfId="0" applyAlignment="1" applyBorder="1" applyFont="1" applyNumberFormat="1">
      <alignment shrinkToFit="0" vertical="center" wrapText="0"/>
    </xf>
    <xf borderId="20" fillId="22" fontId="3" numFmtId="180" xfId="0" applyAlignment="1" applyBorder="1" applyFont="1" applyNumberFormat="1">
      <alignment shrinkToFit="0" vertical="center" wrapText="0"/>
    </xf>
    <xf borderId="20" fillId="22" fontId="3" numFmtId="180" xfId="0" applyAlignment="1" applyBorder="1" applyFont="1" applyNumberFormat="1">
      <alignment horizontal="center" shrinkToFit="0" vertical="center" wrapText="0"/>
    </xf>
    <xf borderId="20" fillId="22" fontId="3" numFmtId="179" xfId="0" applyAlignment="1" applyBorder="1" applyFont="1" applyNumberFormat="1">
      <alignment horizontal="center" readingOrder="0" shrinkToFit="0" vertical="center" wrapText="0"/>
    </xf>
    <xf borderId="20" fillId="22" fontId="3" numFmtId="178" xfId="0" applyAlignment="1" applyBorder="1" applyFont="1" applyNumberFormat="1">
      <alignment horizontal="center" shrinkToFit="0" vertical="center" wrapText="0"/>
    </xf>
    <xf borderId="20" fillId="22" fontId="3" numFmtId="179" xfId="0" applyAlignment="1" applyBorder="1" applyFont="1" applyNumberFormat="1">
      <alignment horizontal="center" shrinkToFit="0" vertical="center" wrapText="0"/>
    </xf>
    <xf borderId="0" fillId="22" fontId="3" numFmtId="49" xfId="0" applyAlignment="1" applyFont="1" applyNumberFormat="1">
      <alignment shrinkToFit="0" vertical="center" wrapText="0"/>
    </xf>
    <xf borderId="17" fillId="12" fontId="3" numFmtId="3" xfId="0" applyAlignment="1" applyBorder="1" applyFont="1" applyNumberFormat="1">
      <alignment shrinkToFit="0" vertical="center" wrapText="0"/>
    </xf>
    <xf borderId="17" fillId="12" fontId="3" numFmtId="0" xfId="0" applyAlignment="1" applyBorder="1" applyFont="1">
      <alignment horizontal="center" shrinkToFit="0" vertical="center" wrapText="0"/>
    </xf>
    <xf borderId="17" fillId="12" fontId="3" numFmtId="0" xfId="0" applyAlignment="1" applyBorder="1" applyFont="1">
      <alignment shrinkToFit="0" vertical="center" wrapText="0"/>
    </xf>
    <xf borderId="17" fillId="12" fontId="3" numFmtId="0" xfId="0" applyAlignment="1" applyBorder="1" applyFont="1">
      <alignment shrinkToFit="0" vertical="center" wrapText="0"/>
    </xf>
    <xf borderId="17" fillId="12" fontId="3" numFmtId="180" xfId="0" applyAlignment="1" applyBorder="1" applyFont="1" applyNumberFormat="1">
      <alignment shrinkToFit="0" vertical="center" wrapText="0"/>
    </xf>
    <xf borderId="17" fillId="12" fontId="3" numFmtId="180" xfId="0" applyAlignment="1" applyBorder="1" applyFont="1" applyNumberFormat="1">
      <alignment horizontal="center" shrinkToFit="0" vertical="center" wrapText="0"/>
    </xf>
    <xf borderId="17" fillId="12" fontId="3" numFmtId="179" xfId="0" applyAlignment="1" applyBorder="1" applyFont="1" applyNumberFormat="1">
      <alignment horizontal="center" readingOrder="0" shrinkToFit="0" vertical="center" wrapText="0"/>
    </xf>
    <xf borderId="17" fillId="12" fontId="3" numFmtId="178" xfId="0" applyAlignment="1" applyBorder="1" applyFont="1" applyNumberFormat="1">
      <alignment horizontal="center" shrinkToFit="0" vertical="center" wrapText="0"/>
    </xf>
    <xf borderId="0" fillId="12" fontId="3" numFmtId="0" xfId="0" applyAlignment="1" applyFont="1">
      <alignment shrinkToFit="0" vertical="center" wrapText="0"/>
    </xf>
    <xf borderId="21" fillId="22" fontId="3" numFmtId="3" xfId="0" applyAlignment="1" applyBorder="1" applyFont="1" applyNumberFormat="1">
      <alignment shrinkToFit="0" vertical="center" wrapText="0"/>
    </xf>
    <xf borderId="21" fillId="22" fontId="3" numFmtId="0" xfId="0" applyAlignment="1" applyBorder="1" applyFont="1">
      <alignment horizontal="center" shrinkToFit="0" vertical="center" wrapText="0"/>
    </xf>
    <xf borderId="21" fillId="22" fontId="3" numFmtId="0" xfId="0" applyAlignment="1" applyBorder="1" applyFont="1">
      <alignment shrinkToFit="0" vertical="center" wrapText="0"/>
    </xf>
    <xf borderId="21" fillId="22" fontId="3" numFmtId="0" xfId="0" applyAlignment="1" applyBorder="1" applyFont="1">
      <alignment shrinkToFit="0" vertical="center" wrapText="0"/>
    </xf>
    <xf borderId="21" fillId="22" fontId="3" numFmtId="180" xfId="0" applyAlignment="1" applyBorder="1" applyFont="1" applyNumberFormat="1">
      <alignment shrinkToFit="0" vertical="center" wrapText="0"/>
    </xf>
    <xf borderId="21" fillId="22" fontId="3" numFmtId="180" xfId="0" applyAlignment="1" applyBorder="1" applyFont="1" applyNumberFormat="1">
      <alignment horizontal="center" shrinkToFit="0" vertical="center" wrapText="0"/>
    </xf>
    <xf borderId="21" fillId="22" fontId="3" numFmtId="179" xfId="0" applyAlignment="1" applyBorder="1" applyFont="1" applyNumberFormat="1">
      <alignment horizontal="center" readingOrder="0" shrinkToFit="0" vertical="center" wrapText="0"/>
    </xf>
    <xf borderId="21" fillId="22" fontId="3" numFmtId="178" xfId="0" applyAlignment="1" applyBorder="1" applyFont="1" applyNumberFormat="1">
      <alignment horizontal="center" shrinkToFit="0" vertical="center" wrapText="0"/>
    </xf>
    <xf borderId="22" fillId="22" fontId="3" numFmtId="179" xfId="0" applyAlignment="1" applyBorder="1" applyFont="1" applyNumberFormat="1">
      <alignment horizontal="center" shrinkToFit="0" vertical="center" wrapText="0"/>
    </xf>
    <xf borderId="0" fillId="22" fontId="3" numFmtId="0" xfId="0" applyAlignment="1" applyFont="1">
      <alignment shrinkToFit="0" vertical="center" wrapText="0"/>
    </xf>
    <xf borderId="0" fillId="12" fontId="98" numFmtId="0" xfId="0" applyAlignment="1" applyFont="1">
      <alignment readingOrder="0" shrinkToFit="0" vertical="center" wrapText="0"/>
    </xf>
    <xf borderId="0" fillId="12" fontId="3" numFmtId="0" xfId="0" applyAlignment="1" applyFont="1">
      <alignment shrinkToFit="0" vertical="center" wrapText="0"/>
    </xf>
    <xf borderId="0" fillId="12" fontId="3" numFmtId="3" xfId="0" applyAlignment="1" applyFont="1" applyNumberFormat="1">
      <alignment shrinkToFit="0" vertical="center" wrapText="0"/>
    </xf>
    <xf borderId="0" fillId="12" fontId="3" numFmtId="180" xfId="0" applyAlignment="1" applyFont="1" applyNumberFormat="1">
      <alignment shrinkToFit="0" vertical="center" wrapText="0"/>
    </xf>
    <xf borderId="0" fillId="12" fontId="3" numFmtId="180" xfId="0" applyAlignment="1" applyFont="1" applyNumberFormat="1">
      <alignment horizontal="center" shrinkToFit="0" vertical="center" wrapText="0"/>
    </xf>
    <xf borderId="0" fillId="12" fontId="3" numFmtId="179" xfId="0" applyAlignment="1" applyFont="1" applyNumberFormat="1">
      <alignment horizontal="center" readingOrder="0" shrinkToFit="0" vertical="center" wrapText="0"/>
    </xf>
    <xf borderId="0" fillId="12" fontId="3" numFmtId="178" xfId="0" applyAlignment="1" applyFont="1" applyNumberFormat="1">
      <alignment horizontal="center" shrinkToFit="0" vertical="center" wrapText="0"/>
    </xf>
    <xf borderId="0" fillId="22" fontId="3" numFmtId="179" xfId="0" applyAlignment="1" applyFont="1" applyNumberFormat="1">
      <alignment horizontal="center" shrinkToFit="0" vertical="center" wrapText="0"/>
    </xf>
    <xf borderId="0" fillId="13" fontId="71" numFmtId="3" xfId="0" applyAlignment="1" applyFont="1" applyNumberFormat="1">
      <alignment horizontal="center" readingOrder="0" shrinkToFit="0" vertical="center" wrapText="0"/>
    </xf>
    <xf borderId="18" fillId="32" fontId="29" numFmtId="49" xfId="0" applyAlignment="1" applyBorder="1" applyFont="1" applyNumberFormat="1">
      <alignment readingOrder="0" shrinkToFit="0" vertical="center" wrapText="0"/>
    </xf>
    <xf borderId="18" fillId="34" fontId="71" numFmtId="49" xfId="0" applyAlignment="1" applyBorder="1" applyFont="1" applyNumberFormat="1">
      <alignment horizontal="center" readingOrder="0" shrinkToFit="0" vertical="center" wrapText="0"/>
    </xf>
    <xf borderId="18" fillId="0" fontId="1" numFmtId="3" xfId="0" applyAlignment="1" applyBorder="1" applyFont="1" applyNumberFormat="1">
      <alignment shrinkToFit="0" vertical="center" wrapText="0"/>
    </xf>
    <xf borderId="18" fillId="13" fontId="71" numFmtId="3" xfId="0" applyAlignment="1" applyBorder="1" applyFont="1" applyNumberFormat="1">
      <alignment horizontal="center" readingOrder="0" shrinkToFit="0" vertical="center" wrapText="0"/>
    </xf>
    <xf borderId="18" fillId="12" fontId="3" numFmtId="0" xfId="0" applyAlignment="1" applyBorder="1" applyFont="1">
      <alignment shrinkToFit="0" vertical="center" wrapText="0"/>
    </xf>
    <xf borderId="18" fillId="2" fontId="80" numFmtId="1" xfId="0" applyAlignment="1" applyBorder="1" applyFont="1" applyNumberFormat="1">
      <alignment horizontal="center" readingOrder="0" shrinkToFit="0" vertical="center" wrapText="0"/>
    </xf>
    <xf borderId="18" fillId="0" fontId="1" numFmtId="179" xfId="0" applyAlignment="1" applyBorder="1" applyFont="1" applyNumberFormat="1">
      <alignment horizontal="center" shrinkToFit="0" vertical="center" wrapText="0"/>
    </xf>
    <xf borderId="17" fillId="13" fontId="80" numFmtId="3" xfId="0" applyAlignment="1" applyBorder="1" applyFont="1" applyNumberFormat="1">
      <alignment horizontal="center" shrinkToFit="0" vertical="center" wrapText="0"/>
    </xf>
    <xf borderId="0" fillId="0" fontId="1" numFmtId="179" xfId="0" applyAlignment="1" applyFont="1" applyNumberFormat="1">
      <alignment shrinkToFit="0" vertical="center" wrapText="0"/>
    </xf>
    <xf borderId="18" fillId="4" fontId="0" numFmtId="49" xfId="0" applyAlignment="1" applyBorder="1" applyFont="1" applyNumberFormat="1">
      <alignment readingOrder="0" shrinkToFit="0" vertical="center" wrapText="0"/>
    </xf>
    <xf borderId="19" fillId="13" fontId="80" numFmtId="3" xfId="0" applyAlignment="1" applyBorder="1" applyFont="1" applyNumberFormat="1">
      <alignment horizontal="center" shrinkToFit="0" vertical="center" wrapText="0"/>
    </xf>
    <xf borderId="18" fillId="0" fontId="1" numFmtId="179" xfId="0" applyAlignment="1" applyBorder="1" applyFont="1" applyNumberFormat="1">
      <alignment shrinkToFit="0" vertical="center" wrapText="0"/>
    </xf>
    <xf borderId="0" fillId="4" fontId="9" numFmtId="3" xfId="0" applyAlignment="1" applyFont="1" applyNumberFormat="1">
      <alignment horizontal="center" readingOrder="0" shrinkToFit="0" vertical="center" wrapText="0"/>
    </xf>
    <xf borderId="0" fillId="0" fontId="1" numFmtId="177" xfId="0" applyAlignment="1" applyFont="1" applyNumberFormat="1">
      <alignment readingOrder="0" shrinkToFit="0" vertical="center" wrapText="0"/>
    </xf>
    <xf borderId="0" fillId="13" fontId="9" numFmtId="0" xfId="0" applyAlignment="1" applyFont="1">
      <alignment horizontal="center" readingOrder="0" shrinkToFit="0" vertical="center" wrapText="0"/>
    </xf>
    <xf borderId="18" fillId="13" fontId="9" numFmtId="0" xfId="0" applyAlignment="1" applyBorder="1" applyFont="1">
      <alignment horizontal="center" readingOrder="0" shrinkToFit="0" vertical="center" wrapText="0"/>
    </xf>
    <xf borderId="18" fillId="0" fontId="1" numFmtId="177" xfId="0" applyAlignment="1" applyBorder="1" applyFont="1" applyNumberFormat="1">
      <alignment readingOrder="0" shrinkToFit="0" vertical="center" wrapText="0"/>
    </xf>
    <xf borderId="0" fillId="0" fontId="1" numFmtId="49" xfId="0" applyAlignment="1" applyFont="1" applyNumberFormat="1">
      <alignment shrinkToFit="0" vertical="center" wrapText="0"/>
    </xf>
    <xf borderId="0" fillId="0" fontId="1" numFmtId="49" xfId="0" applyAlignment="1" applyFont="1" applyNumberFormat="1">
      <alignment shrinkToFit="0" vertical="center" wrapText="0"/>
    </xf>
    <xf borderId="18" fillId="0" fontId="1" numFmtId="49" xfId="0" applyAlignment="1" applyBorder="1" applyFont="1" applyNumberFormat="1">
      <alignment shrinkToFit="0" vertical="center" wrapText="0"/>
    </xf>
    <xf borderId="18" fillId="0" fontId="1" numFmtId="49" xfId="0" applyAlignment="1" applyBorder="1" applyFont="1" applyNumberFormat="1">
      <alignment shrinkToFit="0" vertical="center" wrapText="0"/>
    </xf>
    <xf borderId="18" fillId="4" fontId="9" numFmtId="3" xfId="0" applyAlignment="1" applyBorder="1" applyFont="1" applyNumberFormat="1">
      <alignment horizontal="center" readingOrder="0" shrinkToFit="0" vertical="center" wrapText="0"/>
    </xf>
    <xf borderId="0" fillId="0" fontId="1" numFmtId="175" xfId="0" applyAlignment="1" applyFont="1" applyNumberFormat="1">
      <alignment horizontal="center" shrinkToFit="0" vertical="center" wrapText="0"/>
    </xf>
    <xf borderId="0" fillId="0" fontId="1" numFmtId="179" xfId="0" applyAlignment="1" applyFont="1" applyNumberFormat="1">
      <alignment horizontal="center"/>
    </xf>
    <xf borderId="23" fillId="6" fontId="99" numFmtId="0" xfId="0" applyAlignment="1" applyBorder="1" applyFont="1">
      <alignment horizontal="center" readingOrder="0" shrinkToFit="0" vertical="center" wrapText="1"/>
    </xf>
    <xf borderId="24" fillId="6" fontId="99" numFmtId="0" xfId="0" applyAlignment="1" applyBorder="1" applyFont="1">
      <alignment horizontal="center" readingOrder="0" shrinkToFit="0" vertical="center" wrapText="1"/>
    </xf>
    <xf borderId="24" fillId="6" fontId="14" numFmtId="0" xfId="0" applyAlignment="1" applyBorder="1" applyFont="1">
      <alignment horizontal="center" vertical="center"/>
    </xf>
    <xf borderId="24" fillId="24" fontId="99" numFmtId="0" xfId="0" applyAlignment="1" applyBorder="1" applyFont="1">
      <alignment horizontal="center" readingOrder="0" shrinkToFit="0" vertical="center" wrapText="1"/>
    </xf>
    <xf borderId="24" fillId="6" fontId="99" numFmtId="0" xfId="0" applyAlignment="1" applyBorder="1" applyFont="1">
      <alignment horizontal="center" readingOrder="0" vertical="center"/>
    </xf>
    <xf borderId="25" fillId="6" fontId="99" numFmtId="0" xfId="0" applyAlignment="1" applyBorder="1" applyFont="1">
      <alignment horizontal="center" readingOrder="0" shrinkToFit="0" vertical="center" wrapText="1"/>
    </xf>
    <xf borderId="0" fillId="0" fontId="1" numFmtId="179" xfId="0" applyAlignment="1" applyFont="1" applyNumberFormat="1">
      <alignment horizontal="center" vertical="center"/>
    </xf>
    <xf borderId="10" fillId="0" fontId="71" numFmtId="175" xfId="0" applyAlignment="1" applyBorder="1" applyFont="1" applyNumberFormat="1">
      <alignment horizontal="center" readingOrder="0" shrinkToFit="0" vertical="center" wrapText="1"/>
    </xf>
    <xf borderId="0" fillId="24" fontId="9" numFmtId="49" xfId="0" applyAlignment="1" applyFont="1" applyNumberFormat="1">
      <alignment horizontal="center" readingOrder="0" shrinkToFit="0" vertical="center" wrapText="0"/>
    </xf>
    <xf borderId="0" fillId="17" fontId="9" numFmtId="49" xfId="0" applyAlignment="1" applyFont="1" applyNumberFormat="1">
      <alignment horizontal="center" readingOrder="0" shrinkToFit="0" vertical="center" wrapText="0"/>
    </xf>
    <xf borderId="0" fillId="30" fontId="71" numFmtId="0" xfId="0" applyAlignment="1" applyFont="1">
      <alignment horizontal="center" readingOrder="0" shrinkToFit="0" vertical="center" wrapText="0"/>
    </xf>
    <xf borderId="0" fillId="13" fontId="9" numFmtId="0" xfId="0" applyAlignment="1" applyFont="1">
      <alignment horizontal="center" readingOrder="0" vertical="center"/>
    </xf>
    <xf borderId="0" fillId="12" fontId="71" numFmtId="3" xfId="0" applyAlignment="1" applyFont="1" applyNumberFormat="1">
      <alignment horizontal="center" vertical="center"/>
    </xf>
    <xf borderId="0" fillId="12" fontId="71" numFmtId="3" xfId="0" applyAlignment="1" applyFont="1" applyNumberFormat="1">
      <alignment horizontal="center" readingOrder="0" vertical="center"/>
    </xf>
    <xf borderId="0" fillId="12" fontId="71" numFmtId="0" xfId="0" applyAlignment="1" applyFont="1">
      <alignment horizontal="center" readingOrder="0" vertical="center"/>
    </xf>
    <xf borderId="0" fillId="12" fontId="71" numFmtId="180" xfId="0" applyAlignment="1" applyFont="1" applyNumberFormat="1">
      <alignment horizontal="center" readingOrder="0" vertical="center"/>
    </xf>
    <xf borderId="16" fillId="12" fontId="71" numFmtId="3" xfId="0" applyAlignment="1" applyBorder="1" applyFont="1" applyNumberFormat="1">
      <alignment horizontal="center" readingOrder="0" vertical="center"/>
    </xf>
    <xf borderId="10" fillId="0" fontId="71" numFmtId="175" xfId="0" applyAlignment="1" applyBorder="1" applyFont="1" applyNumberFormat="1">
      <alignment horizontal="center" readingOrder="0" shrinkToFit="0" vertical="center" wrapText="1"/>
    </xf>
    <xf borderId="0" fillId="24" fontId="9" numFmtId="49" xfId="0" applyAlignment="1" applyFont="1" applyNumberFormat="1">
      <alignment horizontal="center" readingOrder="0" shrinkToFit="0" vertical="center" wrapText="0"/>
    </xf>
    <xf borderId="0" fillId="17" fontId="9" numFmtId="49" xfId="0" applyAlignment="1" applyFont="1" applyNumberFormat="1">
      <alignment horizontal="center" readingOrder="0" shrinkToFit="0" vertical="center" wrapText="0"/>
    </xf>
    <xf borderId="0" fillId="30" fontId="71" numFmtId="0" xfId="0" applyAlignment="1" applyFont="1">
      <alignment horizontal="center" readingOrder="0" shrinkToFit="0" vertical="center" wrapText="0"/>
    </xf>
    <xf borderId="0" fillId="12" fontId="71" numFmtId="0" xfId="0" applyAlignment="1" applyFont="1">
      <alignment horizontal="center" readingOrder="0" vertical="center"/>
    </xf>
    <xf borderId="26" fillId="0" fontId="71" numFmtId="175" xfId="0" applyAlignment="1" applyBorder="1" applyFont="1" applyNumberFormat="1">
      <alignment horizontal="center" readingOrder="0" shrinkToFit="0" vertical="center" wrapText="1"/>
    </xf>
    <xf borderId="18" fillId="24" fontId="9" numFmtId="49" xfId="0" applyAlignment="1" applyBorder="1" applyFont="1" applyNumberFormat="1">
      <alignment horizontal="center" readingOrder="0" shrinkToFit="0" vertical="center" wrapText="0"/>
    </xf>
    <xf borderId="18" fillId="17" fontId="9" numFmtId="49" xfId="0" applyAlignment="1" applyBorder="1" applyFont="1" applyNumberFormat="1">
      <alignment horizontal="center" readingOrder="0" shrinkToFit="0" vertical="center" wrapText="0"/>
    </xf>
    <xf borderId="18" fillId="30" fontId="71" numFmtId="0" xfId="0" applyAlignment="1" applyBorder="1" applyFont="1">
      <alignment horizontal="center" readingOrder="0" shrinkToFit="0" vertical="center" wrapText="0"/>
    </xf>
    <xf borderId="18" fillId="0" fontId="1" numFmtId="0" xfId="0" applyAlignment="1" applyBorder="1" applyFont="1">
      <alignment horizontal="center" vertical="center"/>
    </xf>
    <xf borderId="18" fillId="0" fontId="20" numFmtId="0" xfId="0" applyAlignment="1" applyBorder="1" applyFont="1">
      <alignment horizontal="center" readingOrder="0" vertical="center"/>
    </xf>
    <xf borderId="18" fillId="0" fontId="20" numFmtId="1" xfId="0" applyAlignment="1" applyBorder="1" applyFont="1" applyNumberFormat="1">
      <alignment horizontal="center" readingOrder="0" vertical="center"/>
    </xf>
    <xf borderId="18" fillId="13" fontId="9" numFmtId="0" xfId="0" applyAlignment="1" applyBorder="1" applyFont="1">
      <alignment horizontal="center" readingOrder="0" vertical="center"/>
    </xf>
    <xf borderId="18" fillId="12" fontId="72" numFmtId="180" xfId="0" applyAlignment="1" applyBorder="1" applyFont="1" applyNumberFormat="1">
      <alignment horizontal="center" readingOrder="0" vertical="center"/>
    </xf>
    <xf borderId="27" fillId="0" fontId="20" numFmtId="1" xfId="0" applyAlignment="1" applyBorder="1" applyFont="1" applyNumberFormat="1">
      <alignment horizontal="center" readingOrder="0" vertical="center"/>
    </xf>
    <xf borderId="0" fillId="0" fontId="1" numFmtId="0" xfId="0" applyAlignment="1" applyFont="1">
      <alignment horizontal="center" vertical="center"/>
    </xf>
    <xf borderId="0" fillId="0" fontId="20" numFmtId="0" xfId="0" applyAlignment="1" applyFont="1">
      <alignment horizontal="center" readingOrder="0" vertical="center"/>
    </xf>
    <xf borderId="0" fillId="0" fontId="1" numFmtId="0" xfId="0" applyAlignment="1" applyFont="1">
      <alignment horizontal="center" readingOrder="0" vertical="center"/>
    </xf>
    <xf borderId="0" fillId="0" fontId="20" numFmtId="0" xfId="0" applyAlignment="1" applyFont="1">
      <alignment horizontal="center" readingOrder="0" vertical="center"/>
    </xf>
    <xf borderId="0" fillId="12" fontId="72" numFmtId="0" xfId="0" applyAlignment="1" applyFont="1">
      <alignment horizontal="center" readingOrder="0" vertical="center"/>
    </xf>
    <xf borderId="0" fillId="0" fontId="100" numFmtId="0" xfId="0" applyAlignment="1" applyFont="1">
      <alignment horizontal="center" readingOrder="0" shrinkToFit="0" vertical="center" wrapText="0"/>
    </xf>
    <xf borderId="0" fillId="0" fontId="101" numFmtId="0" xfId="0" applyAlignment="1" applyFont="1">
      <alignment readingOrder="0" shrinkToFit="0" vertical="center" wrapText="0"/>
    </xf>
    <xf borderId="0" fillId="0" fontId="1" numFmtId="0" xfId="0" applyAlignment="1" applyFont="1">
      <alignment horizontal="center" shrinkToFit="0" vertical="center" wrapText="0"/>
    </xf>
    <xf borderId="0" fillId="0" fontId="71" numFmtId="0" xfId="0" applyAlignment="1" applyFont="1">
      <alignment horizontal="center" readingOrder="0" shrinkToFit="0" vertical="center" wrapText="1"/>
    </xf>
    <xf borderId="0" fillId="24" fontId="9" numFmtId="0" xfId="0" applyAlignment="1" applyFont="1">
      <alignment horizontal="center" readingOrder="0" shrinkToFit="0" vertical="center" wrapText="0"/>
    </xf>
    <xf borderId="0" fillId="17" fontId="9" numFmtId="0" xfId="0" applyAlignment="1" applyFont="1">
      <alignment horizontal="center" readingOrder="0" shrinkToFit="0" vertical="center" wrapText="0"/>
    </xf>
    <xf borderId="0" fillId="12" fontId="9" numFmtId="0" xfId="0" applyAlignment="1" applyFont="1">
      <alignment horizontal="center" readingOrder="0" shrinkToFit="0" vertical="center" wrapText="0"/>
    </xf>
    <xf borderId="0" fillId="12" fontId="102" numFmtId="0" xfId="0" applyAlignment="1" applyFont="1">
      <alignment horizontal="center" readingOrder="0" shrinkToFit="0" vertical="center" wrapText="0"/>
    </xf>
    <xf borderId="10" fillId="0" fontId="1" numFmtId="0" xfId="0" applyAlignment="1" applyBorder="1" applyFont="1">
      <alignment horizontal="center" vertical="center"/>
    </xf>
    <xf borderId="16" fillId="0" fontId="1" numFmtId="0" xfId="0" applyAlignment="1" applyBorder="1" applyFont="1">
      <alignment horizontal="center" vertical="center"/>
    </xf>
    <xf borderId="0" fillId="0" fontId="9" numFmtId="0" xfId="0" applyAlignment="1" applyFont="1">
      <alignment horizontal="center" readingOrder="0" shrinkToFit="0" vertical="center" wrapText="0"/>
    </xf>
    <xf borderId="0" fillId="0" fontId="9" numFmtId="0" xfId="0" applyAlignment="1" applyFont="1">
      <alignment horizontal="center" readingOrder="0" shrinkToFit="0" vertical="center" wrapText="1"/>
    </xf>
    <xf borderId="10" fillId="0" fontId="71" numFmtId="175" xfId="0" applyAlignment="1" applyBorder="1" applyFont="1" applyNumberFormat="1">
      <alignment horizontal="center" readingOrder="0" shrinkToFit="0" vertical="center" wrapText="1"/>
    </xf>
    <xf borderId="0" fillId="15" fontId="1" numFmtId="0" xfId="0" applyAlignment="1" applyFont="1">
      <alignment horizontal="center" shrinkToFit="0" vertical="center" wrapText="0"/>
    </xf>
    <xf borderId="0" fillId="15" fontId="1" numFmtId="0" xfId="0" applyAlignment="1" applyFont="1">
      <alignment horizontal="center" readingOrder="0" shrinkToFit="0" vertical="center" wrapText="0"/>
    </xf>
    <xf borderId="16" fillId="15" fontId="1" numFmtId="0" xfId="0" applyAlignment="1" applyBorder="1" applyFont="1">
      <alignment horizontal="center" readingOrder="0" shrinkToFit="0" vertical="center" wrapText="0"/>
    </xf>
    <xf borderId="16" fillId="0" fontId="71" numFmtId="175" xfId="0" applyAlignment="1" applyBorder="1" applyFont="1" applyNumberFormat="1">
      <alignment horizontal="center" readingOrder="0" shrinkToFit="0" vertical="center" wrapText="1"/>
    </xf>
    <xf borderId="0" fillId="0" fontId="71" numFmtId="177" xfId="0" applyAlignment="1" applyFont="1" applyNumberFormat="1">
      <alignment horizontal="center" readingOrder="0" shrinkToFit="0" vertical="center" wrapText="1"/>
    </xf>
    <xf borderId="0" fillId="0" fontId="71" numFmtId="0" xfId="0" applyAlignment="1" applyFont="1">
      <alignment horizontal="center" readingOrder="0" shrinkToFit="0" vertical="center" wrapText="1"/>
    </xf>
    <xf borderId="16" fillId="0" fontId="71" numFmtId="0" xfId="0" applyAlignment="1" applyBorder="1" applyFont="1">
      <alignment horizontal="center" readingOrder="0" shrinkToFit="0" vertical="center" wrapText="1"/>
    </xf>
    <xf borderId="16" fillId="0" fontId="1" numFmtId="0" xfId="0" applyAlignment="1" applyBorder="1" applyFont="1">
      <alignment shrinkToFit="0" vertical="center" wrapText="0"/>
    </xf>
    <xf borderId="28" fillId="0" fontId="71" numFmtId="0" xfId="0" applyAlignment="1" applyBorder="1" applyFont="1">
      <alignment horizontal="center" readingOrder="0" shrinkToFit="0" vertical="center" wrapText="1"/>
    </xf>
    <xf borderId="0" fillId="35" fontId="71" numFmtId="0" xfId="0" applyAlignment="1" applyFill="1" applyFont="1">
      <alignment horizontal="center" readingOrder="0" shrinkToFit="0" vertical="center" wrapText="1"/>
    </xf>
    <xf borderId="26" fillId="0" fontId="71" numFmtId="175" xfId="0" applyAlignment="1" applyBorder="1" applyFont="1" applyNumberFormat="1">
      <alignment horizontal="center" readingOrder="0" shrinkToFit="0" vertical="center" wrapText="1"/>
    </xf>
    <xf borderId="18" fillId="0" fontId="1" numFmtId="177" xfId="0" applyAlignment="1" applyBorder="1" applyFont="1" applyNumberFormat="1">
      <alignment horizontal="center" readingOrder="0" shrinkToFit="0" vertical="center" wrapText="0"/>
    </xf>
    <xf borderId="18" fillId="0" fontId="71" numFmtId="0" xfId="0" applyAlignment="1" applyBorder="1" applyFont="1">
      <alignment horizontal="center" readingOrder="0" shrinkToFit="0" vertical="center" wrapText="1"/>
    </xf>
    <xf borderId="18" fillId="0" fontId="103" numFmtId="0" xfId="0" applyAlignment="1" applyBorder="1" applyFont="1">
      <alignment horizontal="center" readingOrder="0" shrinkToFit="0" vertical="center" wrapText="0"/>
    </xf>
    <xf borderId="27" fillId="0" fontId="71" numFmtId="0" xfId="0" applyAlignment="1" applyBorder="1" applyFont="1">
      <alignment horizontal="center" readingOrder="0" shrinkToFit="0" vertical="center" wrapText="1"/>
    </xf>
    <xf borderId="18" fillId="0" fontId="1" numFmtId="0" xfId="0" applyAlignment="1" applyBorder="1" applyFont="1">
      <alignment horizontal="center" readingOrder="0" shrinkToFit="0" vertical="center" wrapText="0"/>
    </xf>
    <xf borderId="0" fillId="0" fontId="1" numFmtId="0" xfId="0" applyAlignment="1" applyFont="1">
      <alignment horizontal="center" readingOrder="0" shrinkToFit="0" vertical="center" wrapText="1"/>
    </xf>
    <xf borderId="0" fillId="0" fontId="104" numFmtId="0" xfId="0" applyAlignment="1" applyFont="1">
      <alignment horizontal="center" readingOrder="0" shrinkToFit="0" vertical="center" wrapText="1"/>
    </xf>
    <xf borderId="0" fillId="0" fontId="105" numFmtId="0" xfId="0" applyAlignment="1" applyFont="1">
      <alignment readingOrder="0" shrinkToFit="0" vertical="center" wrapText="1"/>
    </xf>
    <xf borderId="16" fillId="0" fontId="106"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16" fillId="0" fontId="1" numFmtId="0" xfId="0" applyAlignment="1" applyBorder="1" applyFont="1">
      <alignment horizontal="center" shrinkToFit="0" vertical="center" wrapText="1"/>
    </xf>
    <xf borderId="28" fillId="0" fontId="1" numFmtId="0" xfId="0" applyAlignment="1" applyBorder="1" applyFont="1">
      <alignment horizontal="center" readingOrder="0" shrinkToFit="0" vertical="center" wrapText="0"/>
    </xf>
    <xf borderId="18" fillId="0" fontId="1" numFmtId="0" xfId="0" applyAlignment="1" applyBorder="1" applyFont="1">
      <alignment horizontal="center" shrinkToFit="0" vertical="center" wrapText="0"/>
    </xf>
    <xf borderId="27" fillId="0" fontId="1" numFmtId="0" xfId="0" applyAlignment="1" applyBorder="1" applyFont="1">
      <alignment horizontal="center" readingOrder="0" shrinkToFit="0" vertical="center" wrapText="0"/>
    </xf>
    <xf borderId="0" fillId="0" fontId="1" numFmtId="0" xfId="0" applyAlignment="1" applyFont="1">
      <alignment horizontal="center" readingOrder="0" shrinkToFit="0" vertical="center" wrapText="1"/>
    </xf>
    <xf borderId="0" fillId="0" fontId="107" numFmtId="0" xfId="0" applyAlignment="1" applyFont="1">
      <alignment horizontal="center" readingOrder="0" shrinkToFit="0" vertical="center" wrapText="0"/>
    </xf>
    <xf borderId="0" fillId="0" fontId="6" numFmtId="0" xfId="0" applyAlignment="1" applyFont="1">
      <alignment horizontal="center" readingOrder="0" shrinkToFit="0" vertical="center" wrapText="0"/>
    </xf>
    <xf borderId="0" fillId="0" fontId="108" numFmtId="1" xfId="0" applyAlignment="1" applyFont="1" applyNumberFormat="1">
      <alignment horizontal="center" readingOrder="0" shrinkToFit="0" vertical="center" wrapText="1"/>
    </xf>
    <xf borderId="0" fillId="0" fontId="107" numFmtId="0" xfId="0" applyAlignment="1" applyFont="1">
      <alignment horizontal="center" readingOrder="0" shrinkToFit="0" vertical="center" wrapText="0"/>
    </xf>
    <xf borderId="0" fillId="0" fontId="107" numFmtId="0" xfId="0" applyAlignment="1" applyFont="1">
      <alignment horizontal="left" readingOrder="0" shrinkToFit="0" vertical="center" wrapText="0"/>
    </xf>
    <xf borderId="0" fillId="0" fontId="107" numFmtId="0" xfId="0" applyAlignment="1" applyFont="1">
      <alignment horizontal="left" readingOrder="0" shrinkToFit="0" vertical="center" wrapText="0"/>
    </xf>
    <xf borderId="10" fillId="36" fontId="99" numFmtId="0" xfId="0" applyAlignment="1" applyBorder="1" applyFill="1" applyFont="1">
      <alignment horizontal="center" shrinkToFit="0" vertical="center" wrapText="0"/>
    </xf>
    <xf borderId="29" fillId="7" fontId="109" numFmtId="0" xfId="0" applyAlignment="1" applyBorder="1" applyFont="1">
      <alignment horizontal="center" shrinkToFit="0" vertical="center" wrapText="0"/>
    </xf>
    <xf borderId="16" fillId="36" fontId="110" numFmtId="0" xfId="0" applyAlignment="1" applyBorder="1" applyFont="1">
      <alignment horizontal="center" readingOrder="0" shrinkToFit="0" vertical="center" wrapText="0"/>
    </xf>
    <xf borderId="9" fillId="0" fontId="107" numFmtId="3" xfId="0" applyAlignment="1" applyBorder="1" applyFont="1" applyNumberFormat="1">
      <alignment horizontal="center" readingOrder="0" shrinkToFit="0" vertical="center" wrapText="0"/>
    </xf>
    <xf borderId="30" fillId="7" fontId="109" numFmtId="9" xfId="0" applyAlignment="1" applyBorder="1" applyFont="1" applyNumberFormat="1">
      <alignment horizontal="center" shrinkToFit="0" vertical="center" wrapText="0"/>
    </xf>
    <xf borderId="16" fillId="36" fontId="110" numFmtId="0" xfId="0" applyAlignment="1" applyBorder="1" applyFont="1">
      <alignment horizontal="center" shrinkToFit="0" vertical="center" wrapText="0"/>
    </xf>
    <xf borderId="9" fillId="0" fontId="109" numFmtId="1" xfId="0" applyAlignment="1" applyBorder="1" applyFont="1" applyNumberFormat="1">
      <alignment shrinkToFit="0" vertical="center" wrapText="0"/>
    </xf>
    <xf borderId="16" fillId="0" fontId="108" numFmtId="1" xfId="0" applyAlignment="1" applyBorder="1" applyFont="1" applyNumberFormat="1">
      <alignment horizontal="center" shrinkToFit="0" vertical="center" wrapText="1"/>
    </xf>
    <xf borderId="16" fillId="0" fontId="107" numFmtId="3" xfId="0" applyAlignment="1" applyBorder="1" applyFont="1" applyNumberFormat="1">
      <alignment horizontal="center" readingOrder="0" shrinkToFit="0" vertical="center" wrapText="0"/>
    </xf>
    <xf borderId="16" fillId="36" fontId="111" numFmtId="0" xfId="0" applyAlignment="1" applyBorder="1" applyFont="1">
      <alignment horizontal="center" shrinkToFit="0" vertical="center" wrapText="0"/>
    </xf>
    <xf borderId="7" fillId="0" fontId="107" numFmtId="1" xfId="0" applyAlignment="1" applyBorder="1" applyFont="1" applyNumberFormat="1">
      <alignment horizontal="center" shrinkToFit="0" vertical="center" wrapText="0"/>
    </xf>
    <xf borderId="25" fillId="36" fontId="110" numFmtId="0" xfId="0" applyAlignment="1" applyBorder="1" applyFont="1">
      <alignment horizontal="center" shrinkToFit="0" vertical="center" wrapText="0"/>
    </xf>
    <xf borderId="31" fillId="7" fontId="6" numFmtId="0" xfId="0" applyAlignment="1" applyBorder="1" applyFont="1">
      <alignment horizontal="center" shrinkToFit="0" vertical="center" wrapText="0"/>
    </xf>
    <xf borderId="29" fillId="7" fontId="1" numFmtId="0" xfId="0" applyAlignment="1" applyBorder="1" applyFont="1">
      <alignment horizontal="center" readingOrder="0" shrinkToFit="0" vertical="center" wrapText="1"/>
    </xf>
    <xf borderId="32" fillId="7" fontId="107" numFmtId="0" xfId="0" applyAlignment="1" applyBorder="1" applyFont="1">
      <alignment horizontal="center" readingOrder="0" shrinkToFit="0" vertical="center" wrapText="0"/>
    </xf>
    <xf borderId="28" fillId="7" fontId="107" numFmtId="3" xfId="0" applyAlignment="1" applyBorder="1" applyFont="1" applyNumberFormat="1">
      <alignment horizontal="center" readingOrder="0" shrinkToFit="0" vertical="center" wrapText="0"/>
    </xf>
    <xf borderId="30" fillId="7" fontId="107" numFmtId="3" xfId="0" applyAlignment="1" applyBorder="1" applyFont="1" applyNumberFormat="1">
      <alignment horizontal="center" readingOrder="0" shrinkToFit="0" vertical="center" wrapText="0"/>
    </xf>
    <xf borderId="32" fillId="7" fontId="107" numFmtId="3" xfId="0" applyAlignment="1" applyBorder="1" applyFont="1" applyNumberFormat="1">
      <alignment horizontal="center" readingOrder="0" shrinkToFit="0" vertical="center" wrapText="0"/>
    </xf>
    <xf borderId="32" fillId="7" fontId="107" numFmtId="0" xfId="0" applyAlignment="1" applyBorder="1" applyFont="1">
      <alignment horizontal="center" shrinkToFit="0" vertical="center" wrapText="0"/>
    </xf>
    <xf borderId="28" fillId="7" fontId="109" numFmtId="1" xfId="0" applyAlignment="1" applyBorder="1" applyFont="1" applyNumberFormat="1">
      <alignment shrinkToFit="0" vertical="center" wrapText="0"/>
    </xf>
    <xf borderId="16" fillId="37" fontId="107" numFmtId="0" xfId="0" applyAlignment="1" applyBorder="1" applyFill="1" applyFont="1">
      <alignment horizontal="center" readingOrder="0" shrinkToFit="0" vertical="center" wrapText="0"/>
    </xf>
    <xf borderId="28" fillId="7" fontId="107" numFmtId="1" xfId="0" applyAlignment="1" applyBorder="1" applyFont="1" applyNumberFormat="1">
      <alignment horizontal="center" shrinkToFit="0" vertical="center" wrapText="0"/>
    </xf>
    <xf borderId="30" fillId="7" fontId="107" numFmtId="0" xfId="0" applyAlignment="1" applyBorder="1" applyFont="1">
      <alignment horizontal="center" readingOrder="0" shrinkToFit="0" vertical="center" wrapText="0"/>
    </xf>
    <xf borderId="32" fillId="7" fontId="107" numFmtId="1" xfId="0" applyAlignment="1" applyBorder="1" applyFont="1" applyNumberFormat="1">
      <alignment horizontal="center" readingOrder="0" shrinkToFit="0" vertical="center" wrapText="0"/>
    </xf>
    <xf borderId="16" fillId="0" fontId="107" numFmtId="0" xfId="0" applyAlignment="1" applyBorder="1" applyFont="1">
      <alignment horizontal="center" readingOrder="0" shrinkToFit="0" vertical="center" wrapText="0"/>
    </xf>
    <xf borderId="25" fillId="0" fontId="107" numFmtId="0" xfId="0" applyAlignment="1" applyBorder="1" applyFont="1">
      <alignment horizontal="center" readingOrder="0" shrinkToFit="0" vertical="center" wrapText="0"/>
    </xf>
    <xf borderId="10" fillId="30" fontId="112" numFmtId="0" xfId="0" applyAlignment="1" applyBorder="1" applyFont="1">
      <alignment horizontal="center" readingOrder="0" shrinkToFit="0" vertical="center" wrapText="1"/>
    </xf>
    <xf borderId="0" fillId="0" fontId="108" numFmtId="0" xfId="0" applyAlignment="1" applyFont="1">
      <alignment horizontal="center" readingOrder="0" shrinkToFit="0" vertical="center" wrapText="1"/>
    </xf>
    <xf borderId="16" fillId="0" fontId="108" numFmtId="0" xfId="0" applyAlignment="1" applyBorder="1" applyFont="1">
      <alignment horizontal="center" readingOrder="0" shrinkToFit="0" vertical="center" wrapText="1"/>
    </xf>
    <xf borderId="7" fillId="16" fontId="72" numFmtId="1" xfId="0" applyAlignment="1" applyBorder="1" applyFont="1" applyNumberFormat="1">
      <alignment horizontal="center" readingOrder="0" shrinkToFit="0" vertical="center" wrapText="1"/>
    </xf>
    <xf borderId="33" fillId="7" fontId="107" numFmtId="0" xfId="0" applyAlignment="1" applyBorder="1" applyFont="1">
      <alignment horizontal="center" readingOrder="0" shrinkToFit="0" vertical="center" wrapText="0"/>
    </xf>
    <xf borderId="16" fillId="7" fontId="107" numFmtId="0" xfId="0" applyAlignment="1" applyBorder="1" applyFont="1">
      <alignment horizontal="center" readingOrder="0" shrinkToFit="0" vertical="center" wrapText="0"/>
    </xf>
    <xf borderId="7" fillId="16" fontId="72" numFmtId="1" xfId="0" applyAlignment="1" applyBorder="1" applyFont="1" applyNumberFormat="1">
      <alignment readingOrder="0" shrinkToFit="0" vertical="center" wrapText="1"/>
    </xf>
    <xf borderId="9" fillId="38" fontId="107" numFmtId="1" xfId="0" applyAlignment="1" applyBorder="1" applyFill="1" applyFont="1" applyNumberFormat="1">
      <alignment horizontal="center" shrinkToFit="0" vertical="center" wrapText="0"/>
    </xf>
    <xf borderId="33" fillId="38" fontId="107" numFmtId="0" xfId="0" applyAlignment="1" applyBorder="1" applyFont="1">
      <alignment horizontal="center" shrinkToFit="0" vertical="center" wrapText="0"/>
    </xf>
    <xf borderId="16" fillId="0" fontId="113" numFmtId="0" xfId="0" applyAlignment="1" applyBorder="1" applyFont="1">
      <alignment horizontal="left" readingOrder="0" shrinkToFit="0" vertical="center" wrapText="1"/>
    </xf>
    <xf borderId="16" fillId="0" fontId="114" numFmtId="0" xfId="0" applyAlignment="1" applyBorder="1" applyFont="1">
      <alignment horizontal="left" shrinkToFit="0" vertical="center" wrapText="1"/>
    </xf>
    <xf borderId="9" fillId="38" fontId="107" numFmtId="1" xfId="0" applyAlignment="1" applyBorder="1" applyFont="1" applyNumberFormat="1">
      <alignment shrinkToFit="0" vertical="center" wrapText="0"/>
    </xf>
    <xf borderId="16" fillId="0" fontId="108" numFmtId="0" xfId="0" applyAlignment="1" applyBorder="1" applyFont="1">
      <alignment horizontal="left" readingOrder="0" shrinkToFit="0" vertical="center" wrapText="1"/>
    </xf>
    <xf borderId="16" fillId="0" fontId="115" numFmtId="0" xfId="0" applyAlignment="1" applyBorder="1" applyFont="1">
      <alignment horizontal="center" readingOrder="0" shrinkToFit="0" vertical="center" wrapText="1"/>
    </xf>
    <xf borderId="16" fillId="0" fontId="116" numFmtId="0" xfId="0" applyAlignment="1" applyBorder="1" applyFont="1">
      <alignment horizontal="center" readingOrder="0" shrinkToFit="0" vertical="center" wrapText="0"/>
    </xf>
    <xf borderId="16" fillId="0" fontId="117" numFmtId="0" xfId="0" applyAlignment="1" applyBorder="1" applyFont="1">
      <alignment readingOrder="0" shrinkToFit="0" vertical="center" wrapText="0"/>
    </xf>
    <xf borderId="10" fillId="30" fontId="118" numFmtId="0" xfId="0" applyAlignment="1" applyBorder="1" applyFont="1">
      <alignment horizontal="center" readingOrder="0" shrinkToFit="0" vertical="center" wrapText="0"/>
    </xf>
    <xf borderId="16" fillId="0" fontId="119" numFmtId="0" xfId="0" applyAlignment="1" applyBorder="1" applyFont="1">
      <alignment horizontal="center" readingOrder="0" shrinkToFit="0" vertical="center" wrapText="0"/>
    </xf>
    <xf borderId="16" fillId="0" fontId="120" numFmtId="0" xfId="0" applyAlignment="1" applyBorder="1" applyFont="1">
      <alignment horizontal="left" readingOrder="0" shrinkToFit="0" vertical="center" wrapText="0"/>
    </xf>
    <xf borderId="0" fillId="0" fontId="108" numFmtId="1" xfId="0" applyAlignment="1" applyFont="1" applyNumberFormat="1">
      <alignment horizontal="center" shrinkToFit="0" vertical="center" wrapText="1"/>
    </xf>
    <xf borderId="16" fillId="0" fontId="107" numFmtId="177" xfId="0" applyAlignment="1" applyBorder="1" applyFont="1" applyNumberFormat="1">
      <alignment horizontal="center" readingOrder="0" shrinkToFit="0" vertical="center" wrapText="0"/>
    </xf>
    <xf borderId="0" fillId="0" fontId="121" numFmtId="0" xfId="0" applyAlignment="1" applyFont="1">
      <alignment horizontal="center" readingOrder="0" shrinkToFit="0" vertical="center" wrapText="0"/>
    </xf>
    <xf borderId="0" fillId="0" fontId="71" numFmtId="0" xfId="0" applyAlignment="1" applyFont="1">
      <alignment readingOrder="0"/>
    </xf>
    <xf borderId="16" fillId="0" fontId="107" numFmtId="178" xfId="0" applyAlignment="1" applyBorder="1" applyFont="1" applyNumberFormat="1">
      <alignment horizontal="center" readingOrder="0" shrinkToFit="0" vertical="center" wrapText="0"/>
    </xf>
    <xf borderId="18" fillId="0" fontId="1" numFmtId="0" xfId="0" applyAlignment="1" applyBorder="1" applyFont="1">
      <alignment horizontal="center" readingOrder="0" shrinkToFit="0" vertical="center" wrapText="1"/>
    </xf>
    <xf borderId="27" fillId="0" fontId="107" numFmtId="0" xfId="0" applyAlignment="1" applyBorder="1" applyFont="1">
      <alignment horizontal="center" readingOrder="0" shrinkToFit="0" vertical="center" wrapText="0"/>
    </xf>
    <xf borderId="18" fillId="0" fontId="107" numFmtId="0" xfId="0" applyAlignment="1" applyBorder="1" applyFont="1">
      <alignment horizontal="left" readingOrder="0" shrinkToFit="0" vertical="center" wrapText="0"/>
    </xf>
    <xf borderId="32" fillId="7" fontId="109" numFmtId="0" xfId="0" applyAlignment="1" applyBorder="1" applyFont="1">
      <alignment horizontal="center" shrinkToFit="0" vertical="center" wrapText="0"/>
    </xf>
    <xf borderId="34" fillId="7" fontId="6" numFmtId="9" xfId="0" applyAlignment="1" applyBorder="1" applyFont="1" applyNumberFormat="1">
      <alignment horizontal="center" shrinkToFit="0" vertical="center" wrapText="1"/>
    </xf>
    <xf borderId="28" fillId="7" fontId="6" numFmtId="0" xfId="0" applyAlignment="1" applyBorder="1" applyFont="1">
      <alignment horizontal="center" shrinkToFit="0" vertical="center" wrapText="1"/>
    </xf>
    <xf borderId="28" fillId="7" fontId="6" numFmtId="1" xfId="0" applyAlignment="1" applyBorder="1" applyFont="1" applyNumberFormat="1">
      <alignment horizontal="center" shrinkToFit="0" vertical="center" wrapText="1"/>
    </xf>
    <xf borderId="32" fillId="7" fontId="6" numFmtId="0" xfId="0" applyAlignment="1" applyBorder="1" applyFont="1">
      <alignment horizontal="center" shrinkToFit="0" vertical="center" wrapText="1"/>
    </xf>
    <xf borderId="28" fillId="7" fontId="109" numFmtId="1" xfId="0" applyAlignment="1" applyBorder="1" applyFont="1" applyNumberFormat="1">
      <alignment horizontal="center" shrinkToFit="0" vertical="center" wrapText="0"/>
    </xf>
    <xf borderId="16" fillId="39" fontId="107" numFmtId="0" xfId="0" applyAlignment="1" applyBorder="1" applyFill="1" applyFont="1">
      <alignment horizontal="center" readingOrder="0" shrinkToFit="0" vertical="center" wrapText="0"/>
    </xf>
    <xf borderId="16" fillId="28" fontId="107" numFmtId="0" xfId="0" applyAlignment="1" applyBorder="1" applyFont="1">
      <alignment horizontal="center" readingOrder="0" shrinkToFit="0" vertical="center" wrapText="0"/>
    </xf>
    <xf borderId="16" fillId="40" fontId="107" numFmtId="0" xfId="0" applyAlignment="1" applyBorder="1" applyFill="1" applyFont="1">
      <alignment horizontal="center" readingOrder="0" shrinkToFit="0" vertical="center" wrapText="0"/>
    </xf>
    <xf borderId="0" fillId="0" fontId="107" numFmtId="0" xfId="0" applyAlignment="1" applyFont="1">
      <alignment horizontal="center" shrinkToFit="0" vertical="center" wrapText="0"/>
    </xf>
    <xf borderId="16" fillId="0" fontId="107" numFmtId="0" xfId="0" applyAlignment="1" applyBorder="1" applyFont="1">
      <alignment horizontal="center" shrinkToFit="0" vertical="center" wrapText="0"/>
    </xf>
    <xf borderId="32" fillId="7" fontId="6" numFmtId="0" xfId="0" applyAlignment="1" applyBorder="1" applyFont="1">
      <alignment horizontal="center" shrinkToFit="0" vertical="center" wrapText="0"/>
    </xf>
    <xf borderId="0" fillId="0" fontId="20" numFmtId="0" xfId="0" applyAlignment="1" applyFont="1">
      <alignment horizontal="center" readingOrder="0" shrinkToFit="0" vertical="center" wrapText="1"/>
    </xf>
    <xf borderId="16" fillId="15" fontId="107" numFmtId="0" xfId="0" applyAlignment="1" applyBorder="1" applyFont="1">
      <alignment horizontal="center" readingOrder="0" shrinkToFit="0" vertical="center" wrapText="0"/>
    </xf>
    <xf borderId="0" fillId="41" fontId="1" numFmtId="0" xfId="0" applyAlignment="1" applyFill="1" applyFont="1">
      <alignment horizontal="center" readingOrder="0" shrinkToFit="0" vertical="center" wrapText="1"/>
    </xf>
    <xf borderId="0" fillId="7" fontId="1" numFmtId="0" xfId="0" applyAlignment="1" applyFont="1">
      <alignment horizontal="center" readingOrder="0" shrinkToFit="0" vertical="center" wrapText="1"/>
    </xf>
    <xf borderId="31" fillId="7" fontId="6" numFmtId="0" xfId="0" applyAlignment="1" applyBorder="1" applyFont="1">
      <alignment horizontal="center" readingOrder="0" shrinkToFit="0" vertical="center" wrapText="0"/>
    </xf>
    <xf borderId="16" fillId="42" fontId="107" numFmtId="0" xfId="0" applyAlignment="1" applyBorder="1" applyFill="1" applyFont="1">
      <alignment horizontal="center" readingOrder="0" shrinkToFit="0" vertical="center" wrapText="0"/>
    </xf>
    <xf borderId="29" fillId="0" fontId="1" numFmtId="0" xfId="0" applyAlignment="1" applyBorder="1" applyFont="1">
      <alignment horizontal="center" readingOrder="0" shrinkToFit="0" vertical="center" wrapText="1"/>
    </xf>
    <xf borderId="32" fillId="0" fontId="107" numFmtId="0" xfId="0" applyAlignment="1" applyBorder="1" applyFont="1">
      <alignment horizontal="center" readingOrder="0" shrinkToFit="0" vertical="center" wrapText="0"/>
    </xf>
    <xf borderId="29" fillId="0" fontId="107" numFmtId="0" xfId="0" applyAlignment="1" applyBorder="1" applyFont="1">
      <alignment horizontal="center" readingOrder="0" shrinkToFit="0" vertical="center" wrapText="0"/>
    </xf>
    <xf borderId="28" fillId="38" fontId="107" numFmtId="1" xfId="0" applyAlignment="1" applyBorder="1" applyFont="1" applyNumberFormat="1">
      <alignment horizontal="center" shrinkToFit="0" vertical="center" wrapText="0"/>
    </xf>
    <xf borderId="30" fillId="38" fontId="107" numFmtId="0" xfId="0" applyAlignment="1" applyBorder="1" applyFont="1">
      <alignment horizontal="center" shrinkToFit="0" vertical="center" wrapText="0"/>
    </xf>
    <xf borderId="32" fillId="37" fontId="107" numFmtId="0" xfId="0" applyAlignment="1" applyBorder="1" applyFont="1">
      <alignment horizontal="center" readingOrder="0" shrinkToFit="0" vertical="center" wrapText="0"/>
    </xf>
    <xf borderId="28" fillId="38" fontId="107" numFmtId="1" xfId="0" applyAlignment="1" applyBorder="1" applyFont="1" applyNumberFormat="1">
      <alignment shrinkToFit="0" vertical="center" wrapText="0"/>
    </xf>
    <xf borderId="29" fillId="0" fontId="108" numFmtId="1" xfId="0" applyAlignment="1" applyBorder="1" applyFont="1" applyNumberFormat="1">
      <alignment horizontal="center" shrinkToFit="0" vertical="center" wrapText="1"/>
    </xf>
    <xf borderId="32" fillId="0" fontId="1" numFmtId="0" xfId="0" applyAlignment="1" applyBorder="1" applyFont="1">
      <alignment horizontal="center" shrinkToFit="0" vertical="center" wrapText="0"/>
    </xf>
    <xf borderId="10" fillId="43" fontId="118" numFmtId="0" xfId="0" applyAlignment="1" applyBorder="1" applyFill="1" applyFont="1">
      <alignment horizontal="center" readingOrder="0" shrinkToFit="0" vertical="center" wrapText="0"/>
    </xf>
    <xf borderId="33" fillId="38" fontId="107" numFmtId="0" xfId="0" applyAlignment="1" applyBorder="1" applyFont="1">
      <alignment horizontal="center" readingOrder="0" shrinkToFit="0" vertical="center" wrapText="0"/>
    </xf>
    <xf borderId="9" fillId="38" fontId="107" numFmtId="0" xfId="0" applyAlignment="1" applyBorder="1" applyFont="1">
      <alignment horizontal="center" readingOrder="0" shrinkToFit="0" vertical="center" wrapText="0"/>
    </xf>
    <xf borderId="0" fillId="43" fontId="1" numFmtId="0" xfId="0" applyAlignment="1" applyFont="1">
      <alignment horizontal="center" readingOrder="0" shrinkToFit="0" vertical="center" wrapText="1"/>
    </xf>
    <xf borderId="16" fillId="13" fontId="107" numFmtId="0" xfId="0" applyAlignment="1" applyBorder="1" applyFont="1">
      <alignment horizontal="center" readingOrder="0" shrinkToFit="0" vertical="center" wrapText="0"/>
    </xf>
    <xf borderId="10" fillId="44" fontId="118" numFmtId="0" xfId="0" applyAlignment="1" applyBorder="1" applyFill="1" applyFont="1">
      <alignment horizontal="center" readingOrder="0" shrinkToFit="0" vertical="center" wrapText="0"/>
    </xf>
    <xf borderId="26" fillId="30" fontId="118" numFmtId="0" xfId="0" applyAlignment="1" applyBorder="1" applyFont="1">
      <alignment horizontal="center" readingOrder="0" shrinkToFit="0" vertical="center" wrapText="0"/>
    </xf>
    <xf borderId="8" fillId="38" fontId="107" numFmtId="1" xfId="0" applyAlignment="1" applyBorder="1" applyFont="1" applyNumberFormat="1">
      <alignment horizontal="center" shrinkToFit="0" vertical="center" wrapText="0"/>
    </xf>
    <xf borderId="35" fillId="38" fontId="107" numFmtId="0" xfId="0" applyAlignment="1" applyBorder="1" applyFont="1">
      <alignment horizontal="center" readingOrder="0" shrinkToFit="0" vertical="center" wrapText="0"/>
    </xf>
    <xf borderId="27" fillId="0" fontId="107" numFmtId="0" xfId="0" applyAlignment="1" applyBorder="1" applyFont="1">
      <alignment horizontal="center" shrinkToFit="0" vertical="center" wrapText="0"/>
    </xf>
    <xf borderId="8" fillId="38" fontId="107" numFmtId="1" xfId="0" applyAlignment="1" applyBorder="1" applyFont="1" applyNumberFormat="1">
      <alignment shrinkToFit="0" vertical="center" wrapText="0"/>
    </xf>
    <xf borderId="35" fillId="38" fontId="107" numFmtId="0" xfId="0" applyAlignment="1" applyBorder="1" applyFont="1">
      <alignment horizontal="center" shrinkToFit="0" vertical="center" wrapText="0"/>
    </xf>
    <xf borderId="8" fillId="38" fontId="107" numFmtId="0" xfId="0" applyAlignment="1" applyBorder="1" applyFont="1">
      <alignment horizontal="center" readingOrder="0" shrinkToFit="0" vertical="center" wrapText="0"/>
    </xf>
    <xf borderId="0" fillId="0" fontId="107" numFmtId="0" xfId="0" applyAlignment="1" applyFont="1">
      <alignment horizontal="center" vertical="center"/>
    </xf>
    <xf borderId="23" fillId="6" fontId="14" numFmtId="0" xfId="0" applyAlignment="1" applyBorder="1" applyFont="1">
      <alignment horizontal="center" readingOrder="0" vertical="center"/>
    </xf>
    <xf borderId="24" fillId="6" fontId="14" numFmtId="0" xfId="0" applyAlignment="1" applyBorder="1" applyFont="1">
      <alignment horizontal="center" readingOrder="0" vertical="center"/>
    </xf>
    <xf borderId="25" fillId="6" fontId="14" numFmtId="0" xfId="0" applyAlignment="1" applyBorder="1" applyFont="1">
      <alignment horizontal="center" readingOrder="0" vertical="center"/>
    </xf>
    <xf borderId="24" fillId="6" fontId="14" numFmtId="0" xfId="0" applyAlignment="1" applyBorder="1" applyFont="1">
      <alignment horizontal="center" readingOrder="0" shrinkToFit="0" vertical="center" wrapText="1"/>
    </xf>
    <xf borderId="23" fillId="6" fontId="14" numFmtId="0" xfId="0" applyAlignment="1" applyBorder="1" applyFont="1">
      <alignment horizontal="center" readingOrder="0" shrinkToFit="0" vertical="center" wrapText="1"/>
    </xf>
    <xf borderId="25" fillId="6" fontId="14" numFmtId="0" xfId="0" applyAlignment="1" applyBorder="1" applyFont="1">
      <alignment horizontal="center" readingOrder="0" shrinkToFit="0" vertical="center" wrapText="1"/>
    </xf>
    <xf borderId="10" fillId="29" fontId="14" numFmtId="0" xfId="0" applyAlignment="1" applyBorder="1" applyFont="1">
      <alignment horizontal="center" vertical="center"/>
    </xf>
    <xf borderId="0" fillId="29" fontId="14" numFmtId="0" xfId="0" applyAlignment="1" applyFont="1">
      <alignment horizontal="center" vertical="center"/>
    </xf>
    <xf borderId="0" fillId="30" fontId="71" numFmtId="0" xfId="0" applyAlignment="1" applyFont="1">
      <alignment horizontal="center" readingOrder="0" shrinkToFit="0" vertical="center" wrapText="0"/>
    </xf>
    <xf borderId="16" fillId="29" fontId="14" numFmtId="0" xfId="0" applyAlignment="1" applyBorder="1" applyFont="1">
      <alignment horizontal="center" vertical="center"/>
    </xf>
    <xf borderId="0" fillId="29" fontId="14" numFmtId="0" xfId="0" applyAlignment="1" applyFont="1">
      <alignment horizontal="center" readingOrder="0" vertical="center"/>
    </xf>
    <xf borderId="0" fillId="29" fontId="14" numFmtId="0" xfId="0" applyAlignment="1" applyFont="1">
      <alignment horizontal="center" readingOrder="0" shrinkToFit="0" vertical="center" wrapText="1"/>
    </xf>
    <xf borderId="0" fillId="29" fontId="14" numFmtId="0" xfId="0" applyAlignment="1" applyFont="1">
      <alignment horizontal="center" shrinkToFit="0" vertical="center" wrapText="1"/>
    </xf>
    <xf borderId="16" fillId="29" fontId="14" numFmtId="0" xfId="0" applyAlignment="1" applyBorder="1" applyFont="1">
      <alignment horizontal="center" shrinkToFit="0" vertical="center" wrapText="1"/>
    </xf>
    <xf borderId="10" fillId="0" fontId="122" numFmtId="175" xfId="0" applyAlignment="1" applyBorder="1" applyFont="1" applyNumberFormat="1">
      <alignment horizontal="center" readingOrder="0" shrinkToFit="0" vertical="center" wrapText="1"/>
    </xf>
    <xf borderId="0" fillId="0" fontId="86" numFmtId="0" xfId="0" applyAlignment="1" applyFont="1">
      <alignment horizontal="center" readingOrder="0" vertical="center"/>
    </xf>
    <xf borderId="0" fillId="0" fontId="1" numFmtId="177" xfId="0" applyAlignment="1" applyFont="1" applyNumberFormat="1">
      <alignment horizontal="center" readingOrder="0" vertical="center"/>
    </xf>
    <xf borderId="16" fillId="0" fontId="1" numFmtId="0" xfId="0" applyAlignment="1" applyBorder="1" applyFont="1">
      <alignment horizontal="center" readingOrder="0" vertical="center"/>
    </xf>
    <xf borderId="0" fillId="0" fontId="1" numFmtId="10" xfId="0" applyAlignment="1" applyFont="1" applyNumberFormat="1">
      <alignment horizontal="center" readingOrder="0" vertical="center"/>
    </xf>
    <xf borderId="16" fillId="0" fontId="1" numFmtId="10" xfId="0" applyAlignment="1" applyBorder="1" applyFont="1" applyNumberFormat="1">
      <alignment horizontal="center" readingOrder="0" vertical="center"/>
    </xf>
    <xf borderId="16" fillId="0" fontId="1" numFmtId="0" xfId="0" applyAlignment="1" applyBorder="1" applyFont="1">
      <alignment horizontal="center" readingOrder="0" shrinkToFit="0" vertical="center" wrapText="1"/>
    </xf>
    <xf borderId="0" fillId="38" fontId="1" numFmtId="0" xfId="0" applyAlignment="1" applyFont="1">
      <alignment horizontal="center" readingOrder="0" vertical="center"/>
    </xf>
    <xf borderId="16" fillId="38" fontId="1" numFmtId="0" xfId="0" applyAlignment="1" applyBorder="1" applyFont="1">
      <alignment horizontal="center" readingOrder="0" vertical="center"/>
    </xf>
    <xf borderId="0" fillId="38" fontId="1" numFmtId="177" xfId="0" applyAlignment="1" applyFont="1" applyNumberFormat="1">
      <alignment horizontal="center" readingOrder="0" shrinkToFit="0" vertical="center" wrapText="1"/>
    </xf>
    <xf borderId="0" fillId="38" fontId="1" numFmtId="0" xfId="0" applyAlignment="1" applyFont="1">
      <alignment horizontal="center" readingOrder="0" shrinkToFit="0" vertical="center" wrapText="1"/>
    </xf>
    <xf borderId="16" fillId="38" fontId="1" numFmtId="0" xfId="0" applyAlignment="1" applyBorder="1" applyFont="1">
      <alignment horizontal="center" readingOrder="0" shrinkToFit="0" vertical="center" wrapText="1"/>
    </xf>
    <xf borderId="0" fillId="34" fontId="71" numFmtId="49" xfId="0" applyAlignment="1" applyFont="1" applyNumberFormat="1">
      <alignment horizontal="center" readingOrder="0" shrinkToFit="0" vertical="center" wrapText="0"/>
    </xf>
    <xf borderId="16" fillId="29" fontId="14" numFmtId="0" xfId="0" applyAlignment="1" applyBorder="1" applyFont="1">
      <alignment horizontal="center" readingOrder="0" vertical="center"/>
    </xf>
    <xf borderId="10" fillId="0" fontId="12" numFmtId="175" xfId="0" applyAlignment="1" applyBorder="1" applyFont="1" applyNumberFormat="1">
      <alignment horizontal="center" readingOrder="0" shrinkToFit="0" vertical="center" wrapText="1"/>
    </xf>
    <xf borderId="0" fillId="38" fontId="1" numFmtId="0" xfId="0" applyAlignment="1" applyFont="1">
      <alignment horizontal="center" vertical="center"/>
    </xf>
    <xf borderId="16" fillId="38" fontId="1" numFmtId="0" xfId="0" applyAlignment="1" applyBorder="1" applyFont="1">
      <alignment horizontal="center" vertical="center"/>
    </xf>
    <xf borderId="0" fillId="38" fontId="1" numFmtId="0" xfId="0" applyAlignment="1" applyFont="1">
      <alignment horizontal="center" shrinkToFit="0" vertical="center" wrapText="1"/>
    </xf>
    <xf borderId="16" fillId="38" fontId="1" numFmtId="0" xfId="0" applyAlignment="1" applyBorder="1" applyFont="1">
      <alignment horizontal="center" shrinkToFit="0" vertical="center" wrapText="1"/>
    </xf>
    <xf borderId="16" fillId="4" fontId="1" numFmtId="0" xfId="0" applyAlignment="1" applyBorder="1" applyFont="1">
      <alignment horizontal="center" readingOrder="0" vertical="center"/>
    </xf>
    <xf borderId="0" fillId="0" fontId="1" numFmtId="0" xfId="0" applyAlignment="1" applyFont="1">
      <alignment shrinkToFit="0" wrapText="1"/>
    </xf>
    <xf borderId="26" fillId="0" fontId="12" numFmtId="175" xfId="0" applyAlignment="1" applyBorder="1" applyFont="1" applyNumberFormat="1">
      <alignment horizontal="center" readingOrder="0" shrinkToFit="0" vertical="center" wrapText="1"/>
    </xf>
    <xf borderId="18" fillId="0" fontId="1" numFmtId="0" xfId="0" applyAlignment="1" applyBorder="1" applyFont="1">
      <alignment horizontal="center" readingOrder="0" vertical="center"/>
    </xf>
    <xf borderId="18" fillId="0" fontId="1" numFmtId="0" xfId="0" applyAlignment="1" applyBorder="1" applyFont="1">
      <alignment horizontal="center" shrinkToFit="0" vertical="center" wrapText="1"/>
    </xf>
    <xf borderId="16" fillId="0" fontId="1" numFmtId="0" xfId="0" applyAlignment="1" applyBorder="1" applyFont="1">
      <alignment horizontal="center" shrinkToFit="0" vertical="center" wrapText="1"/>
    </xf>
    <xf borderId="10" fillId="38" fontId="1" numFmtId="0" xfId="0" applyAlignment="1" applyBorder="1" applyFont="1">
      <alignment horizontal="center" readingOrder="0" shrinkToFit="0" vertical="center" wrapText="1"/>
    </xf>
    <xf borderId="10" fillId="38" fontId="1" numFmtId="0" xfId="0" applyAlignment="1" applyBorder="1" applyFont="1">
      <alignment horizontal="center" shrinkToFit="0" vertical="center" wrapText="1"/>
    </xf>
    <xf borderId="16" fillId="0" fontId="1" numFmtId="10" xfId="0" applyAlignment="1" applyBorder="1" applyFont="1" applyNumberFormat="1">
      <alignment horizontal="center" vertical="center"/>
    </xf>
    <xf borderId="0" fillId="0" fontId="123" numFmtId="0" xfId="0" applyAlignment="1" applyFont="1">
      <alignment readingOrder="0"/>
    </xf>
    <xf borderId="18" fillId="0" fontId="124" numFmtId="0" xfId="0" applyAlignment="1" applyBorder="1" applyFont="1">
      <alignment readingOrder="0"/>
    </xf>
    <xf borderId="10" fillId="29" fontId="14" numFmtId="0" xfId="0" applyAlignment="1" applyBorder="1" applyFont="1">
      <alignment horizontal="center" shrinkToFit="0" vertical="center" wrapText="1"/>
    </xf>
    <xf borderId="26" fillId="0" fontId="122" numFmtId="175" xfId="0" applyAlignment="1" applyBorder="1" applyFont="1" applyNumberFormat="1">
      <alignment horizontal="center" readingOrder="0" shrinkToFit="0" vertical="center" wrapText="1"/>
    </xf>
    <xf borderId="18" fillId="0" fontId="1" numFmtId="177" xfId="0" applyAlignment="1" applyBorder="1" applyFont="1" applyNumberFormat="1">
      <alignment horizontal="center" readingOrder="0" vertical="center"/>
    </xf>
    <xf borderId="27" fillId="0" fontId="1" numFmtId="10" xfId="0" applyAlignment="1" applyBorder="1" applyFont="1" applyNumberFormat="1">
      <alignment horizontal="center" vertical="center"/>
    </xf>
    <xf borderId="26" fillId="0" fontId="1" numFmtId="0" xfId="0" applyAlignment="1" applyBorder="1" applyFont="1">
      <alignment horizontal="center" shrinkToFit="0" vertical="center" wrapText="1"/>
    </xf>
    <xf borderId="16" fillId="13" fontId="1" numFmtId="0" xfId="0" applyAlignment="1" applyBorder="1" applyFont="1">
      <alignment horizontal="center" readingOrder="0" vertical="center"/>
    </xf>
    <xf borderId="0" fillId="4" fontId="1" numFmtId="0" xfId="0" applyAlignment="1" applyFont="1">
      <alignment horizontal="center" readingOrder="0" vertical="center"/>
    </xf>
    <xf borderId="0" fillId="13" fontId="1" numFmtId="0" xfId="0" applyAlignment="1" applyFont="1">
      <alignment horizontal="center" readingOrder="0" vertical="center"/>
    </xf>
    <xf borderId="10" fillId="0" fontId="1" numFmtId="0" xfId="0" applyAlignment="1" applyBorder="1" applyFont="1">
      <alignment horizontal="center" shrinkToFit="0" vertical="center" wrapText="1"/>
    </xf>
    <xf borderId="27" fillId="0" fontId="1" numFmtId="0" xfId="0" applyAlignment="1" applyBorder="1" applyFont="1">
      <alignment horizontal="center" vertical="center"/>
    </xf>
    <xf borderId="0" fillId="0" fontId="125" numFmtId="0" xfId="0" applyAlignment="1" applyFont="1">
      <alignment horizontal="center" readingOrder="0" shrinkToFit="0" vertical="center" wrapText="1"/>
    </xf>
    <xf borderId="0" fillId="18" fontId="126" numFmtId="0" xfId="0" applyAlignment="1" applyFont="1">
      <alignment horizontal="center" readingOrder="0" vertical="center"/>
    </xf>
    <xf borderId="0" fillId="0" fontId="127" numFmtId="0" xfId="0" applyAlignment="1" applyFont="1">
      <alignment readingOrder="0" shrinkToFit="0" vertical="center" wrapText="1"/>
    </xf>
    <xf borderId="16" fillId="0" fontId="1" numFmtId="0" xfId="0" applyAlignment="1" applyBorder="1" applyFont="1">
      <alignment readingOrder="0" shrinkToFit="0" vertical="center" wrapText="1"/>
    </xf>
    <xf borderId="0" fillId="0" fontId="1" numFmtId="0" xfId="0" applyAlignment="1" applyFont="1">
      <alignment horizontal="center" readingOrder="0" shrinkToFit="0" vertical="center" wrapText="1"/>
    </xf>
    <xf borderId="0" fillId="0" fontId="128" numFmtId="0" xfId="0" applyAlignment="1" applyFont="1">
      <alignment horizontal="center" readingOrder="0" shrinkToFit="0" vertical="center" wrapText="1"/>
    </xf>
    <xf borderId="16" fillId="0" fontId="129" numFmtId="0" xfId="0" applyAlignment="1" applyBorder="1" applyFont="1">
      <alignment horizontal="center" readingOrder="0" shrinkToFit="0" vertical="center" wrapText="1"/>
    </xf>
    <xf borderId="18" fillId="13" fontId="1" numFmtId="0" xfId="0" applyAlignment="1" applyBorder="1" applyFont="1">
      <alignment horizontal="center" readingOrder="0" vertical="center"/>
    </xf>
    <xf borderId="0" fillId="0" fontId="1" numFmtId="0" xfId="0" applyAlignment="1" applyFont="1">
      <alignment horizontal="center" readingOrder="0" shrinkToFit="0" vertical="center" wrapText="1"/>
    </xf>
    <xf borderId="0" fillId="0" fontId="130" numFmtId="0" xfId="0" applyAlignment="1" applyFont="1">
      <alignment horizontal="center" readingOrder="0" shrinkToFit="0" vertical="center" wrapText="1"/>
    </xf>
    <xf borderId="18" fillId="0" fontId="86" numFmtId="0" xfId="0" applyAlignment="1" applyBorder="1" applyFont="1">
      <alignment horizontal="center" readingOrder="0" vertical="center"/>
    </xf>
    <xf borderId="18" fillId="34" fontId="71" numFmtId="49" xfId="0" applyAlignment="1" applyBorder="1" applyFont="1" applyNumberFormat="1">
      <alignment horizontal="center" readingOrder="0" shrinkToFit="0" vertical="center" wrapText="0"/>
    </xf>
    <xf borderId="27" fillId="0" fontId="1" numFmtId="0" xfId="0" applyAlignment="1" applyBorder="1" applyFont="1">
      <alignment horizontal="center" shrinkToFit="0" vertical="center" wrapText="1"/>
    </xf>
    <xf borderId="0" fillId="6" fontId="14" numFmtId="0" xfId="0" applyAlignment="1" applyFont="1">
      <alignment horizontal="center" readingOrder="0" vertical="center"/>
    </xf>
    <xf borderId="18" fillId="0" fontId="1" numFmtId="0" xfId="0" applyAlignment="1" applyBorder="1" applyFont="1">
      <alignment horizontal="center" readingOrder="0" shrinkToFit="0" vertical="center" wrapText="1"/>
    </xf>
    <xf borderId="26" fillId="0" fontId="131" numFmtId="0" xfId="0" applyAlignment="1" applyBorder="1" applyFont="1">
      <alignment horizontal="center" readingOrder="0" shrinkToFit="0" vertical="center" wrapText="1"/>
    </xf>
    <xf borderId="18" fillId="0" fontId="132" numFmtId="0" xfId="0" applyAlignment="1" applyBorder="1" applyFont="1">
      <alignment horizontal="center" readingOrder="0" shrinkToFit="0" vertical="center" wrapText="1"/>
    </xf>
    <xf borderId="0" fillId="0" fontId="12" numFmtId="175" xfId="0" applyAlignment="1" applyFont="1" applyNumberFormat="1">
      <alignment horizontal="center" readingOrder="0" shrinkToFit="0" vertical="center" wrapText="1"/>
    </xf>
    <xf borderId="0" fillId="0" fontId="86" numFmtId="0" xfId="0" applyAlignment="1" applyFont="1">
      <alignment horizontal="center" readingOrder="0" shrinkToFit="0" vertical="center" wrapText="1"/>
    </xf>
    <xf borderId="23" fillId="45" fontId="133" numFmtId="175" xfId="0" applyAlignment="1" applyBorder="1" applyFill="1" applyFont="1" applyNumberFormat="1">
      <alignment readingOrder="0" shrinkToFit="0" vertical="center" wrapText="1"/>
    </xf>
    <xf borderId="24" fillId="45" fontId="14" numFmtId="0" xfId="0" applyAlignment="1" applyBorder="1" applyFont="1">
      <alignment horizontal="center" readingOrder="0" shrinkToFit="0" vertical="center" wrapText="1"/>
    </xf>
    <xf borderId="24" fillId="45" fontId="14" numFmtId="0" xfId="0" applyAlignment="1" applyBorder="1" applyFont="1">
      <alignment horizontal="center" readingOrder="0" shrinkToFit="0" vertical="center" wrapText="1"/>
    </xf>
    <xf borderId="24" fillId="45" fontId="133" numFmtId="49" xfId="0" applyAlignment="1" applyBorder="1" applyFont="1" applyNumberFormat="1">
      <alignment horizontal="center" readingOrder="0" shrinkToFit="0" vertical="center" wrapText="1"/>
    </xf>
    <xf borderId="25" fillId="45" fontId="14" numFmtId="0" xfId="0" applyAlignment="1" applyBorder="1" applyFont="1">
      <alignment horizontal="center" readingOrder="0" shrinkToFit="0" vertical="center" wrapText="1"/>
    </xf>
    <xf borderId="0" fillId="45" fontId="14" numFmtId="0" xfId="0" applyAlignment="1" applyFont="1">
      <alignment horizontal="center" readingOrder="0" shrinkToFit="0" vertical="center" wrapText="1"/>
    </xf>
    <xf borderId="16" fillId="45" fontId="14" numFmtId="0" xfId="0" applyAlignment="1" applyBorder="1" applyFont="1">
      <alignment horizontal="center" readingOrder="0" shrinkToFit="0" vertical="center" wrapText="1"/>
    </xf>
    <xf borderId="25" fillId="45" fontId="14" numFmtId="0" xfId="0" applyAlignment="1" applyBorder="1" applyFont="1">
      <alignment horizontal="center" readingOrder="0" shrinkToFit="0" vertical="center" wrapText="1"/>
    </xf>
    <xf borderId="7" fillId="45" fontId="14" numFmtId="0" xfId="0" applyAlignment="1" applyBorder="1" applyFont="1">
      <alignment horizontal="center" readingOrder="0" shrinkToFit="0" vertical="center" wrapText="1"/>
    </xf>
    <xf borderId="25" fillId="45" fontId="14" numFmtId="49" xfId="0" applyAlignment="1" applyBorder="1" applyFont="1" applyNumberFormat="1">
      <alignment horizontal="center" readingOrder="0" shrinkToFit="0" vertical="center" wrapText="1"/>
    </xf>
    <xf borderId="0" fillId="7" fontId="1" numFmtId="0" xfId="0" applyAlignment="1" applyFont="1">
      <alignment horizontal="center" readingOrder="0" vertical="center"/>
    </xf>
    <xf borderId="9" fillId="0" fontId="1" numFmtId="0" xfId="0" applyAlignment="1" applyBorder="1" applyFont="1">
      <alignment horizontal="center" vertical="center"/>
    </xf>
    <xf borderId="16" fillId="0" fontId="1" numFmtId="180" xfId="0" applyAlignment="1" applyBorder="1" applyFont="1" applyNumberFormat="1">
      <alignment horizontal="center" vertical="center"/>
    </xf>
    <xf borderId="16" fillId="0" fontId="20" numFmtId="0" xfId="0" applyAlignment="1" applyBorder="1" applyFont="1">
      <alignment horizontal="center" readingOrder="0" vertical="center"/>
    </xf>
    <xf borderId="0" fillId="0" fontId="1" numFmtId="180" xfId="0" applyAlignment="1" applyFont="1" applyNumberFormat="1">
      <alignment horizontal="center" shrinkToFit="0" vertical="center" wrapText="1"/>
    </xf>
    <xf borderId="18" fillId="0" fontId="1" numFmtId="3" xfId="0" applyAlignment="1" applyBorder="1" applyFont="1" applyNumberFormat="1">
      <alignment horizontal="center" readingOrder="0" vertical="center"/>
    </xf>
    <xf borderId="27" fillId="0" fontId="1" numFmtId="0" xfId="0" applyAlignment="1" applyBorder="1" applyFont="1">
      <alignment horizontal="center" readingOrder="0" vertical="center"/>
    </xf>
    <xf borderId="31" fillId="0" fontId="71" numFmtId="175" xfId="0" applyAlignment="1" applyBorder="1" applyFont="1" applyNumberFormat="1">
      <alignment horizontal="center" readingOrder="0" shrinkToFit="0" vertical="center" wrapText="1"/>
    </xf>
    <xf borderId="29" fillId="0" fontId="1" numFmtId="3" xfId="0" applyAlignment="1" applyBorder="1" applyFont="1" applyNumberFormat="1">
      <alignment horizontal="center" readingOrder="0" vertical="center"/>
    </xf>
    <xf borderId="29" fillId="0" fontId="86" numFmtId="0" xfId="0" applyAlignment="1" applyBorder="1" applyFont="1">
      <alignment horizontal="center" readingOrder="0" vertical="center"/>
    </xf>
    <xf borderId="29" fillId="0" fontId="1" numFmtId="0" xfId="0" applyAlignment="1" applyBorder="1" applyFont="1">
      <alignment horizontal="center" readingOrder="0" vertical="center"/>
    </xf>
    <xf borderId="29" fillId="0" fontId="1" numFmtId="0" xfId="0" applyAlignment="1" applyBorder="1" applyFont="1">
      <alignment horizontal="center" vertical="center"/>
    </xf>
    <xf borderId="32" fillId="0" fontId="1" numFmtId="0" xfId="0" applyAlignment="1" applyBorder="1" applyFont="1">
      <alignment horizontal="center" readingOrder="0" vertical="center"/>
    </xf>
    <xf borderId="32" fillId="0" fontId="1" numFmtId="10" xfId="0" applyAlignment="1" applyBorder="1" applyFont="1" applyNumberFormat="1">
      <alignment horizontal="center" readingOrder="0" vertical="center"/>
    </xf>
    <xf borderId="23" fillId="0" fontId="71" numFmtId="175" xfId="0" applyAlignment="1" applyBorder="1" applyFont="1" applyNumberFormat="1">
      <alignment horizontal="center" readingOrder="0" shrinkToFit="0" vertical="center" wrapText="1"/>
    </xf>
    <xf borderId="24" fillId="0" fontId="1" numFmtId="0" xfId="0" applyAlignment="1" applyBorder="1" applyFont="1">
      <alignment horizontal="center" readingOrder="0" vertical="center"/>
    </xf>
    <xf borderId="24" fillId="30" fontId="71" numFmtId="0" xfId="0" applyAlignment="1" applyBorder="1" applyFont="1">
      <alignment horizontal="center" readingOrder="0" shrinkToFit="0" vertical="center" wrapText="0"/>
    </xf>
    <xf borderId="24" fillId="0" fontId="1" numFmtId="177" xfId="0" applyAlignment="1" applyBorder="1" applyFont="1" applyNumberFormat="1">
      <alignment horizontal="center" readingOrder="0" vertical="center"/>
    </xf>
    <xf borderId="25" fillId="0" fontId="1" numFmtId="0" xfId="0" applyAlignment="1" applyBorder="1" applyFont="1">
      <alignment horizontal="center" readingOrder="0" vertical="center"/>
    </xf>
    <xf borderId="18" fillId="30" fontId="71" numFmtId="0" xfId="0" applyAlignment="1" applyBorder="1" applyFont="1">
      <alignment horizontal="center" readingOrder="0" shrinkToFit="0" vertical="center" wrapText="0"/>
    </xf>
    <xf borderId="8" fillId="0" fontId="1" numFmtId="0" xfId="0" applyAlignment="1" applyBorder="1" applyFont="1">
      <alignment horizontal="center" vertical="center"/>
    </xf>
    <xf borderId="32" fillId="0" fontId="1" numFmtId="10" xfId="0" applyAlignment="1" applyBorder="1" applyFont="1" applyNumberFormat="1">
      <alignment horizontal="center" vertical="center"/>
    </xf>
    <xf borderId="24" fillId="34" fontId="71" numFmtId="49" xfId="0" applyAlignment="1" applyBorder="1" applyFont="1" applyNumberFormat="1">
      <alignment horizontal="center" readingOrder="0" shrinkToFit="0" vertical="center" wrapText="0"/>
    </xf>
    <xf borderId="29" fillId="34" fontId="71" numFmtId="49" xfId="0" applyAlignment="1" applyBorder="1" applyFont="1" applyNumberFormat="1">
      <alignment horizontal="center" readingOrder="0" shrinkToFit="0" vertical="center" wrapText="0"/>
    </xf>
    <xf borderId="29" fillId="0" fontId="1" numFmtId="0" xfId="0" applyBorder="1" applyFont="1"/>
    <xf borderId="0" fillId="0" fontId="71" numFmtId="175" xfId="0" applyAlignment="1" applyFont="1" applyNumberFormat="1">
      <alignment horizontal="center" readingOrder="0" shrinkToFit="0" vertical="center" wrapText="1"/>
    </xf>
    <xf borderId="29" fillId="30" fontId="71" numFmtId="0" xfId="0" applyAlignment="1" applyBorder="1" applyFont="1">
      <alignment horizontal="center" readingOrder="0" shrinkToFit="0" vertical="center" wrapText="0"/>
    </xf>
    <xf borderId="0" fillId="46" fontId="14" numFmtId="0" xfId="0" applyAlignment="1" applyFill="1" applyFont="1">
      <alignment horizontal="center" readingOrder="0" vertical="center"/>
    </xf>
    <xf borderId="0" fillId="19" fontId="90" numFmtId="49" xfId="0" applyAlignment="1" applyFont="1" applyNumberFormat="1">
      <alignment horizontal="center" readingOrder="0" shrinkToFit="0" vertical="center" wrapText="1"/>
    </xf>
    <xf borderId="0" fillId="19" fontId="90" numFmtId="49" xfId="0" applyAlignment="1" applyFont="1" applyNumberFormat="1">
      <alignment horizontal="left" readingOrder="0" shrinkToFit="0" vertical="center" wrapText="1"/>
    </xf>
    <xf borderId="0" fillId="0" fontId="122" numFmtId="175" xfId="0" applyAlignment="1" applyFont="1" applyNumberFormat="1">
      <alignment horizontal="center" readingOrder="0" shrinkToFit="0" vertical="center" wrapText="1"/>
    </xf>
    <xf borderId="0" fillId="0" fontId="1" numFmtId="3" xfId="0" applyAlignment="1" applyFont="1" applyNumberFormat="1">
      <alignment horizontal="center" vertical="center"/>
    </xf>
    <xf borderId="0" fillId="0" fontId="134" numFmtId="0" xfId="0" applyAlignment="1" applyFont="1">
      <alignment readingOrder="0"/>
    </xf>
    <xf borderId="0" fillId="0" fontId="1" numFmtId="0" xfId="0" applyAlignment="1" applyFont="1">
      <alignment horizontal="left" vertical="center"/>
    </xf>
    <xf borderId="0" fillId="0" fontId="135" numFmtId="0" xfId="0" applyAlignment="1" applyFont="1">
      <alignment horizontal="center" readingOrder="0" vertical="center"/>
    </xf>
    <xf borderId="0" fillId="0" fontId="136" numFmtId="0" xfId="0" applyAlignment="1" applyFont="1">
      <alignment horizontal="center" readingOrder="0" vertical="center"/>
    </xf>
    <xf borderId="0" fillId="0" fontId="126" numFmtId="0" xfId="0" applyAlignment="1" applyFont="1">
      <alignment horizontal="center" readingOrder="0" vertical="center"/>
    </xf>
    <xf borderId="0" fillId="0" fontId="137" numFmtId="0" xfId="0" applyAlignment="1" applyFont="1">
      <alignment readingOrder="0"/>
    </xf>
    <xf borderId="0" fillId="0" fontId="1" numFmtId="0" xfId="0" applyAlignment="1" applyFont="1">
      <alignment horizontal="left" readingOrder="0" vertical="center"/>
    </xf>
    <xf borderId="0" fillId="0" fontId="1" numFmtId="0" xfId="0" applyAlignment="1" applyFont="1">
      <alignment horizontal="left" readingOrder="0"/>
    </xf>
    <xf borderId="0" fillId="0" fontId="20" numFmtId="0" xfId="0" applyAlignment="1" applyFont="1">
      <alignment horizontal="left" readingOrder="0" vertical="center"/>
    </xf>
    <xf borderId="0" fillId="0" fontId="138" numFmtId="0" xfId="0" applyAlignment="1" applyFont="1">
      <alignment readingOrder="0"/>
    </xf>
    <xf borderId="0" fillId="6" fontId="139" numFmtId="0" xfId="0" applyAlignment="1" applyFont="1">
      <alignment horizontal="center" readingOrder="0"/>
    </xf>
    <xf borderId="0" fillId="6" fontId="139" numFmtId="1" xfId="0" applyAlignment="1" applyFont="1" applyNumberFormat="1">
      <alignment horizontal="center" readingOrder="0"/>
    </xf>
    <xf borderId="0" fillId="0" fontId="140" numFmtId="0" xfId="0" applyAlignment="1" applyFont="1">
      <alignment horizontal="left" readingOrder="0"/>
    </xf>
    <xf borderId="0" fillId="0" fontId="140" numFmtId="0" xfId="0" applyAlignment="1" applyFont="1">
      <alignment horizontal="center" readingOrder="0"/>
    </xf>
    <xf borderId="0" fillId="0" fontId="141" numFmtId="0" xfId="0" applyAlignment="1" applyFont="1">
      <alignment horizontal="left" readingOrder="0"/>
    </xf>
    <xf borderId="0" fillId="0" fontId="140" numFmtId="1" xfId="0" applyAlignment="1" applyFont="1" applyNumberFormat="1">
      <alignment horizontal="center" readingOrder="0"/>
    </xf>
    <xf borderId="23" fillId="6" fontId="139" numFmtId="0" xfId="0" applyAlignment="1" applyBorder="1" applyFont="1">
      <alignment horizontal="center" readingOrder="0" vertical="center"/>
    </xf>
    <xf borderId="24" fillId="6" fontId="139" numFmtId="0" xfId="0" applyAlignment="1" applyBorder="1" applyFont="1">
      <alignment horizontal="center" readingOrder="0" vertical="center"/>
    </xf>
    <xf borderId="25" fillId="6" fontId="139" numFmtId="1" xfId="0" applyAlignment="1" applyBorder="1" applyFont="1" applyNumberFormat="1">
      <alignment horizontal="center" readingOrder="0" vertical="center"/>
    </xf>
    <xf borderId="10" fillId="0" fontId="89" numFmtId="0" xfId="0" applyAlignment="1" applyBorder="1" applyFont="1">
      <alignment horizontal="center" readingOrder="0" vertical="center"/>
    </xf>
    <xf borderId="0" fillId="15" fontId="89" numFmtId="0" xfId="0" applyAlignment="1" applyFont="1">
      <alignment horizontal="center" readingOrder="0" vertical="center"/>
    </xf>
    <xf borderId="16" fillId="0" fontId="10" numFmtId="1" xfId="0" applyAlignment="1" applyBorder="1" applyFont="1" applyNumberFormat="1">
      <alignment horizontal="center" vertical="center"/>
    </xf>
    <xf borderId="0" fillId="0" fontId="142" numFmtId="0" xfId="0" applyAlignment="1" applyFont="1">
      <alignment horizontal="center" readingOrder="0" vertical="center"/>
    </xf>
    <xf borderId="0" fillId="0" fontId="10" numFmtId="0" xfId="0" applyAlignment="1" applyFont="1">
      <alignment horizontal="center" readingOrder="0" vertical="center"/>
    </xf>
    <xf borderId="10" fillId="0" fontId="10" numFmtId="0" xfId="0" applyAlignment="1" applyBorder="1" applyFont="1">
      <alignment horizontal="center" readingOrder="0" vertical="center"/>
    </xf>
    <xf borderId="16" fillId="0" fontId="10" numFmtId="0" xfId="0" applyAlignment="1" applyBorder="1" applyFont="1">
      <alignment horizontal="center" readingOrder="0" vertical="center"/>
    </xf>
    <xf borderId="16" fillId="0" fontId="10" numFmtId="1" xfId="0" applyAlignment="1" applyBorder="1" applyFont="1" applyNumberFormat="1">
      <alignment horizontal="center" readingOrder="0" vertical="center"/>
    </xf>
    <xf borderId="0" fillId="0" fontId="10" numFmtId="0" xfId="0" applyAlignment="1" applyFont="1">
      <alignment horizontal="center" vertical="center"/>
    </xf>
    <xf borderId="16" fillId="0" fontId="10" numFmtId="0" xfId="0" applyAlignment="1" applyBorder="1" applyFont="1">
      <alignment horizontal="center" vertical="center"/>
    </xf>
    <xf borderId="0" fillId="0" fontId="143" numFmtId="0" xfId="0" applyAlignment="1" applyFont="1">
      <alignment horizontal="center" readingOrder="0" vertical="center"/>
    </xf>
    <xf borderId="16" fillId="27" fontId="89" numFmtId="1" xfId="0" applyAlignment="1" applyBorder="1" applyFont="1" applyNumberFormat="1">
      <alignment horizontal="center" vertical="center"/>
    </xf>
    <xf borderId="0" fillId="0" fontId="10" numFmtId="1" xfId="0" applyAlignment="1" applyFont="1" applyNumberFormat="1">
      <alignment horizontal="center" vertical="center"/>
    </xf>
    <xf borderId="16" fillId="0" fontId="10" numFmtId="0" xfId="0" applyAlignment="1" applyBorder="1" applyFont="1">
      <alignment horizontal="center" vertical="center"/>
    </xf>
    <xf borderId="10" fillId="0" fontId="10" numFmtId="0" xfId="0" applyAlignment="1" applyBorder="1" applyFont="1">
      <alignment horizontal="center" readingOrder="0" shrinkToFit="0" vertical="center" wrapText="1"/>
    </xf>
    <xf borderId="0" fillId="0" fontId="10" numFmtId="10" xfId="0" applyAlignment="1" applyFont="1" applyNumberFormat="1">
      <alignment horizontal="center" vertical="center"/>
    </xf>
    <xf borderId="16" fillId="0" fontId="10" numFmtId="10" xfId="0" applyAlignment="1" applyBorder="1" applyFont="1" applyNumberFormat="1">
      <alignment horizontal="center" vertical="center"/>
    </xf>
    <xf borderId="26" fillId="0" fontId="10" numFmtId="0" xfId="0" applyAlignment="1" applyBorder="1" applyFont="1">
      <alignment horizontal="center" readingOrder="0" vertical="center"/>
    </xf>
    <xf borderId="18" fillId="0" fontId="10" numFmtId="1" xfId="0" applyAlignment="1" applyBorder="1" applyFont="1" applyNumberFormat="1">
      <alignment horizontal="center" vertical="center"/>
    </xf>
    <xf borderId="27" fillId="0" fontId="10" numFmtId="0" xfId="0" applyAlignment="1" applyBorder="1" applyFont="1">
      <alignment horizontal="center" vertical="center"/>
    </xf>
    <xf borderId="0" fillId="0" fontId="1" numFmtId="0" xfId="0" applyAlignment="1" applyFont="1">
      <alignment horizontal="right" readingOrder="0" shrinkToFit="0" vertical="center" wrapText="0"/>
    </xf>
    <xf borderId="18" fillId="0" fontId="71" numFmtId="175" xfId="0" applyAlignment="1" applyBorder="1" applyFont="1" applyNumberFormat="1">
      <alignment horizontal="right" shrinkToFit="0" vertical="center" wrapText="1"/>
    </xf>
    <xf borderId="18" fillId="0" fontId="1" numFmtId="0" xfId="0" applyAlignment="1" applyBorder="1" applyFont="1">
      <alignment horizontal="left" readingOrder="0" shrinkToFit="0" vertical="center" wrapText="0"/>
    </xf>
    <xf borderId="18" fillId="3" fontId="1" numFmtId="0" xfId="0" applyAlignment="1" applyBorder="1" applyFont="1">
      <alignment horizontal="center" readingOrder="0" shrinkToFit="0" vertical="center" wrapText="0"/>
    </xf>
    <xf borderId="18" fillId="0" fontId="144" numFmtId="0" xfId="0" applyAlignment="1" applyBorder="1" applyFont="1">
      <alignment horizontal="left" readingOrder="0" shrinkToFit="0" vertical="center" wrapText="0"/>
    </xf>
    <xf borderId="0" fillId="0" fontId="145" numFmtId="0" xfId="0" applyAlignment="1" applyFont="1">
      <alignment horizontal="left" readingOrder="0" shrinkToFit="0" vertical="center" wrapText="0"/>
    </xf>
    <xf borderId="18" fillId="0" fontId="71" numFmtId="175" xfId="0" applyAlignment="1" applyBorder="1" applyFont="1" applyNumberFormat="1">
      <alignment horizontal="right" readingOrder="0" shrinkToFit="0" vertical="center" wrapText="1"/>
    </xf>
    <xf borderId="0" fillId="15" fontId="1" numFmtId="0" xfId="0" applyAlignment="1" applyFont="1">
      <alignment horizontal="right" shrinkToFit="0" vertical="center" wrapText="0"/>
    </xf>
    <xf borderId="0" fillId="15" fontId="1" numFmtId="0" xfId="0" applyAlignment="1" applyFont="1">
      <alignment shrinkToFit="0" vertical="center" wrapText="0"/>
    </xf>
    <xf borderId="0" fillId="15" fontId="1" numFmtId="0" xfId="0" applyAlignment="1" applyFont="1">
      <alignment horizontal="left" shrinkToFit="0" vertical="center" wrapText="0"/>
    </xf>
    <xf borderId="0" fillId="0" fontId="1" numFmtId="0" xfId="0" applyAlignment="1" applyFont="1">
      <alignment horizontal="right"/>
    </xf>
    <xf borderId="0" fillId="0" fontId="1" numFmtId="0" xfId="0" applyAlignment="1" applyFont="1">
      <alignment horizontal="right"/>
    </xf>
    <xf borderId="0" fillId="0" fontId="1" numFmtId="0" xfId="0" applyAlignment="1" applyFont="1">
      <alignment horizontal="left"/>
    </xf>
    <xf borderId="0" fillId="0" fontId="1" numFmtId="0" xfId="0" applyFont="1"/>
    <xf borderId="0" fillId="0" fontId="20" numFmtId="0" xfId="0" applyAlignment="1" applyFont="1">
      <alignment horizontal="center" readingOrder="0"/>
    </xf>
    <xf borderId="0" fillId="0" fontId="1" numFmtId="0" xfId="0" applyFont="1"/>
    <xf borderId="0" fillId="0" fontId="20" numFmtId="0" xfId="0" applyAlignment="1" applyFont="1">
      <alignment horizontal="center" readingOrder="0" shrinkToFit="0" vertical="center" wrapText="0"/>
    </xf>
    <xf borderId="0" fillId="0" fontId="20" numFmtId="0" xfId="0" applyAlignment="1" applyFont="1">
      <alignment horizontal="left" shrinkToFit="0" vertical="center" wrapText="0"/>
    </xf>
    <xf borderId="23" fillId="6" fontId="73" numFmtId="0" xfId="0" applyAlignment="1" applyBorder="1" applyFont="1">
      <alignment horizontal="center" readingOrder="0" shrinkToFit="0" vertical="center" wrapText="0"/>
    </xf>
    <xf borderId="24" fillId="6" fontId="9" numFmtId="0" xfId="0" applyAlignment="1" applyBorder="1" applyFont="1">
      <alignment horizontal="center" readingOrder="0" shrinkToFit="0" vertical="center" wrapText="0"/>
    </xf>
    <xf borderId="24" fillId="6" fontId="9" numFmtId="1" xfId="0" applyAlignment="1" applyBorder="1" applyFont="1" applyNumberFormat="1">
      <alignment horizontal="center" readingOrder="0" shrinkToFit="0" vertical="center" wrapText="0"/>
    </xf>
    <xf borderId="25" fillId="6" fontId="9" numFmtId="49" xfId="0" applyAlignment="1" applyBorder="1" applyFont="1" applyNumberFormat="1">
      <alignment horizontal="center" readingOrder="0" shrinkToFit="0" vertical="center" wrapText="0"/>
    </xf>
    <xf borderId="0" fillId="6" fontId="89" numFmtId="1" xfId="0" applyAlignment="1" applyFont="1" applyNumberFormat="1">
      <alignment horizontal="center" readingOrder="0" shrinkToFit="0" vertical="center" wrapText="0"/>
    </xf>
    <xf borderId="23" fillId="0" fontId="1" numFmtId="0" xfId="0" applyAlignment="1" applyBorder="1" applyFont="1">
      <alignment horizontal="center" readingOrder="0" shrinkToFit="0" vertical="center" wrapText="0"/>
    </xf>
    <xf borderId="24" fillId="0" fontId="1" numFmtId="1" xfId="0" applyAlignment="1" applyBorder="1" applyFont="1" applyNumberFormat="1">
      <alignment horizontal="center" readingOrder="0" shrinkToFit="0" vertical="center" wrapText="0"/>
    </xf>
    <xf borderId="0" fillId="4" fontId="1" numFmtId="3" xfId="0" applyAlignment="1" applyFont="1" applyNumberFormat="1">
      <alignment horizontal="center" readingOrder="0" shrinkToFit="0" vertical="center" wrapText="0"/>
    </xf>
    <xf borderId="24" fillId="13" fontId="1" numFmtId="0" xfId="0" applyAlignment="1" applyBorder="1" applyFont="1">
      <alignment horizontal="center" readingOrder="0" shrinkToFit="0" vertical="center" wrapText="0"/>
    </xf>
    <xf borderId="0" fillId="4" fontId="1" numFmtId="3" xfId="0" applyAlignment="1" applyFont="1" applyNumberFormat="1">
      <alignment horizontal="center" shrinkToFit="0" vertical="center" wrapText="0"/>
    </xf>
    <xf borderId="25" fillId="13" fontId="1" numFmtId="0" xfId="0" applyAlignment="1" applyBorder="1" applyFont="1">
      <alignment horizontal="center" readingOrder="0" shrinkToFit="0" vertical="center" wrapText="0"/>
    </xf>
    <xf borderId="0" fillId="0" fontId="146" numFmtId="1" xfId="0" applyAlignment="1" applyFont="1" applyNumberFormat="1">
      <alignment horizontal="center" readingOrder="0" shrinkToFit="0" vertical="center" wrapText="0"/>
    </xf>
    <xf borderId="16" fillId="0" fontId="146" numFmtId="1" xfId="0" applyAlignment="1" applyBorder="1" applyFont="1" applyNumberFormat="1">
      <alignment horizontal="center" readingOrder="0" shrinkToFit="0" vertical="center" wrapText="0"/>
    </xf>
    <xf borderId="10" fillId="0" fontId="1" numFmtId="0" xfId="0" applyAlignment="1" applyBorder="1" applyFont="1">
      <alignment horizontal="center" readingOrder="0" shrinkToFit="0" vertical="center" wrapText="0"/>
    </xf>
    <xf borderId="0" fillId="13" fontId="1" numFmtId="0" xfId="0" applyAlignment="1" applyFont="1">
      <alignment horizontal="center" shrinkToFit="0" vertical="center" wrapText="0"/>
    </xf>
    <xf borderId="26" fillId="0" fontId="1" numFmtId="0" xfId="0" applyAlignment="1" applyBorder="1" applyFont="1">
      <alignment horizontal="center" readingOrder="0" shrinkToFit="0" vertical="center" wrapText="0"/>
    </xf>
    <xf borderId="18" fillId="0" fontId="1" numFmtId="49" xfId="0" applyAlignment="1" applyBorder="1" applyFont="1" applyNumberFormat="1">
      <alignment horizontal="center" shrinkToFit="0" vertical="center" wrapText="0"/>
    </xf>
    <xf borderId="27" fillId="0" fontId="1" numFmtId="0" xfId="0" applyAlignment="1" applyBorder="1" applyFont="1">
      <alignment horizontal="center" shrinkToFit="0" vertical="center" wrapText="0"/>
    </xf>
    <xf borderId="18" fillId="0" fontId="146" numFmtId="1" xfId="0" applyAlignment="1" applyBorder="1" applyFont="1" applyNumberFormat="1">
      <alignment horizontal="center" readingOrder="0" shrinkToFit="0" vertical="center" wrapText="0"/>
    </xf>
    <xf borderId="27" fillId="0" fontId="147" numFmtId="1" xfId="0" applyAlignment="1" applyBorder="1" applyFont="1" applyNumberFormat="1">
      <alignment horizontal="center" readingOrder="0" shrinkToFit="0" vertical="center" wrapText="0"/>
    </xf>
    <xf borderId="0" fillId="0" fontId="147" numFmtId="1" xfId="0" applyAlignment="1" applyFont="1" applyNumberFormat="1">
      <alignment horizontal="center" readingOrder="0" shrinkToFit="0" vertical="center" wrapText="0"/>
    </xf>
    <xf borderId="0" fillId="0" fontId="1" numFmtId="0" xfId="0" applyAlignment="1" applyFont="1">
      <alignment horizontal="center" shrinkToFit="0" vertical="center" wrapText="0"/>
    </xf>
    <xf borderId="16" fillId="0" fontId="1" numFmtId="0" xfId="0" applyAlignment="1" applyBorder="1" applyFont="1">
      <alignment horizontal="center" shrinkToFit="0" vertical="center" wrapText="0"/>
    </xf>
    <xf borderId="18" fillId="0" fontId="1" numFmtId="49" xfId="0" applyAlignment="1" applyBorder="1" applyFont="1" applyNumberFormat="1">
      <alignment horizontal="center" readingOrder="0" shrinkToFit="0" vertical="center" wrapText="0"/>
    </xf>
    <xf borderId="16" fillId="0" fontId="1" numFmtId="1" xfId="0" applyAlignment="1" applyBorder="1" applyFont="1" applyNumberFormat="1">
      <alignment horizontal="center" shrinkToFit="0" vertical="center" wrapText="0"/>
    </xf>
    <xf borderId="24" fillId="0" fontId="1" numFmtId="49" xfId="0" applyAlignment="1" applyBorder="1" applyFont="1" applyNumberFormat="1">
      <alignment horizontal="center" readingOrder="0" shrinkToFit="0" vertical="center" wrapText="0"/>
    </xf>
    <xf borderId="24" fillId="0" fontId="1" numFmtId="0" xfId="0" applyAlignment="1" applyBorder="1" applyFont="1">
      <alignment horizontal="center" shrinkToFit="0" vertical="center" wrapText="0"/>
    </xf>
    <xf borderId="25" fillId="0" fontId="1" numFmtId="0" xfId="0" applyAlignment="1" applyBorder="1" applyFont="1">
      <alignment horizontal="center" shrinkToFit="0" vertical="center" wrapText="0"/>
    </xf>
    <xf borderId="24" fillId="0" fontId="146" numFmtId="180" xfId="0" applyAlignment="1" applyBorder="1" applyFont="1" applyNumberFormat="1">
      <alignment horizontal="center" readingOrder="0" shrinkToFit="0" vertical="center" wrapText="0"/>
    </xf>
    <xf borderId="25" fillId="0" fontId="146" numFmtId="180" xfId="0" applyAlignment="1" applyBorder="1" applyFont="1" applyNumberFormat="1">
      <alignment horizontal="center" readingOrder="0" shrinkToFit="0" vertical="center" wrapText="0"/>
    </xf>
    <xf borderId="0" fillId="0" fontId="146" numFmtId="180" xfId="0" applyAlignment="1" applyFont="1" applyNumberFormat="1">
      <alignment horizontal="center" readingOrder="0" shrinkToFit="0" vertical="center" wrapText="0"/>
    </xf>
    <xf borderId="16" fillId="0" fontId="146" numFmtId="180" xfId="0" applyAlignment="1" applyBorder="1" applyFont="1" applyNumberFormat="1">
      <alignment horizontal="center" readingOrder="0" shrinkToFit="0" vertical="center" wrapText="0"/>
    </xf>
    <xf borderId="26" fillId="0" fontId="1" numFmtId="0" xfId="0" applyAlignment="1" applyBorder="1" applyFont="1">
      <alignment shrinkToFit="0" vertical="center" wrapText="0"/>
    </xf>
    <xf borderId="18" fillId="0" fontId="1" numFmtId="49" xfId="0" applyAlignment="1" applyBorder="1" applyFont="1" applyNumberFormat="1">
      <alignment shrinkToFit="0" vertical="center" wrapText="0"/>
    </xf>
    <xf borderId="18" fillId="0" fontId="1" numFmtId="0" xfId="0" applyAlignment="1" applyBorder="1" applyFont="1">
      <alignment shrinkToFit="0" vertical="center" wrapText="0"/>
    </xf>
    <xf borderId="27" fillId="0" fontId="1" numFmtId="0" xfId="0" applyAlignment="1" applyBorder="1" applyFont="1">
      <alignment shrinkToFit="0" vertical="center" wrapText="0"/>
    </xf>
    <xf borderId="18" fillId="0" fontId="146" numFmtId="180" xfId="0" applyAlignment="1" applyBorder="1" applyFont="1" applyNumberFormat="1">
      <alignment horizontal="center" readingOrder="0" shrinkToFit="0" vertical="center" wrapText="0"/>
    </xf>
    <xf borderId="27" fillId="0" fontId="146" numFmtId="180" xfId="0" applyAlignment="1" applyBorder="1" applyFont="1" applyNumberFormat="1">
      <alignment horizontal="center" readingOrder="0" shrinkToFit="0" vertical="center" wrapText="0"/>
    </xf>
    <xf borderId="0" fillId="6" fontId="26" numFmtId="0" xfId="0" applyAlignment="1" applyFont="1">
      <alignment horizontal="left" readingOrder="0" vertical="bottom"/>
    </xf>
    <xf borderId="0" fillId="6" fontId="26" numFmtId="49" xfId="0" applyAlignment="1" applyFont="1" applyNumberFormat="1">
      <alignment horizontal="center" readingOrder="0" shrinkToFit="0" vertical="center" wrapText="1"/>
    </xf>
    <xf borderId="0" fillId="6" fontId="26" numFmtId="0" xfId="0" applyAlignment="1" applyFont="1">
      <alignment horizontal="center" readingOrder="0" vertical="bottom"/>
    </xf>
    <xf borderId="0" fillId="6" fontId="26" numFmtId="0" xfId="0" applyAlignment="1" applyFont="1">
      <alignment horizontal="left" readingOrder="0" shrinkToFit="0" vertical="center" wrapText="1"/>
    </xf>
    <xf borderId="0" fillId="6" fontId="26" numFmtId="0" xfId="0" applyAlignment="1" applyFont="1">
      <alignment horizontal="center" readingOrder="0" shrinkToFit="0" vertical="bottom" wrapText="0"/>
    </xf>
    <xf borderId="0" fillId="0" fontId="3" numFmtId="167" xfId="0" applyAlignment="1" applyFont="1" applyNumberFormat="1">
      <alignment horizontal="left" readingOrder="0" vertical="bottom"/>
    </xf>
    <xf borderId="0" fillId="0" fontId="3" numFmtId="1" xfId="0" applyAlignment="1" applyFont="1" applyNumberFormat="1">
      <alignment horizontal="center" readingOrder="0" vertical="bottom"/>
    </xf>
    <xf borderId="0" fillId="0" fontId="1" numFmtId="1" xfId="0" applyAlignment="1" applyFont="1" applyNumberFormat="1">
      <alignment horizontal="center" readingOrder="0"/>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3" numFmtId="167" xfId="0" applyAlignment="1" applyFont="1" applyNumberFormat="1">
      <alignment horizontal="left" shrinkToFit="0" vertical="center" wrapText="1"/>
    </xf>
    <xf borderId="0" fillId="0" fontId="1" numFmtId="0" xfId="0" applyAlignment="1" applyFont="1">
      <alignment horizontal="left" shrinkToFit="0" vertical="center" wrapText="1"/>
    </xf>
    <xf borderId="0" fillId="0" fontId="3" numFmtId="167" xfId="0" applyAlignment="1" applyFont="1" applyNumberFormat="1">
      <alignment horizontal="center" vertical="bottom"/>
    </xf>
    <xf borderId="0" fillId="13" fontId="3" numFmtId="167" xfId="0" applyAlignment="1" applyFont="1" applyNumberFormat="1">
      <alignment horizontal="left" readingOrder="0" vertical="bottom"/>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wrapText="1"/>
    </xf>
    <xf borderId="0" fillId="0" fontId="1" numFmtId="0" xfId="0" applyAlignment="1" applyFont="1">
      <alignment horizontal="center" readingOrder="0" shrinkToFit="0" wrapText="0"/>
    </xf>
    <xf borderId="0" fillId="0" fontId="1" numFmtId="49" xfId="0" applyFont="1" applyNumberFormat="1"/>
    <xf borderId="0" fillId="0" fontId="1" numFmtId="0" xfId="0" applyAlignment="1" applyFont="1">
      <alignment horizontal="center" shrinkToFit="0" wrapText="1"/>
    </xf>
    <xf borderId="0" fillId="0" fontId="1" numFmtId="0" xfId="0" applyAlignment="1" applyFont="1">
      <alignment horizontal="center" shrinkToFit="0" wrapText="0"/>
    </xf>
    <xf borderId="0" fillId="0" fontId="3" numFmtId="0" xfId="0" applyAlignment="1" applyFont="1">
      <alignment horizontal="left" readingOrder="0" vertical="bottom"/>
    </xf>
    <xf borderId="0" fillId="0" fontId="1" numFmtId="49" xfId="0" applyAlignment="1" applyFont="1" applyNumberFormat="1">
      <alignment horizontal="center"/>
    </xf>
    <xf borderId="0" fillId="42" fontId="14" numFmtId="0" xfId="0" applyAlignment="1" applyFont="1">
      <alignment horizontal="center" readingOrder="0" shrinkToFit="0" vertical="center" wrapText="0"/>
    </xf>
    <xf borderId="0" fillId="0" fontId="148" numFmtId="0" xfId="0" applyAlignment="1" applyFont="1">
      <alignment readingOrder="0" shrinkToFit="0" wrapText="0"/>
    </xf>
    <xf borderId="0" fillId="0" fontId="1" numFmtId="0" xfId="0" applyAlignment="1" applyFont="1">
      <alignment readingOrder="0" shrinkToFit="0" wrapText="0"/>
    </xf>
    <xf borderId="0" fillId="0" fontId="149" numFmtId="0" xfId="0" applyAlignment="1" applyFont="1">
      <alignment readingOrder="0" shrinkToFit="0" wrapText="0"/>
    </xf>
    <xf borderId="0" fillId="0" fontId="1" numFmtId="0" xfId="0" applyFont="1"/>
    <xf borderId="0" fillId="12" fontId="150" numFmtId="0" xfId="0" applyAlignment="1" applyFont="1">
      <alignment readingOrder="0" shrinkToFit="0" wrapText="0"/>
    </xf>
    <xf borderId="0" fillId="0" fontId="1" numFmtId="164" xfId="0" applyFont="1" applyNumberFormat="1"/>
  </cellXfs>
  <cellStyles count="1">
    <cellStyle xfId="0" name="Normal" builtinId="0"/>
  </cellStyles>
  <dxfs count="13">
    <dxf>
      <font/>
      <fill>
        <patternFill patternType="solid">
          <fgColor rgb="FFF4CCCC"/>
          <bgColor rgb="FFF4CCCC"/>
        </patternFill>
      </fill>
      <border/>
    </dxf>
    <dxf>
      <font/>
      <fill>
        <patternFill patternType="solid">
          <fgColor rgb="FFB7E1CD"/>
          <bgColor rgb="FFB7E1CD"/>
        </patternFill>
      </fill>
      <border/>
    </dxf>
    <dxf>
      <font/>
      <fill>
        <patternFill patternType="solid">
          <fgColor rgb="FFEA9999"/>
          <bgColor rgb="FFEA9999"/>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E6B8AF"/>
          <bgColor rgb="FFE6B8AF"/>
        </patternFill>
      </fill>
      <border/>
    </dxf>
    <dxf>
      <font/>
      <fill>
        <patternFill patternType="solid">
          <fgColor rgb="FF93C47D"/>
          <bgColor rgb="FF93C47D"/>
        </patternFill>
      </fill>
      <border/>
    </dxf>
    <dxf>
      <font/>
      <fill>
        <patternFill patternType="solid">
          <fgColor rgb="FFD9D2E9"/>
          <bgColor rgb="FFD9D2E9"/>
        </patternFill>
      </fill>
      <border/>
    </dxf>
    <dxf>
      <font/>
      <fill>
        <patternFill patternType="solid">
          <fgColor rgb="FFE06666"/>
          <bgColor rgb="FFE06666"/>
        </patternFill>
      </fill>
      <border/>
    </dxf>
    <dxf>
      <font/>
      <fill>
        <patternFill patternType="solid">
          <fgColor rgb="FFF6B26B"/>
          <bgColor rgb="FFF6B26B"/>
        </patternFill>
      </fill>
      <border/>
    </dxf>
  </dxfs>
  <tableStyles count="20">
    <tableStyle count="4" pivot="0" name="STATEMENT-style">
      <tableStyleElement dxfId="4" type="headerRow"/>
      <tableStyleElement dxfId="5" type="firstRowStripe"/>
      <tableStyleElement dxfId="6" type="secondRowStripe"/>
      <tableStyleElement dxfId="7" size="0" type="wholeTable"/>
    </tableStyle>
    <tableStyle count="4" pivot="0" name="STATEMENT-style 2">
      <tableStyleElement dxfId="4" type="headerRow"/>
      <tableStyleElement dxfId="5" type="firstRowStripe"/>
      <tableStyleElement dxfId="6" type="secondRowStripe"/>
      <tableStyleElement dxfId="7" size="0" type="wholeTable"/>
    </tableStyle>
    <tableStyle count="4" pivot="0" name="STATEMENT-style 3">
      <tableStyleElement dxfId="4" type="headerRow"/>
      <tableStyleElement dxfId="5" type="firstRowStripe"/>
      <tableStyleElement dxfId="6" type="secondRowStripe"/>
      <tableStyleElement dxfId="7" size="0" type="wholeTable"/>
    </tableStyle>
    <tableStyle count="4" pivot="0" name="STATEMENT-style 4">
      <tableStyleElement dxfId="4" type="headerRow"/>
      <tableStyleElement dxfId="5" type="firstRowStripe"/>
      <tableStyleElement dxfId="6" type="secondRowStripe"/>
      <tableStyleElement dxfId="7" size="0" type="wholeTable"/>
    </tableStyle>
    <tableStyle count="4" pivot="0" name="STATEMENT-style 5">
      <tableStyleElement dxfId="4" type="headerRow"/>
      <tableStyleElement dxfId="5" type="firstRowStripe"/>
      <tableStyleElement dxfId="6" type="secondRowStripe"/>
      <tableStyleElement dxfId="7" size="0" type="wholeTable"/>
    </tableStyle>
    <tableStyle count="4" pivot="0" name="OLD-style">
      <tableStyleElement dxfId="4" type="headerRow"/>
      <tableStyleElement dxfId="5" type="firstRowStripe"/>
      <tableStyleElement dxfId="6" type="secondRowStripe"/>
      <tableStyleElement dxfId="7" size="0" type="wholeTable"/>
    </tableStyle>
    <tableStyle count="4" pivot="0" name="OLD-style 2">
      <tableStyleElement dxfId="4" type="headerRow"/>
      <tableStyleElement dxfId="5" type="firstRowStripe"/>
      <tableStyleElement dxfId="6" type="secondRowStripe"/>
      <tableStyleElement dxfId="7" size="0" type="wholeTable"/>
    </tableStyle>
    <tableStyle count="4" pivot="0" name="OLD-style 3">
      <tableStyleElement dxfId="4" type="headerRow"/>
      <tableStyleElement dxfId="5" type="firstRowStripe"/>
      <tableStyleElement dxfId="6" type="secondRowStripe"/>
      <tableStyleElement dxfId="7" size="0" type="wholeTable"/>
    </tableStyle>
    <tableStyle count="4" pivot="0" name="OLD-style 4">
      <tableStyleElement dxfId="4" type="headerRow"/>
      <tableStyleElement dxfId="5" type="firstRowStripe"/>
      <tableStyleElement dxfId="6" type="secondRowStripe"/>
      <tableStyleElement dxfId="7" size="0" type="wholeTable"/>
    </tableStyle>
    <tableStyle count="2" pivot="0" name="OLD-style 5">
      <tableStyleElement dxfId="5" type="firstRowStripe"/>
      <tableStyleElement dxfId="6" type="secondRowStripe"/>
    </tableStyle>
    <tableStyle count="4" pivot="0" name="OLD-style 6">
      <tableStyleElement dxfId="4" type="headerRow"/>
      <tableStyleElement dxfId="5" type="firstRowStripe"/>
      <tableStyleElement dxfId="6" type="secondRowStripe"/>
      <tableStyleElement dxfId="7" size="0" type="wholeTable"/>
    </tableStyle>
    <tableStyle count="4" pivot="0" name="OLD-style 7">
      <tableStyleElement dxfId="4" type="headerRow"/>
      <tableStyleElement dxfId="5" type="firstRowStripe"/>
      <tableStyleElement dxfId="6" type="secondRowStripe"/>
      <tableStyleElement dxfId="7" size="0" type="wholeTable"/>
    </tableStyle>
    <tableStyle count="2" pivot="0" name="OLD-style 8">
      <tableStyleElement dxfId="5" type="firstRowStripe"/>
      <tableStyleElement dxfId="6" type="secondRowStripe"/>
    </tableStyle>
    <tableStyle count="2" pivot="0" name="OLD-style 9">
      <tableStyleElement dxfId="5" type="firstRowStripe"/>
      <tableStyleElement dxfId="6" type="secondRowStripe"/>
    </tableStyle>
    <tableStyle count="2" pivot="0" name="OLD-style 10">
      <tableStyleElement dxfId="5" type="firstRowStripe"/>
      <tableStyleElement dxfId="6" type="secondRowStripe"/>
    </tableStyle>
    <tableStyle count="2" pivot="0" name="OLD-style 11">
      <tableStyleElement dxfId="5" type="firstRowStripe"/>
      <tableStyleElement dxfId="6" type="secondRowStripe"/>
    </tableStyle>
    <tableStyle count="4" pivot="0" name="OLD-style 12">
      <tableStyleElement dxfId="4" type="headerRow"/>
      <tableStyleElement dxfId="5" type="firstRowStripe"/>
      <tableStyleElement dxfId="6" type="secondRowStripe"/>
      <tableStyleElement dxfId="7" size="0" type="wholeTable"/>
    </tableStyle>
    <tableStyle count="2" pivot="0" name="OLD-style 13">
      <tableStyleElement dxfId="5" type="firstRowStripe"/>
      <tableStyleElement dxfId="6" type="secondRowStripe"/>
    </tableStyle>
    <tableStyle count="4" pivot="0" name="OLD-style 14">
      <tableStyleElement dxfId="4" type="headerRow"/>
      <tableStyleElement dxfId="5" type="firstRowStripe"/>
      <tableStyleElement dxfId="6" type="secondRowStripe"/>
      <tableStyleElement dxfId="7" size="0" type="wholeTable"/>
    </tableStyle>
    <tableStyle count="4" pivot="0" name="OLD-style 15">
      <tableStyleElement dxfId="4" type="headerRow"/>
      <tableStyleElement dxfId="5"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Points - PerTrade</a:t>
            </a:r>
          </a:p>
        </c:rich>
      </c:tx>
      <c:overlay val="0"/>
    </c:title>
    <c:plotArea>
      <c:layout/>
      <c:barChart>
        <c:barDir val="col"/>
        <c:grouping val="stacked"/>
        <c:ser>
          <c:idx val="0"/>
          <c:order val="0"/>
          <c:tx>
            <c:strRef>
              <c:f>'JOURNAL- NUM'!$M$1</c:f>
            </c:strRef>
          </c:tx>
          <c:spPr>
            <a:solidFill>
              <a:srgbClr val="93C47D"/>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'JOURNAL- NUM'!$M$2:$M$79</c:f>
              <c:numCache/>
            </c:numRef>
          </c:val>
        </c:ser>
        <c:overlap val="100"/>
        <c:axId val="294325086"/>
        <c:axId val="834069623"/>
      </c:barChart>
      <c:catAx>
        <c:axId val="2943250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34069623"/>
      </c:catAx>
      <c:valAx>
        <c:axId val="8340696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432508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Equity Curve (NET) vs Date</a:t>
            </a:r>
          </a:p>
        </c:rich>
      </c:tx>
      <c:overlay val="0"/>
    </c:title>
    <c:plotArea>
      <c:layout/>
      <c:areaChart>
        <c:grouping val="stacked"/>
        <c:ser>
          <c:idx val="0"/>
          <c:order val="0"/>
          <c:tx>
            <c:strRef>
              <c:f>TABLES!$C$1</c:f>
            </c:strRef>
          </c:tx>
          <c:spPr>
            <a:solidFill>
              <a:srgbClr val="388E3C">
                <a:alpha val="30000"/>
              </a:srgbClr>
            </a:solidFill>
            <a:ln cmpd="sng">
              <a:solidFill>
                <a:srgbClr val="388E3C">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TABLES!$A$2:$A$37</c:f>
            </c:strRef>
          </c:cat>
          <c:val>
            <c:numRef>
              <c:f>TABLES!$C$2:$C$37</c:f>
              <c:numCache/>
            </c:numRef>
          </c:val>
        </c:ser>
        <c:axId val="2134303855"/>
        <c:axId val="495749992"/>
      </c:areaChart>
      <c:catAx>
        <c:axId val="21343038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95749992"/>
      </c:catAx>
      <c:valAx>
        <c:axId val="4957499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4303855"/>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Equity Curve vs Date</a:t>
            </a:r>
          </a:p>
        </c:rich>
      </c:tx>
      <c:overlay val="0"/>
    </c:title>
    <c:plotArea>
      <c:layout/>
      <c:areaChart>
        <c:grouping val="stacked"/>
        <c:ser>
          <c:idx val="0"/>
          <c:order val="0"/>
          <c:tx>
            <c:strRef>
              <c:f>TABLES!$C$1</c:f>
            </c:strRef>
          </c:tx>
          <c:spPr>
            <a:solidFill>
              <a:srgbClr val="388E3C">
                <a:alpha val="30000"/>
              </a:srgbClr>
            </a:solidFill>
            <a:ln cmpd="sng">
              <a:solidFill>
                <a:srgbClr val="388E3C">
                  <a:alpha val="100000"/>
                </a:srgbClr>
              </a:solidFill>
            </a:ln>
          </c:spPr>
          <c:dLbls>
            <c:numFmt formatCode="General" sourceLinked="1"/>
            <c:txPr>
              <a:bodyPr/>
              <a:lstStyle/>
              <a:p>
                <a:pPr lvl="0">
                  <a:defRPr/>
                </a:pPr>
              </a:p>
            </c:txPr>
            <c:showLegendKey val="0"/>
            <c:showVal val="1"/>
            <c:showCatName val="0"/>
            <c:showSerName val="0"/>
            <c:showPercent val="0"/>
            <c:showBubbleSize val="0"/>
          </c:dLbls>
          <c:cat>
            <c:strRef>
              <c:f>TABLES!$A$2:$A$37</c:f>
            </c:strRef>
          </c:cat>
          <c:val>
            <c:numRef>
              <c:f>TABLES!$C$2:$C$37</c:f>
              <c:numCache/>
            </c:numRef>
          </c:val>
        </c:ser>
        <c:axId val="1987717870"/>
        <c:axId val="455783787"/>
      </c:areaChart>
      <c:catAx>
        <c:axId val="19877178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455783787"/>
      </c:catAx>
      <c:valAx>
        <c:axId val="4557837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Equity Curve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7717870"/>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image" Target="../media/Chart3.png"/><Relationship Id="rId4" Type="http://schemas.openxmlformats.org/officeDocument/2006/relationships/image" Target="../media/Chart4.png"/><Relationship Id="rId9" Type="http://schemas.openxmlformats.org/officeDocument/2006/relationships/chart" Target="../charts/chart2.xml"/><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295275</xdr:colOff>
      <xdr:row>33</xdr:row>
      <xdr:rowOff>76200</xdr:rowOff>
    </xdr:from>
    <xdr:ext cx="6648450" cy="3228975"/>
    <xdr:pic>
      <xdr:nvPicPr>
        <xdr:cNvPr id="1311824561"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33</xdr:row>
      <xdr:rowOff>123825</xdr:rowOff>
    </xdr:from>
    <xdr:ext cx="6648450" cy="33337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17</xdr:row>
      <xdr:rowOff>47625</xdr:rowOff>
    </xdr:from>
    <xdr:ext cx="6648450" cy="2876550"/>
    <xdr:pic>
      <xdr:nvPicPr>
        <xdr:cNvPr id="1502185627"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561975</xdr:colOff>
      <xdr:row>16</xdr:row>
      <xdr:rowOff>76200</xdr:rowOff>
    </xdr:from>
    <xdr:ext cx="6600825" cy="3038475"/>
    <xdr:pic>
      <xdr:nvPicPr>
        <xdr:cNvPr id="1393014338"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542925</xdr:colOff>
      <xdr:row>52</xdr:row>
      <xdr:rowOff>123825</xdr:rowOff>
    </xdr:from>
    <xdr:ext cx="6648450" cy="3409950"/>
    <xdr:pic>
      <xdr:nvPicPr>
        <xdr:cNvPr id="1366240434"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53</xdr:row>
      <xdr:rowOff>9525</xdr:rowOff>
    </xdr:from>
    <xdr:ext cx="6648450" cy="3409950"/>
    <xdr:pic>
      <xdr:nvPicPr>
        <xdr:cNvPr id="1639739282"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228600</xdr:colOff>
      <xdr:row>71</xdr:row>
      <xdr:rowOff>114300</xdr:rowOff>
    </xdr:from>
    <xdr:ext cx="6934200" cy="3533775"/>
    <xdr:pic>
      <xdr:nvPicPr>
        <xdr:cNvPr id="724229756"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72</xdr:row>
      <xdr:rowOff>47625</xdr:rowOff>
    </xdr:from>
    <xdr:ext cx="6600825" cy="3409950"/>
    <xdr:pic>
      <xdr:nvPicPr>
        <xdr:cNvPr id="1789730555"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742950</xdr:colOff>
      <xdr:row>0</xdr:row>
      <xdr:rowOff>0</xdr:rowOff>
    </xdr:from>
    <xdr:ext cx="9020175" cy="3333750"/>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43</xdr:row>
      <xdr:rowOff>57150</xdr:rowOff>
    </xdr:from>
    <xdr:ext cx="3152775" cy="3333750"/>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2:L37" displayName="Profit_LOSS" name="Profit_LOSS" id="1">
  <autoFilter ref="$A$2:$L$37"/>
  <tableColumns count="12">
    <tableColumn name="Yr" id="1"/>
    <tableColumn name="Month" id="2"/>
    <tableColumn name="Inc" id="3"/>
    <tableColumn name="Tax" id="4"/>
    <tableColumn name="Net" id="5"/>
    <tableColumn name="Inc_x000a_Month_x000a_Cumm " id="6"/>
    <tableColumn name="Inc_x000a_LifeTime_x000a_Cumm " id="7"/>
    <tableColumn name="Column 1" id="8"/>
    <tableColumn name="Column 9" id="9"/>
    <tableColumn name="Column 10" id="10"/>
    <tableColumn name="Column 11" id="11"/>
    <tableColumn name="Column 12" id="12"/>
  </tableColumns>
  <tableStyleInfo name="STATEMENT-style" showColumnStripes="0" showFirstColumn="1" showLastColumn="1" showRowStripes="1"/>
</table>
</file>

<file path=xl/tables/table2.xml><?xml version="1.0" encoding="utf-8"?>
<table xmlns="http://schemas.openxmlformats.org/spreadsheetml/2006/main" ref="A41:F51" displayName="BreakUp_Details" name="BreakUp_Details" id="2">
  <tableColumns count="6">
    <tableColumn name="Yr" id="1"/>
    <tableColumn name="Month" id="2"/>
    <tableColumn name="Inc" id="3"/>
    <tableColumn name="Tax" id="4"/>
    <tableColumn name="Net" id="5"/>
    <tableColumn name="Broker" id="6"/>
  </tableColumns>
  <tableStyleInfo name="STATEMENT-style 2" showColumnStripes="0" showFirstColumn="1" showLastColumn="1" showRowStripes="1"/>
</table>
</file>

<file path=xl/tables/table3.xml><?xml version="1.0" encoding="utf-8"?>
<table xmlns="http://schemas.openxmlformats.org/spreadsheetml/2006/main" ref="A55:E73" displayName="CAPITAL" name="CAPITAL" id="3">
  <tableColumns count="5">
    <tableColumn name="Date" id="1"/>
    <tableColumn name="Action" id="2"/>
    <tableColumn name="Amount" id="3"/>
    <tableColumn name="Broker" id="4"/>
    <tableColumn name="Column 1" id="5"/>
  </tableColumns>
  <tableStyleInfo name="STATEMENT-style 3" showColumnStripes="0" showFirstColumn="1" showLastColumn="1" showRowStripes="1"/>
</table>
</file>

<file path=xl/tables/table4.xml><?xml version="1.0" encoding="utf-8"?>
<table xmlns="http://schemas.openxmlformats.org/spreadsheetml/2006/main" ref="G72:J79" displayName="Monthly_Return_2026" name="Monthly_Return_2026" id="4">
  <tableColumns count="4">
    <tableColumn name="Month Closing Bal" id="1"/>
    <tableColumn name="Amt" id="2"/>
    <tableColumn name="Diff" id="3"/>
    <tableColumn name="%" id="4"/>
  </tableColumns>
  <tableStyleInfo name="STATEMENT-style 4" showColumnStripes="0" showFirstColumn="1" showLastColumn="1" showRowStripes="1"/>
</table>
</file>

<file path=xl/tables/table5.xml><?xml version="1.0" encoding="utf-8"?>
<table xmlns="http://schemas.openxmlformats.org/spreadsheetml/2006/main" ref="A76:C82" displayName="Expense" name="Expense" id="5">
  <tableColumns count="3">
    <tableColumn name="Date" id="1"/>
    <tableColumn name="Particular" id="2"/>
    <tableColumn name="Amt" id="3"/>
  </tableColumns>
  <tableStyleInfo name="STATEMENT-style 5" showColumnStripes="0" showFirstColumn="1" showLastColumn="1" showRowStripes="1"/>
</table>
</file>

<file path=xl/tables/table6.xml><?xml version="1.0" encoding="utf-8"?>
<table xmlns="http://schemas.openxmlformats.org/spreadsheetml/2006/main" ref="A7:BQ28" displayName="ALGO_REAL" name="ALGO_REAL" id="6">
  <tableColumns count="69">
    <tableColumn name="Date - " id="1"/>
    <tableColumn name="SITE" id="2"/>
    <tableColumn name="Year" id="3"/>
    <tableColumn name="Month" id="4"/>
    <tableColumn name="Weeks" id="5"/>
    <tableColumn name="AUTO_x000a_MANUAL" id="6"/>
    <tableColumn name="STR" id="7"/>
    <tableColumn name="INDEX" id="8"/>
    <tableColumn name="SIDE" id="9"/>
    <tableColumn name="P/L" id="10"/>
    <tableColumn name="Entry" id="11"/>
    <tableColumn name="Gross" id="12"/>
    <tableColumn name="T.Gross" id="13"/>
    <tableColumn name="Column 33" id="14"/>
    <tableColumn name="Day End" id="15"/>
    <tableColumn name="Net_x000a_PT" id="16"/>
    <tableColumn name="%R" id="17"/>
    <tableColumn name="Trade" id="18"/>
    <tableColumn name="TELEGRAM" id="19"/>
    <tableColumn name="STRIKE" id="20"/>
    <tableColumn name="B/S" id="21"/>
    <tableColumn name="CE/PE" id="22"/>
    <tableColumn name="Exit" id="23"/>
    <tableColumn name="Duration" id="24"/>
    <tableColumn name="CP" id="25"/>
    <tableColumn name="Sp" id="26"/>
    <tableColumn name="Pt Gain" id="27"/>
    <tableColumn name="Pt Loss" id="28"/>
    <tableColumn name="QTY" id="29"/>
    <tableColumn name="Gain Rs" id="30"/>
    <tableColumn name="Loss_x000a_Rs" id="31"/>
    <tableColumn name="Tax" id="32"/>
    <tableColumn name="Net" id="33"/>
    <tableColumn name="Column 34" id="34"/>
    <tableColumn name="Column 35" id="35"/>
    <tableColumn name="Column 36" id="36"/>
    <tableColumn name="Column 37" id="37"/>
    <tableColumn name="Column 38" id="38"/>
    <tableColumn name="Column 39" id="39"/>
    <tableColumn name="Column 40" id="40"/>
    <tableColumn name="Column 41" id="41"/>
    <tableColumn name="Column 42" id="42"/>
    <tableColumn name="Column 43" id="43"/>
    <tableColumn name="Column 44" id="44"/>
    <tableColumn name="Column 45" id="45"/>
    <tableColumn name="Column 46" id="46"/>
    <tableColumn name="Column 47" id="47"/>
    <tableColumn name="Column 48" id="48"/>
    <tableColumn name="Column 49" id="49"/>
    <tableColumn name="Column 50" id="50"/>
    <tableColumn name="Column 51" id="51"/>
    <tableColumn name="Column 52" id="52"/>
    <tableColumn name="Column 53" id="53"/>
    <tableColumn name="Column 54" id="54"/>
    <tableColumn name="Column 55" id="55"/>
    <tableColumn name="Column 56" id="56"/>
    <tableColumn name="Column 57" id="57"/>
    <tableColumn name="Column 58" id="58"/>
    <tableColumn name="Column 59" id="59"/>
    <tableColumn name="Column 60" id="60"/>
    <tableColumn name="Column 61" id="61"/>
    <tableColumn name="Column 62" id="62"/>
    <tableColumn name="Column 63" id="63"/>
    <tableColumn name="Column 64" id="64"/>
    <tableColumn name="Column 65" id="65"/>
    <tableColumn name="Column 66" id="66"/>
    <tableColumn name="Column 67" id="67"/>
    <tableColumn name="Column 68" id="68"/>
    <tableColumn name="Column 69" id="69"/>
  </tableColumns>
  <tableStyleInfo name="OLD-style" showColumnStripes="0" showFirstColumn="1" showLastColumn="1" showRowStripes="1"/>
</table>
</file>

<file path=xl/tables/table7.xml><?xml version="1.0" encoding="utf-8"?>
<table xmlns="http://schemas.openxmlformats.org/spreadsheetml/2006/main" ref="A32:M45" displayName="FOREX_PRACTICE" name="FOREX_PRACTICE" id="7">
  <tableColumns count="13">
    <tableColumn name="DATE" id="1"/>
    <tableColumn name="TIME" id="2"/>
    <tableColumn name="INSTRUMENT" id="3"/>
    <tableColumn name="DIR" id="4"/>
    <tableColumn name="QTY" id="5"/>
    <tableColumn name="TP" id="6"/>
    <tableColumn name="SL" id="7"/>
    <tableColumn name="RR" id="8"/>
    <tableColumn name="TELEGRAM" id="9"/>
    <tableColumn name="OUTCOME" id="10"/>
    <tableColumn name="Column 10" id="11"/>
    <tableColumn name="3 IMAGES" id="12"/>
    <tableColumn name="TOPUP" id="13"/>
  </tableColumns>
  <tableStyleInfo name="OLD-style 2" showColumnStripes="0" showFirstColumn="1" showLastColumn="1" showRowStripes="1"/>
</table>
</file>

<file path=xl/tables/table8.xml><?xml version="1.0" encoding="utf-8"?>
<table xmlns="http://schemas.openxmlformats.org/spreadsheetml/2006/main" ref="A51:E91" displayName="Table4" name="Table4" id="8">
  <tableColumns count="5">
    <tableColumn name="DATE" id="1"/>
    <tableColumn name="ZERODHA" id="2"/>
    <tableColumn name="DHAN" id="3"/>
    <tableColumn name="TOTAL" id="4"/>
    <tableColumn name="Column 1" id="5"/>
  </tableColumns>
  <tableStyleInfo name="OLD-style 3" showColumnStripes="0" showFirstColumn="1" showLastColumn="1" showRowStripes="1"/>
</table>
</file>

<file path=xl/tables/table9.xml><?xml version="1.0" encoding="utf-8"?>
<table xmlns="http://schemas.openxmlformats.org/spreadsheetml/2006/main" ref="A101:BQ164" displayName="Hedging" name="Hedging" id="9">
  <tableColumns count="69">
    <tableColumn name="Column 49" id="1"/>
    <tableColumn name="Date - " id="2"/>
    <tableColumn name="SITE" id="3"/>
    <tableColumn name="Year" id="4"/>
    <tableColumn name="Month" id="5"/>
    <tableColumn name="Yr_x000a_Weeks" id="6"/>
    <tableColumn name="Month Week" id="7"/>
    <tableColumn name="INDEX" id="8"/>
    <tableColumn name="T.Gross" id="9"/>
    <tableColumn name="Day End" id="10"/>
    <tableColumn name="Day End/L" id="11"/>
    <tableColumn name="key event" id="12"/>
    <tableColumn name="StrategyBuilder" id="13"/>
    <tableColumn name="Straddle Chart" id="14"/>
    <tableColumn name="Premium" id="15"/>
    <tableColumn name="Index_x000a_TeleGRAM" id="16"/>
    <tableColumn name="Margin Require" id="17"/>
    <tableColumn name="YT " id="18"/>
    <tableColumn name="Gross" id="19"/>
    <tableColumn name="P/L" id="20"/>
    <tableColumn name="%R" id="21"/>
    <tableColumn name="Net_x000a_PT _x000a_SELL" id="22"/>
    <tableColumn name="ROCE" id="23"/>
    <tableColumn name="Trade" id="24"/>
    <tableColumn name="LIVE EXECUTION" id="25"/>
    <tableColumn name="STRIKE" id="26"/>
    <tableColumn name="Delta" id="27"/>
    <tableColumn name="B/S" id="28"/>
    <tableColumn name="CE/PE" id="29"/>
    <tableColumn name="Entry" id="30"/>
    <tableColumn name="Exit" id="31"/>
    <tableColumn name="CP" id="32"/>
    <tableColumn name="Sp/Day End" id="33"/>
    <tableColumn name="Duration" id="34"/>
    <tableColumn name="Pt Gain" id="35"/>
    <tableColumn name="Pt Loss" id="36"/>
    <tableColumn name="QTY" id="37"/>
    <tableColumn name="Gain Rs" id="38"/>
    <tableColumn name="Loss_x000a_Rs" id="39"/>
    <tableColumn name="Tax" id="40"/>
    <tableColumn name="Net" id="41"/>
    <tableColumn name="Comments" id="42"/>
    <tableColumn name="DTE" id="43"/>
    <tableColumn name="PP" id="44"/>
    <tableColumn name="Column 45" id="45"/>
    <tableColumn name="Column 46" id="46"/>
    <tableColumn name="Column 47" id="47"/>
    <tableColumn name="Column 48" id="48"/>
    <tableColumn name="Column 49 2" id="49"/>
    <tableColumn name="Column 50" id="50"/>
    <tableColumn name="Column 51" id="51"/>
    <tableColumn name="Column 52" id="52"/>
    <tableColumn name="Column 53" id="53"/>
    <tableColumn name="Column 54" id="54"/>
    <tableColumn name="Column 55" id="55"/>
    <tableColumn name="Column 56" id="56"/>
    <tableColumn name="Column 57" id="57"/>
    <tableColumn name="Column 58" id="58"/>
    <tableColumn name="Column 59" id="59"/>
    <tableColumn name="Column 60" id="60"/>
    <tableColumn name="Column 61" id="61"/>
    <tableColumn name="Column 62" id="62"/>
    <tableColumn name="Column 63" id="63"/>
    <tableColumn name="Column 64" id="64"/>
    <tableColumn name="Column 65" id="65"/>
    <tableColumn name="Column 66" id="66"/>
    <tableColumn name="Column 67" id="67"/>
    <tableColumn name="Column 68" id="68"/>
    <tableColumn name="Column 69" id="69"/>
  </tableColumns>
  <tableStyleInfo name="OLD-style 4" showColumnStripes="0" showFirstColumn="1" showLastColumn="1" showRowStripes="1"/>
</table>
</file>

<file path=xl/tables/table10.xml><?xml version="1.0" encoding="utf-8"?>
<table xmlns="http://schemas.openxmlformats.org/spreadsheetml/2006/main" headerRowCount="0" ref="A174:U174" displayName="Table_1" name="Table_1" id="10">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OLD-style 5" showColumnStripes="0" showFirstColumn="1" showLastColumn="1" showRowStripes="1"/>
</table>
</file>

<file path=xl/tables/table11.xml><?xml version="1.0" encoding="utf-8"?>
<table xmlns="http://schemas.openxmlformats.org/spreadsheetml/2006/main" ref="A183:S204" displayName="BACK_TESTING" name="BACK_TESTING" id="11">
  <tableColumns count="19">
    <tableColumn name="Date" id="1"/>
    <tableColumn name="Time" id="2"/>
    <tableColumn name="Margin Req" id="3"/>
    <tableColumn name="No Exit" id="4"/>
    <tableColumn name="Sell _x000a_Exit" id="5"/>
    <tableColumn name="L1_x000a_BUY" id="6"/>
    <tableColumn name="L2_x000a_BUY" id="7"/>
    <tableColumn name="L3_x000a_SELL" id="8"/>
    <tableColumn name="L4_x000a_SELL" id="9"/>
    <tableColumn name="Column 1" id="10"/>
    <tableColumn name="Column 2" id="11"/>
    <tableColumn name="Column 3" id="12"/>
    <tableColumn name="Strategy Builder" id="13"/>
    <tableColumn name="EDO _x000a_STRADDLE" id="14"/>
    <tableColumn name="INDEX" id="15"/>
    <tableColumn name="Premium" id="16"/>
    <tableColumn name="Leg" id="17"/>
    <tableColumn name="Tax" id="18"/>
    <tableColumn name="PAT" id="19"/>
  </tableColumns>
  <tableStyleInfo name="OLD-style 6" showColumnStripes="0" showFirstColumn="1" showLastColumn="1" showRowStripes="1"/>
</table>
</file>

<file path=xl/tables/table12.xml><?xml version="1.0" encoding="utf-8"?>
<table xmlns="http://schemas.openxmlformats.org/spreadsheetml/2006/main" ref="A210:AU247" displayName="QUALITY" name="QUALITY" id="12">
  <tableColumns count="47">
    <tableColumn name="Date" id="1"/>
    <tableColumn name="Particular" id="2"/>
    <tableColumn name="Point" id="3"/>
    <tableColumn name="Column 1" id="4"/>
    <tableColumn name="June W3" id="5"/>
    <tableColumn name="% " id="6"/>
    <tableColumn name="Jun - 16 - Mon" id="7"/>
    <tableColumn name="Jun - 17 - Tue" id="8"/>
    <tableColumn name="Jun - 18 - Wed" id="9"/>
    <tableColumn name="Column 2" id="10"/>
    <tableColumn name="Jun - 19 - Thu" id="11"/>
    <tableColumn name="Jun - 20 - Fri" id="12"/>
    <tableColumn name="Column 3" id="13"/>
    <tableColumn name="June W4" id="14"/>
    <tableColumn name="%  2" id="15"/>
    <tableColumn name="Jun - 23 - Mon" id="16"/>
    <tableColumn name="Jun - 24 - Tue" id="17"/>
    <tableColumn name="Column 4" id="18"/>
    <tableColumn name="Jun - 25 - Wed" id="19"/>
    <tableColumn name="Jun - 26 - Thu" id="20"/>
    <tableColumn name="Column 5" id="21"/>
    <tableColumn name="Column 6" id="22"/>
    <tableColumn name="Jun - 27 - Fri" id="23"/>
    <tableColumn name="Column 7" id="24"/>
    <tableColumn name="Column 8" id="25"/>
    <tableColumn name="Column 9" id="26"/>
    <tableColumn name="Column 10" id="27"/>
    <tableColumn name="July W1" id="28"/>
    <tableColumn name="%  3" id="29"/>
    <tableColumn name="Jun - 30 - Mon" id="30"/>
    <tableColumn name="Jul - 01 - Tue" id="31"/>
    <tableColumn name="Column 11" id="32"/>
    <tableColumn name="Jul - 02 - Wed" id="33"/>
    <tableColumn name="Jul - 03 - Thu" id="34"/>
    <tableColumn name="Jul - 04 - Fri" id="35"/>
    <tableColumn name="Column 12" id="36"/>
    <tableColumn name="July W2" id="37"/>
    <tableColumn name="%  4" id="38"/>
    <tableColumn name="Jul - 07 - Mon" id="39"/>
    <tableColumn name="Column 13" id="40"/>
    <tableColumn name="Jul - 08 - Tue" id="41"/>
    <tableColumn name="Column 14" id="42"/>
    <tableColumn name="Jul - 09 - Wed" id="43"/>
    <tableColumn name="Jul - 10 - Thu" id="44"/>
    <tableColumn name="Column 15" id="45"/>
    <tableColumn name="Jul - 11 - Fri" id="46"/>
    <tableColumn name="Column 16" id="47"/>
  </tableColumns>
  <tableStyleInfo name="OLD-style 7" showColumnStripes="0" showFirstColumn="1" showLastColumn="1" showRowStripes="1"/>
</table>
</file>

<file path=xl/tables/table13.xml><?xml version="1.0" encoding="utf-8"?>
<table xmlns="http://schemas.openxmlformats.org/spreadsheetml/2006/main" headerRowCount="0" ref="O336:O338" displayName="Table_2" name="Table_2" id="13">
  <tableColumns count="1">
    <tableColumn name="Column1" id="1"/>
  </tableColumns>
  <tableStyleInfo name="OLD-style 8" showColumnStripes="0" showFirstColumn="1" showLastColumn="1" showRowStripes="1"/>
</table>
</file>

<file path=xl/tables/table14.xml><?xml version="1.0" encoding="utf-8"?>
<table xmlns="http://schemas.openxmlformats.org/spreadsheetml/2006/main" headerRowCount="0" ref="P336:U338" displayName="Table_3" name="Table_3" id="14">
  <tableColumns count="6">
    <tableColumn name="Column1" id="1"/>
    <tableColumn name="Column2" id="2"/>
    <tableColumn name="Column3" id="3"/>
    <tableColumn name="Column4" id="4"/>
    <tableColumn name="Column5" id="5"/>
    <tableColumn name="Column6" id="6"/>
  </tableColumns>
  <tableStyleInfo name="OLD-style 9" showColumnStripes="0" showFirstColumn="1" showLastColumn="1" showRowStripes="1"/>
</table>
</file>

<file path=xl/tables/table15.xml><?xml version="1.0" encoding="utf-8"?>
<table xmlns="http://schemas.openxmlformats.org/spreadsheetml/2006/main" headerRowCount="0" ref="A357:D357" displayName="Table_4" name="Table_4" id="15">
  <tableColumns count="4">
    <tableColumn name="Column1" id="1"/>
    <tableColumn name="Column2" id="2"/>
    <tableColumn name="Column3" id="3"/>
    <tableColumn name="Column4" id="4"/>
  </tableColumns>
  <tableStyleInfo name="OLD-style 10" showColumnStripes="0" showFirstColumn="1" showLastColumn="1" showRowStripes="1"/>
</table>
</file>

<file path=xl/tables/table16.xml><?xml version="1.0" encoding="utf-8"?>
<table xmlns="http://schemas.openxmlformats.org/spreadsheetml/2006/main" headerRowCount="0" ref="A410:D426" displayName="Table_5" name="Table_5" id="16">
  <tableColumns count="4">
    <tableColumn name="Column1" id="1"/>
    <tableColumn name="Column2" id="2"/>
    <tableColumn name="Column3" id="3"/>
    <tableColumn name="Column4" id="4"/>
  </tableColumns>
  <tableStyleInfo name="OLD-style 11" showColumnStripes="0" showFirstColumn="1" showLastColumn="1" showRowStripes="1"/>
</table>
</file>

<file path=xl/tables/table17.xml><?xml version="1.0" encoding="utf-8"?>
<table xmlns="http://schemas.openxmlformats.org/spreadsheetml/2006/main" ref="A431:U475" displayName="Table6" name="Table6" id="17">
  <tableColumns count="21">
    <tableColumn name="DATE" id="1"/>
    <tableColumn name="Column 28" id="2"/>
    <tableColumn name="INDEX" id="3"/>
    <tableColumn name="STRIKE" id="4"/>
    <tableColumn name="START_x000a_TIME" id="5"/>
    <tableColumn name="STRIKE 2" id="6"/>
    <tableColumn name="TRADE" id="7"/>
    <tableColumn name="PROFIT" id="8"/>
    <tableColumn name="LOSS" id="9"/>
    <tableColumn name="NET" id="10"/>
    <tableColumn name="P/L" id="11"/>
    <tableColumn name="TELEGRAM" id="12"/>
    <tableColumn name="Column 29" id="13"/>
    <tableColumn name="STRIKE 3" id="14"/>
    <tableColumn name="TRADE 2" id="15"/>
    <tableColumn name="PROFIT 2" id="16"/>
    <tableColumn name="LOSS 2" id="17"/>
    <tableColumn name="NET 2" id="18"/>
    <tableColumn name="P/L 2" id="19"/>
    <tableColumn name="TELEGRAM 2" id="20"/>
    <tableColumn name="Column 17" id="21"/>
  </tableColumns>
  <tableStyleInfo name="OLD-style 12" showColumnStripes="0" showFirstColumn="1" showLastColumn="1" showRowStripes="1"/>
</table>
</file>

<file path=xl/tables/table18.xml><?xml version="1.0" encoding="utf-8"?>
<table xmlns="http://schemas.openxmlformats.org/spreadsheetml/2006/main" headerRowCount="0" ref="B476:B479" displayName="Table_6" name="Table_6" id="18">
  <tableColumns count="1">
    <tableColumn name="Column1" id="1"/>
  </tableColumns>
  <tableStyleInfo name="OLD-style 13" showColumnStripes="0" showFirstColumn="1" showLastColumn="1" showRowStripes="1"/>
</table>
</file>

<file path=xl/tables/table19.xml><?xml version="1.0" encoding="utf-8"?>
<table xmlns="http://schemas.openxmlformats.org/spreadsheetml/2006/main" ref="F481:L485" displayName="Table7" name="Table7" id="19">
  <tableColumns count="7">
    <tableColumn name="Month" id="1"/>
    <tableColumn name="GROSS" id="2"/>
    <tableColumn name="Trade" id="3"/>
    <tableColumn name="WIN_x000a_Day" id="4"/>
    <tableColumn name="LOSS_x000a_Day" id="5"/>
    <tableColumn name="Tax" id="6"/>
    <tableColumn name="Net" id="7"/>
  </tableColumns>
  <tableStyleInfo name="OLD-style 14" showColumnStripes="0" showFirstColumn="1" showLastColumn="1" showRowStripes="1"/>
</table>
</file>

<file path=xl/tables/table20.xml><?xml version="1.0" encoding="utf-8"?>
<table xmlns="http://schemas.openxmlformats.org/spreadsheetml/2006/main" ref="F489:P509" displayName="Table2" name="Table2" id="20">
  <tableColumns count="11">
    <tableColumn name="Month" id="1"/>
    <tableColumn name="Week" id="2"/>
    <tableColumn name="M" id="3"/>
    <tableColumn name="T" id="4"/>
    <tableColumn name="W" id="5"/>
    <tableColumn name="Th" id="6"/>
    <tableColumn name="Fri" id="7"/>
    <tableColumn name="Total" id="8"/>
    <tableColumn name="W.Avg" id="9"/>
    <tableColumn name="M.Avg" id="10"/>
    <tableColumn name="Column 11" id="11"/>
  </tableColumns>
  <tableStyleInfo name="OLD-style 1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oatI_eqO13s?si=HgBcYZE5FV3A4sMV" TargetMode="External"/><Relationship Id="rId2" Type="http://schemas.openxmlformats.org/officeDocument/2006/relationships/hyperlink" Target="https://youtu.be/p6MxwE_eP5c?si=D3FJokzw9_tJtr55" TargetMode="External"/><Relationship Id="rId3" Type="http://schemas.openxmlformats.org/officeDocument/2006/relationships/hyperlink" Target="https://youtu.be/L9IgT-EXNzo?si=C8nAXYV4UGoDpR0W" TargetMode="External"/><Relationship Id="rId4" Type="http://schemas.openxmlformats.org/officeDocument/2006/relationships/hyperlink" Target="https://youtu.be/L9IgT-EXNzo?si=C8nAXYV4UGoDpR0W" TargetMode="External"/><Relationship Id="rId10" Type="http://schemas.openxmlformats.org/officeDocument/2006/relationships/drawing" Target="../drawings/drawing2.xml"/><Relationship Id="rId9" Type="http://schemas.openxmlformats.org/officeDocument/2006/relationships/hyperlink" Target="https://youtu.be/WBEo5XEM9hA" TargetMode="External"/><Relationship Id="rId5" Type="http://schemas.openxmlformats.org/officeDocument/2006/relationships/hyperlink" Target="https://youtu.be/rEEYsxw6xkg?si=JXSIyk4-8MS2XfF9" TargetMode="External"/><Relationship Id="rId6" Type="http://schemas.openxmlformats.org/officeDocument/2006/relationships/hyperlink" Target="https://youtu.be/xszKZQGsUsA?si=7efiFPITprqGOTWc" TargetMode="External"/><Relationship Id="rId7" Type="http://schemas.openxmlformats.org/officeDocument/2006/relationships/hyperlink" Target="https://youtu.be/kyoVAyp5s6s?si=JWRWHefJHXene8sv" TargetMode="External"/><Relationship Id="rId8" Type="http://schemas.openxmlformats.org/officeDocument/2006/relationships/hyperlink" Target="https://youtu.be/05uwm05KHBo?si=4pyJQ37edzNebBpO"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9" Type="http://schemas.openxmlformats.org/officeDocument/2006/relationships/table" Target="../tables/table1.xml"/></Relationships>
</file>

<file path=xl/worksheets/_rels/sheet8.xml.rels><?xml version="1.0" encoding="UTF-8" standalone="yes"?><Relationships xmlns="http://schemas.openxmlformats.org/package/2006/relationships"><Relationship Id="rId40" Type="http://schemas.openxmlformats.org/officeDocument/2006/relationships/hyperlink" Target="https://t.me/c/2820828095/2/23" TargetMode="External"/><Relationship Id="rId190" Type="http://schemas.openxmlformats.org/officeDocument/2006/relationships/hyperlink" Target="https://t.me/c/2622203396/2/104" TargetMode="External"/><Relationship Id="rId42" Type="http://schemas.openxmlformats.org/officeDocument/2006/relationships/hyperlink" Target="https://t.me/c/2820828095/4/20" TargetMode="External"/><Relationship Id="rId41" Type="http://schemas.openxmlformats.org/officeDocument/2006/relationships/hyperlink" Target="https://t.me/c/2820828095/3/17" TargetMode="External"/><Relationship Id="rId44" Type="http://schemas.openxmlformats.org/officeDocument/2006/relationships/hyperlink" Target="https://t.me/c/2820828095/6/14" TargetMode="External"/><Relationship Id="rId194" Type="http://schemas.openxmlformats.org/officeDocument/2006/relationships/hyperlink" Target="https://t.me/c/2622203396/2/123" TargetMode="External"/><Relationship Id="rId43" Type="http://schemas.openxmlformats.org/officeDocument/2006/relationships/hyperlink" Target="https://t.me/c/2820828095/5/29" TargetMode="External"/><Relationship Id="rId193" Type="http://schemas.openxmlformats.org/officeDocument/2006/relationships/hyperlink" Target="https://t.me/c/2622203396/6/120" TargetMode="External"/><Relationship Id="rId46" Type="http://schemas.openxmlformats.org/officeDocument/2006/relationships/hyperlink" Target="https://t.me/c/2820828095/4/32" TargetMode="External"/><Relationship Id="rId192" Type="http://schemas.openxmlformats.org/officeDocument/2006/relationships/hyperlink" Target="https://t.me/c/2622203396/2/104" TargetMode="External"/><Relationship Id="rId45" Type="http://schemas.openxmlformats.org/officeDocument/2006/relationships/hyperlink" Target="https://t.me/c/2820828095/3/30" TargetMode="External"/><Relationship Id="rId191" Type="http://schemas.openxmlformats.org/officeDocument/2006/relationships/hyperlink" Target="https://t.me/c/2622203396/6/112" TargetMode="External"/><Relationship Id="rId48" Type="http://schemas.openxmlformats.org/officeDocument/2006/relationships/hyperlink" Target="https://t.me/c/2820828095/2/34" TargetMode="External"/><Relationship Id="rId187" Type="http://schemas.openxmlformats.org/officeDocument/2006/relationships/hyperlink" Target="https://t.me/c/2622203396/6/99" TargetMode="External"/><Relationship Id="rId47" Type="http://schemas.openxmlformats.org/officeDocument/2006/relationships/hyperlink" Target="https://t.me/c/2820828095/5/33" TargetMode="External"/><Relationship Id="rId186" Type="http://schemas.openxmlformats.org/officeDocument/2006/relationships/hyperlink" Target="https://t.me/c/2622203396/2/87" TargetMode="External"/><Relationship Id="rId185" Type="http://schemas.openxmlformats.org/officeDocument/2006/relationships/hyperlink" Target="https://t.me/c/2622203396/6/92" TargetMode="External"/><Relationship Id="rId49" Type="http://schemas.openxmlformats.org/officeDocument/2006/relationships/hyperlink" Target="https://t.me/c/2820828095/3/38" TargetMode="External"/><Relationship Id="rId184" Type="http://schemas.openxmlformats.org/officeDocument/2006/relationships/hyperlink" Target="https://t.me/c/2622203396/2/83" TargetMode="External"/><Relationship Id="rId189" Type="http://schemas.openxmlformats.org/officeDocument/2006/relationships/hyperlink" Target="https://t.me/c/2622203396/6/107" TargetMode="External"/><Relationship Id="rId188" Type="http://schemas.openxmlformats.org/officeDocument/2006/relationships/hyperlink" Target="https://t.me/c/2622203396/2/95" TargetMode="External"/><Relationship Id="rId31" Type="http://schemas.openxmlformats.org/officeDocument/2006/relationships/hyperlink" Target="https://t.me/c/2820828095/5/27" TargetMode="External"/><Relationship Id="rId30" Type="http://schemas.openxmlformats.org/officeDocument/2006/relationships/hyperlink" Target="https://t.me/c/2643947979/165" TargetMode="External"/><Relationship Id="rId33" Type="http://schemas.openxmlformats.org/officeDocument/2006/relationships/hyperlink" Target="https://t.me/c/2820828095/2/22" TargetMode="External"/><Relationship Id="rId183" Type="http://schemas.openxmlformats.org/officeDocument/2006/relationships/hyperlink" Target="https://t.me/c/2622203396/6/79" TargetMode="External"/><Relationship Id="rId32" Type="http://schemas.openxmlformats.org/officeDocument/2006/relationships/hyperlink" Target="https://t.me/c/2820828095/6/11" TargetMode="External"/><Relationship Id="rId182" Type="http://schemas.openxmlformats.org/officeDocument/2006/relationships/hyperlink" Target="https://t.me/c/2622203396/2/72" TargetMode="External"/><Relationship Id="rId35" Type="http://schemas.openxmlformats.org/officeDocument/2006/relationships/hyperlink" Target="https://t.me/c/2820828095/4/19" TargetMode="External"/><Relationship Id="rId181" Type="http://schemas.openxmlformats.org/officeDocument/2006/relationships/hyperlink" Target="https://t.me/c/2622203396/6/75" TargetMode="External"/><Relationship Id="rId34" Type="http://schemas.openxmlformats.org/officeDocument/2006/relationships/hyperlink" Target="https://t.me/c/2820828095/3/16" TargetMode="External"/><Relationship Id="rId180" Type="http://schemas.openxmlformats.org/officeDocument/2006/relationships/hyperlink" Target="https://t.me/c/2622203396/2/63" TargetMode="External"/><Relationship Id="rId37" Type="http://schemas.openxmlformats.org/officeDocument/2006/relationships/hyperlink" Target="https://t.me/c/2820828095/6/13" TargetMode="External"/><Relationship Id="rId176" Type="http://schemas.openxmlformats.org/officeDocument/2006/relationships/hyperlink" Target="https://t.me/c/2622203396/2/42" TargetMode="External"/><Relationship Id="rId36" Type="http://schemas.openxmlformats.org/officeDocument/2006/relationships/hyperlink" Target="https://t.me/c/2820828095/5/28" TargetMode="External"/><Relationship Id="rId175" Type="http://schemas.openxmlformats.org/officeDocument/2006/relationships/hyperlink" Target="https://t.me/c/2622203396/6/46" TargetMode="External"/><Relationship Id="rId39" Type="http://schemas.openxmlformats.org/officeDocument/2006/relationships/hyperlink" Target="https://t.me/c/2820828095/4/21" TargetMode="External"/><Relationship Id="rId174" Type="http://schemas.openxmlformats.org/officeDocument/2006/relationships/hyperlink" Target="https://t.me/c/2622203396/2/28" TargetMode="External"/><Relationship Id="rId38" Type="http://schemas.openxmlformats.org/officeDocument/2006/relationships/hyperlink" Target="https://t.me/c/2820828095/3/18" TargetMode="External"/><Relationship Id="rId173" Type="http://schemas.openxmlformats.org/officeDocument/2006/relationships/hyperlink" Target="https://t.me/c/2622203396/6/35" TargetMode="External"/><Relationship Id="rId179" Type="http://schemas.openxmlformats.org/officeDocument/2006/relationships/hyperlink" Target="https://t.me/c/2622203396/6/58" TargetMode="External"/><Relationship Id="rId178" Type="http://schemas.openxmlformats.org/officeDocument/2006/relationships/hyperlink" Target="https://t.me/c/2622203396/2/54" TargetMode="External"/><Relationship Id="rId177" Type="http://schemas.openxmlformats.org/officeDocument/2006/relationships/hyperlink" Target="https://t.me/c/2622203396/6/51" TargetMode="External"/><Relationship Id="rId20" Type="http://schemas.openxmlformats.org/officeDocument/2006/relationships/hyperlink" Target="https://t.me/c/2643947979/108" TargetMode="External"/><Relationship Id="rId22" Type="http://schemas.openxmlformats.org/officeDocument/2006/relationships/hyperlink" Target="https://t.me/c/2643947979/126" TargetMode="External"/><Relationship Id="rId21" Type="http://schemas.openxmlformats.org/officeDocument/2006/relationships/hyperlink" Target="https://t.me/c/2643947979/117" TargetMode="External"/><Relationship Id="rId24" Type="http://schemas.openxmlformats.org/officeDocument/2006/relationships/hyperlink" Target="https://t.me/c/2643947979/151" TargetMode="External"/><Relationship Id="rId23" Type="http://schemas.openxmlformats.org/officeDocument/2006/relationships/hyperlink" Target="https://t.me/c/2643947979/132" TargetMode="External"/><Relationship Id="rId26" Type="http://schemas.openxmlformats.org/officeDocument/2006/relationships/hyperlink" Target="https://t.me/c/2643947979/142" TargetMode="External"/><Relationship Id="rId25" Type="http://schemas.openxmlformats.org/officeDocument/2006/relationships/hyperlink" Target="https://t.me/c/2643947979/142" TargetMode="External"/><Relationship Id="rId28" Type="http://schemas.openxmlformats.org/officeDocument/2006/relationships/hyperlink" Target="https://t.me/c/2643947979/157" TargetMode="External"/><Relationship Id="rId27" Type="http://schemas.openxmlformats.org/officeDocument/2006/relationships/hyperlink" Target="https://t.me/c/2643947979/157" TargetMode="External"/><Relationship Id="rId29" Type="http://schemas.openxmlformats.org/officeDocument/2006/relationships/hyperlink" Target="https://t.me/c/2643947979/166" TargetMode="External"/><Relationship Id="rId11" Type="http://schemas.openxmlformats.org/officeDocument/2006/relationships/hyperlink" Target="https://t.me/c/2524275978/67" TargetMode="External"/><Relationship Id="rId10" Type="http://schemas.openxmlformats.org/officeDocument/2006/relationships/hyperlink" Target="https://t.me/c/2524275978/63" TargetMode="External"/><Relationship Id="rId13" Type="http://schemas.openxmlformats.org/officeDocument/2006/relationships/hyperlink" Target="https://t.me/c/2524275978/69" TargetMode="External"/><Relationship Id="rId12" Type="http://schemas.openxmlformats.org/officeDocument/2006/relationships/hyperlink" Target="https://t.me/c/2524275978/71" TargetMode="External"/><Relationship Id="rId15" Type="http://schemas.openxmlformats.org/officeDocument/2006/relationships/hyperlink" Target="https://t.me/arsalanali36/203" TargetMode="External"/><Relationship Id="rId198" Type="http://schemas.openxmlformats.org/officeDocument/2006/relationships/hyperlink" Target="https://t.me/c/2622203396/2/139" TargetMode="External"/><Relationship Id="rId14" Type="http://schemas.openxmlformats.org/officeDocument/2006/relationships/hyperlink" Target="https://t.me/c/2524275978/71" TargetMode="External"/><Relationship Id="rId197" Type="http://schemas.openxmlformats.org/officeDocument/2006/relationships/hyperlink" Target="https://t.me/c/2622203396/6/135" TargetMode="External"/><Relationship Id="rId17" Type="http://schemas.openxmlformats.org/officeDocument/2006/relationships/hyperlink" Target="https://t.me/c/2524275978/77" TargetMode="External"/><Relationship Id="rId196" Type="http://schemas.openxmlformats.org/officeDocument/2006/relationships/hyperlink" Target="https://t.me/c/2622203396/2/131" TargetMode="External"/><Relationship Id="rId16" Type="http://schemas.openxmlformats.org/officeDocument/2006/relationships/hyperlink" Target="https://t.me/c/2524275978/74" TargetMode="External"/><Relationship Id="rId195" Type="http://schemas.openxmlformats.org/officeDocument/2006/relationships/hyperlink" Target="https://t.me/c/2622203396/6/128" TargetMode="External"/><Relationship Id="rId19" Type="http://schemas.openxmlformats.org/officeDocument/2006/relationships/hyperlink" Target="https://t.me/arsalanali36/231" TargetMode="External"/><Relationship Id="rId18" Type="http://schemas.openxmlformats.org/officeDocument/2006/relationships/hyperlink" Target="https://t.me/c/2524275978/81" TargetMode="External"/><Relationship Id="rId199" Type="http://schemas.openxmlformats.org/officeDocument/2006/relationships/hyperlink" Target="https://t.me/c/2622203396/6/146" TargetMode="External"/><Relationship Id="rId84" Type="http://schemas.openxmlformats.org/officeDocument/2006/relationships/hyperlink" Target="https://t.me/c/2888376653/326" TargetMode="External"/><Relationship Id="rId83" Type="http://schemas.openxmlformats.org/officeDocument/2006/relationships/hyperlink" Target="https://t.me/c/2888376653/323" TargetMode="External"/><Relationship Id="rId86" Type="http://schemas.openxmlformats.org/officeDocument/2006/relationships/hyperlink" Target="https://t.me/c/2888376653/32/45" TargetMode="External"/><Relationship Id="rId85" Type="http://schemas.openxmlformats.org/officeDocument/2006/relationships/hyperlink" Target="https://t.me/c/2888376653/32/44" TargetMode="External"/><Relationship Id="rId88" Type="http://schemas.openxmlformats.org/officeDocument/2006/relationships/hyperlink" Target="https://t.me/c/2888376653/32/46" TargetMode="External"/><Relationship Id="rId150" Type="http://schemas.openxmlformats.org/officeDocument/2006/relationships/hyperlink" Target="https://www.youtube.com/watch?v=KINfvmZveP8" TargetMode="External"/><Relationship Id="rId87" Type="http://schemas.openxmlformats.org/officeDocument/2006/relationships/hyperlink" Target="https://t.me/c/2888376653/32/46" TargetMode="External"/><Relationship Id="rId89" Type="http://schemas.openxmlformats.org/officeDocument/2006/relationships/hyperlink" Target="https://t.me/c/2888376653/32/47" TargetMode="External"/><Relationship Id="rId80" Type="http://schemas.openxmlformats.org/officeDocument/2006/relationships/hyperlink" Target="https://t.me/c/2820828095/73" TargetMode="External"/><Relationship Id="rId82" Type="http://schemas.openxmlformats.org/officeDocument/2006/relationships/hyperlink" Target="https://t.me/c/2888376653/1/328" TargetMode="External"/><Relationship Id="rId81" Type="http://schemas.openxmlformats.org/officeDocument/2006/relationships/hyperlink" Target="https://t.me/c/2888376653/325" TargetMode="External"/><Relationship Id="rId1" Type="http://schemas.openxmlformats.org/officeDocument/2006/relationships/comments" Target="../comments2.xml"/><Relationship Id="rId2" Type="http://schemas.openxmlformats.org/officeDocument/2006/relationships/hyperlink" Target="https://docs.google.com/spreadsheets/d/1RwKKUlHj4HjbHFl0NP2INxOjtvMIo12aTAJavnpGf94/edit?gid=0" TargetMode="External"/><Relationship Id="rId3" Type="http://schemas.openxmlformats.org/officeDocument/2006/relationships/hyperlink" Target="https://docs.google.com/spreadsheets/d/1XFB_2KZuQ1tTELCt4WR4md0qQU30ZMiESCX6AnWThKs/edit?gid=1523876364" TargetMode="External"/><Relationship Id="rId149" Type="http://schemas.openxmlformats.org/officeDocument/2006/relationships/hyperlink" Target="https://t.me/c/2888376653/24/443" TargetMode="External"/><Relationship Id="rId4" Type="http://schemas.openxmlformats.org/officeDocument/2006/relationships/hyperlink" Target="https://docs.google.com/spreadsheets/d/1c-plRmqD1NjCk6RQk_BG7hRowyAGHLka5VZBIrfyLwM/edit?gid=519005993" TargetMode="External"/><Relationship Id="rId148" Type="http://schemas.openxmlformats.org/officeDocument/2006/relationships/hyperlink" Target="https://youtu.be/oLOlQb5sIJI" TargetMode="External"/><Relationship Id="rId9" Type="http://schemas.openxmlformats.org/officeDocument/2006/relationships/hyperlink" Target="https://t.me/c/2524275978/62" TargetMode="External"/><Relationship Id="rId143" Type="http://schemas.openxmlformats.org/officeDocument/2006/relationships/hyperlink" Target="https://t.me/c/2888376653/32/397" TargetMode="External"/><Relationship Id="rId142" Type="http://schemas.openxmlformats.org/officeDocument/2006/relationships/hyperlink" Target="https://www.youtube.com/watch?v=BPt5dwhsJdA" TargetMode="External"/><Relationship Id="rId141" Type="http://schemas.openxmlformats.org/officeDocument/2006/relationships/hyperlink" Target="https://t.me/c/2888376653/24/378" TargetMode="External"/><Relationship Id="rId140" Type="http://schemas.openxmlformats.org/officeDocument/2006/relationships/hyperlink" Target="https://t.me/c/2820828095/4/109" TargetMode="External"/><Relationship Id="rId5" Type="http://schemas.openxmlformats.org/officeDocument/2006/relationships/hyperlink" Target="https://t.me/c/2524275978/58" TargetMode="External"/><Relationship Id="rId147" Type="http://schemas.openxmlformats.org/officeDocument/2006/relationships/hyperlink" Target="https://t.me/c/2888376653/24/430" TargetMode="External"/><Relationship Id="rId6" Type="http://schemas.openxmlformats.org/officeDocument/2006/relationships/hyperlink" Target="https://t.me/c/2524275978/57" TargetMode="External"/><Relationship Id="rId146" Type="http://schemas.openxmlformats.org/officeDocument/2006/relationships/hyperlink" Target="https://youtu.be/aH0Kayc4EIc" TargetMode="External"/><Relationship Id="rId7" Type="http://schemas.openxmlformats.org/officeDocument/2006/relationships/hyperlink" Target="https://t.me/c/2524275978/57" TargetMode="External"/><Relationship Id="rId145" Type="http://schemas.openxmlformats.org/officeDocument/2006/relationships/hyperlink" Target="https://t.me/c/2888376653/24/418" TargetMode="External"/><Relationship Id="rId8" Type="http://schemas.openxmlformats.org/officeDocument/2006/relationships/hyperlink" Target="https://t.me/c/2524275978/61" TargetMode="External"/><Relationship Id="rId144" Type="http://schemas.openxmlformats.org/officeDocument/2006/relationships/hyperlink" Target="https://youtu.be/1_vwyUdhjsE" TargetMode="External"/><Relationship Id="rId73" Type="http://schemas.openxmlformats.org/officeDocument/2006/relationships/hyperlink" Target="https://t.me/c/2820828095/3/54" TargetMode="External"/><Relationship Id="rId72" Type="http://schemas.openxmlformats.org/officeDocument/2006/relationships/hyperlink" Target="https://t.me/c/2820828095/2/53" TargetMode="External"/><Relationship Id="rId75" Type="http://schemas.openxmlformats.org/officeDocument/2006/relationships/hyperlink" Target="https://t.me/c/2820828095/2/65" TargetMode="External"/><Relationship Id="rId74" Type="http://schemas.openxmlformats.org/officeDocument/2006/relationships/hyperlink" Target="https://t.me/c/2820828095/4/56" TargetMode="External"/><Relationship Id="rId77" Type="http://schemas.openxmlformats.org/officeDocument/2006/relationships/hyperlink" Target="https://t.me/c/2820828095/4/71" TargetMode="External"/><Relationship Id="rId76" Type="http://schemas.openxmlformats.org/officeDocument/2006/relationships/hyperlink" Target="https://t.me/c/2820828095/2/70" TargetMode="External"/><Relationship Id="rId79" Type="http://schemas.openxmlformats.org/officeDocument/2006/relationships/hyperlink" Target="https://t.me/c/2820828095/72" TargetMode="External"/><Relationship Id="rId78" Type="http://schemas.openxmlformats.org/officeDocument/2006/relationships/hyperlink" Target="https://t.me/c/2820828095/70" TargetMode="External"/><Relationship Id="rId71" Type="http://schemas.openxmlformats.org/officeDocument/2006/relationships/hyperlink" Target="https://t.me/c/2820828095/2/64" TargetMode="External"/><Relationship Id="rId70" Type="http://schemas.openxmlformats.org/officeDocument/2006/relationships/hyperlink" Target="https://t.me/c/2820828095/4/62" TargetMode="External"/><Relationship Id="rId139" Type="http://schemas.openxmlformats.org/officeDocument/2006/relationships/hyperlink" Target="https://t.me/c/2888376653/13/318" TargetMode="External"/><Relationship Id="rId138" Type="http://schemas.openxmlformats.org/officeDocument/2006/relationships/hyperlink" Target="https://t.me/c/2820828095/3/101" TargetMode="External"/><Relationship Id="rId137" Type="http://schemas.openxmlformats.org/officeDocument/2006/relationships/hyperlink" Target="https://t.me/c/2820828095/2/102" TargetMode="External"/><Relationship Id="rId132" Type="http://schemas.openxmlformats.org/officeDocument/2006/relationships/hyperlink" Target="https://t.me/c/2820828095/4/87" TargetMode="External"/><Relationship Id="rId131" Type="http://schemas.openxmlformats.org/officeDocument/2006/relationships/hyperlink" Target="https://t.me/c/2888376653/200/305" TargetMode="External"/><Relationship Id="rId130" Type="http://schemas.openxmlformats.org/officeDocument/2006/relationships/hyperlink" Target="https://t.me/c/2820828095/3/79" TargetMode="External"/><Relationship Id="rId136" Type="http://schemas.openxmlformats.org/officeDocument/2006/relationships/hyperlink" Target="https://t.me/c/2820828095/4/95" TargetMode="External"/><Relationship Id="rId135" Type="http://schemas.openxmlformats.org/officeDocument/2006/relationships/hyperlink" Target="https://t.me/c/2888376653/32/314" TargetMode="External"/><Relationship Id="rId134" Type="http://schemas.openxmlformats.org/officeDocument/2006/relationships/hyperlink" Target="https://t.me/c/2820828095/3/91" TargetMode="External"/><Relationship Id="rId133" Type="http://schemas.openxmlformats.org/officeDocument/2006/relationships/hyperlink" Target="https://t.me/c/2820828095/2/92" TargetMode="External"/><Relationship Id="rId62" Type="http://schemas.openxmlformats.org/officeDocument/2006/relationships/hyperlink" Target="https://t.me/c/2820828095/5/40" TargetMode="External"/><Relationship Id="rId61" Type="http://schemas.openxmlformats.org/officeDocument/2006/relationships/hyperlink" Target="https://t.me/c/2820828095/4/41" TargetMode="External"/><Relationship Id="rId64" Type="http://schemas.openxmlformats.org/officeDocument/2006/relationships/hyperlink" Target="https://t.me/c/2820828095/2/49" TargetMode="External"/><Relationship Id="rId63" Type="http://schemas.openxmlformats.org/officeDocument/2006/relationships/hyperlink" Target="https://t.me/c/2820828095/6/44" TargetMode="External"/><Relationship Id="rId66" Type="http://schemas.openxmlformats.org/officeDocument/2006/relationships/hyperlink" Target="https://t.me/c/2820828095/3/51" TargetMode="External"/><Relationship Id="rId172" Type="http://schemas.openxmlformats.org/officeDocument/2006/relationships/hyperlink" Target="https://t.me/c/2622203396/2/28" TargetMode="External"/><Relationship Id="rId65" Type="http://schemas.openxmlformats.org/officeDocument/2006/relationships/hyperlink" Target="https://t.me/c/2820828095/3/50" TargetMode="External"/><Relationship Id="rId171" Type="http://schemas.openxmlformats.org/officeDocument/2006/relationships/hyperlink" Target="https://t.me/c/2622203396/6/26" TargetMode="External"/><Relationship Id="rId68" Type="http://schemas.openxmlformats.org/officeDocument/2006/relationships/hyperlink" Target="https://t.me/c/2820828095/2/60" TargetMode="External"/><Relationship Id="rId170" Type="http://schemas.openxmlformats.org/officeDocument/2006/relationships/hyperlink" Target="https://t.me/c/2483065378/434/442" TargetMode="External"/><Relationship Id="rId67" Type="http://schemas.openxmlformats.org/officeDocument/2006/relationships/hyperlink" Target="https://t.me/c/2820828095/5/52" TargetMode="External"/><Relationship Id="rId60" Type="http://schemas.openxmlformats.org/officeDocument/2006/relationships/hyperlink" Target="https://t.me/c/2820828095/3/42" TargetMode="External"/><Relationship Id="rId165" Type="http://schemas.openxmlformats.org/officeDocument/2006/relationships/hyperlink" Target="https://t.me/c/2524275978/97" TargetMode="External"/><Relationship Id="rId69" Type="http://schemas.openxmlformats.org/officeDocument/2006/relationships/hyperlink" Target="https://t.me/c/2820828095/3/61" TargetMode="External"/><Relationship Id="rId164" Type="http://schemas.openxmlformats.org/officeDocument/2006/relationships/hyperlink" Target="https://t.me/c/2524275978/93" TargetMode="External"/><Relationship Id="rId163" Type="http://schemas.openxmlformats.org/officeDocument/2006/relationships/hyperlink" Target="https://t.me/c/2524275978/91" TargetMode="External"/><Relationship Id="rId162" Type="http://schemas.openxmlformats.org/officeDocument/2006/relationships/hyperlink" Target="https://t.me/c/2524275978/86" TargetMode="External"/><Relationship Id="rId169" Type="http://schemas.openxmlformats.org/officeDocument/2006/relationships/hyperlink" Target="https://t.me/c/2524275978/111" TargetMode="External"/><Relationship Id="rId168" Type="http://schemas.openxmlformats.org/officeDocument/2006/relationships/hyperlink" Target="https://t.me/c/2483065378/434/438?single" TargetMode="External"/><Relationship Id="rId167" Type="http://schemas.openxmlformats.org/officeDocument/2006/relationships/hyperlink" Target="https://t.me/c/2524275978/107" TargetMode="External"/><Relationship Id="rId166" Type="http://schemas.openxmlformats.org/officeDocument/2006/relationships/hyperlink" Target="https://t.me/c/2524275978/103" TargetMode="External"/><Relationship Id="rId51" Type="http://schemas.openxmlformats.org/officeDocument/2006/relationships/hyperlink" Target="https://t.me/c/2820828095/5/37" TargetMode="External"/><Relationship Id="rId50" Type="http://schemas.openxmlformats.org/officeDocument/2006/relationships/hyperlink" Target="https://t.me/c/2820828095/4/39" TargetMode="External"/><Relationship Id="rId53" Type="http://schemas.openxmlformats.org/officeDocument/2006/relationships/hyperlink" Target="https://t.me/c/2820828095/3/46" TargetMode="External"/><Relationship Id="rId52" Type="http://schemas.openxmlformats.org/officeDocument/2006/relationships/hyperlink" Target="https://t.me/c/2820828095/2/45" TargetMode="External"/><Relationship Id="rId55" Type="http://schemas.openxmlformats.org/officeDocument/2006/relationships/hyperlink" Target="https://t.me/c/2820828095/2/57" TargetMode="External"/><Relationship Id="rId161" Type="http://schemas.openxmlformats.org/officeDocument/2006/relationships/hyperlink" Target="https://t.me/c/2524275978/84" TargetMode="External"/><Relationship Id="rId54" Type="http://schemas.openxmlformats.org/officeDocument/2006/relationships/hyperlink" Target="https://t.me/c/2820828095/4/47" TargetMode="External"/><Relationship Id="rId160" Type="http://schemas.openxmlformats.org/officeDocument/2006/relationships/hyperlink" Target="https://t.me/c/2524275978/85" TargetMode="External"/><Relationship Id="rId57" Type="http://schemas.openxmlformats.org/officeDocument/2006/relationships/hyperlink" Target="https://t.me/c/2820828095/4/59" TargetMode="External"/><Relationship Id="rId56" Type="http://schemas.openxmlformats.org/officeDocument/2006/relationships/hyperlink" Target="https://t.me/c/2820828095/3/58" TargetMode="External"/><Relationship Id="rId159" Type="http://schemas.openxmlformats.org/officeDocument/2006/relationships/hyperlink" Target="https://t.me/c/2483065378/323/384" TargetMode="External"/><Relationship Id="rId59" Type="http://schemas.openxmlformats.org/officeDocument/2006/relationships/hyperlink" Target="https://t.me/c/2820828095/2/43" TargetMode="External"/><Relationship Id="rId154" Type="http://schemas.openxmlformats.org/officeDocument/2006/relationships/hyperlink" Target="https://t.me/c/2483065378/323/329" TargetMode="External"/><Relationship Id="rId58" Type="http://schemas.openxmlformats.org/officeDocument/2006/relationships/hyperlink" Target="https://t.me/c/2820828095/2/63" TargetMode="External"/><Relationship Id="rId153" Type="http://schemas.openxmlformats.org/officeDocument/2006/relationships/hyperlink" Target="https://t.me/c/2483065378/323/327" TargetMode="External"/><Relationship Id="rId152" Type="http://schemas.openxmlformats.org/officeDocument/2006/relationships/hyperlink" Target="https://t.me/c/2483065378/323/325" TargetMode="External"/><Relationship Id="rId151" Type="http://schemas.openxmlformats.org/officeDocument/2006/relationships/hyperlink" Target="https://t.me/c/2888376653/484" TargetMode="External"/><Relationship Id="rId158" Type="http://schemas.openxmlformats.org/officeDocument/2006/relationships/hyperlink" Target="https://t.me/c/2483065378/323/384" TargetMode="External"/><Relationship Id="rId157" Type="http://schemas.openxmlformats.org/officeDocument/2006/relationships/hyperlink" Target="https://t.me/c/2483065378/323/379" TargetMode="External"/><Relationship Id="rId156" Type="http://schemas.openxmlformats.org/officeDocument/2006/relationships/hyperlink" Target="https://t.me/c/2483065378/323/333" TargetMode="External"/><Relationship Id="rId155" Type="http://schemas.openxmlformats.org/officeDocument/2006/relationships/hyperlink" Target="https://t.me/c/2483065378/323/331" TargetMode="External"/><Relationship Id="rId107" Type="http://schemas.openxmlformats.org/officeDocument/2006/relationships/hyperlink" Target="https://t.me/c/2888376653/4/107" TargetMode="External"/><Relationship Id="rId106" Type="http://schemas.openxmlformats.org/officeDocument/2006/relationships/hyperlink" Target="https://t.me/c/2888376653/4/106" TargetMode="External"/><Relationship Id="rId105" Type="http://schemas.openxmlformats.org/officeDocument/2006/relationships/hyperlink" Target="https://t.me/c/2888376653/4/90" TargetMode="External"/><Relationship Id="rId104" Type="http://schemas.openxmlformats.org/officeDocument/2006/relationships/hyperlink" Target="https://t.me/c/2888376653/4/84" TargetMode="External"/><Relationship Id="rId109" Type="http://schemas.openxmlformats.org/officeDocument/2006/relationships/hyperlink" Target="https://t.me/c/2888376653/4/117" TargetMode="External"/><Relationship Id="rId108" Type="http://schemas.openxmlformats.org/officeDocument/2006/relationships/hyperlink" Target="https://t.me/c/2888376653/4/116" TargetMode="External"/><Relationship Id="rId103" Type="http://schemas.openxmlformats.org/officeDocument/2006/relationships/hyperlink" Target="https://t.me/c/2888376653/4/73" TargetMode="External"/><Relationship Id="rId102" Type="http://schemas.openxmlformats.org/officeDocument/2006/relationships/hyperlink" Target="https://t.me/c/2888376653/4/59" TargetMode="External"/><Relationship Id="rId101" Type="http://schemas.openxmlformats.org/officeDocument/2006/relationships/hyperlink" Target="https://t.me/c/2888376653/4/61" TargetMode="External"/><Relationship Id="rId100" Type="http://schemas.openxmlformats.org/officeDocument/2006/relationships/hyperlink" Target="https://t.me/c/2888376653/4/52" TargetMode="External"/><Relationship Id="rId217" Type="http://schemas.openxmlformats.org/officeDocument/2006/relationships/vmlDrawing" Target="../drawings/vmlDrawing2.vml"/><Relationship Id="rId216" Type="http://schemas.openxmlformats.org/officeDocument/2006/relationships/drawing" Target="../drawings/drawing8.xml"/><Relationship Id="rId215" Type="http://schemas.openxmlformats.org/officeDocument/2006/relationships/hyperlink" Target="https://youtu.be/WBEo5XEM9hA" TargetMode="External"/><Relationship Id="rId214" Type="http://schemas.openxmlformats.org/officeDocument/2006/relationships/hyperlink" Target="https://youtu.be/05uwm05KHBo?si=4pyJQ37edzNebBpO" TargetMode="External"/><Relationship Id="rId213" Type="http://schemas.openxmlformats.org/officeDocument/2006/relationships/hyperlink" Target="https://youtu.be/kyoVAyp5s6s?si=JWRWHefJHXene8sv" TargetMode="External"/><Relationship Id="rId212" Type="http://schemas.openxmlformats.org/officeDocument/2006/relationships/hyperlink" Target="https://youtu.be/xszKZQGsUsA?si=7efiFPITprqGOTWc" TargetMode="External"/><Relationship Id="rId211" Type="http://schemas.openxmlformats.org/officeDocument/2006/relationships/hyperlink" Target="https://youtu.be/rEEYsxw6xkg?si=JXSIyk4-8MS2XfF9" TargetMode="External"/><Relationship Id="rId210" Type="http://schemas.openxmlformats.org/officeDocument/2006/relationships/hyperlink" Target="https://youtu.be/2Fu_sBAIdas?si=J10CqbWGTJB30d98" TargetMode="External"/><Relationship Id="rId129" Type="http://schemas.openxmlformats.org/officeDocument/2006/relationships/hyperlink" Target="https://t.me/c/2820828095/2/78" TargetMode="External"/><Relationship Id="rId128" Type="http://schemas.openxmlformats.org/officeDocument/2006/relationships/hyperlink" Target="https://t.me/c/2820828095/5/77" TargetMode="External"/><Relationship Id="rId127" Type="http://schemas.openxmlformats.org/officeDocument/2006/relationships/hyperlink" Target="https://t.me/c/2820828095/3/76" TargetMode="External"/><Relationship Id="rId126" Type="http://schemas.openxmlformats.org/officeDocument/2006/relationships/hyperlink" Target="https://t.me/c/2820828095/2/75" TargetMode="External"/><Relationship Id="rId247" Type="http://schemas.openxmlformats.org/officeDocument/2006/relationships/table" Target="../tables/table20.xml"/><Relationship Id="rId121" Type="http://schemas.openxmlformats.org/officeDocument/2006/relationships/hyperlink" Target="https://youtu.be/JeWrxw3JIIw?list=PLfY3kCGZRWoivOt5wzvzT829huaJnCWcz" TargetMode="External"/><Relationship Id="rId242" Type="http://schemas.openxmlformats.org/officeDocument/2006/relationships/table" Target="../tables/table15.xml"/><Relationship Id="rId120" Type="http://schemas.openxmlformats.org/officeDocument/2006/relationships/hyperlink" Target="https://www.youtube.com/watch?v=gC9p3aWdSMc&amp;list=PLfY3kCGZRWoivOt5wzvzT829huaJnCWcz&amp;index=8&amp;pp=gAQBiAQB0gcJCcEJAYcqIYzv" TargetMode="External"/><Relationship Id="rId241" Type="http://schemas.openxmlformats.org/officeDocument/2006/relationships/table" Target="../tables/table14.xml"/><Relationship Id="rId240" Type="http://schemas.openxmlformats.org/officeDocument/2006/relationships/table" Target="../tables/table13.xml"/><Relationship Id="rId125" Type="http://schemas.openxmlformats.org/officeDocument/2006/relationships/hyperlink" Target="https://t.me/c/2820828095/2/100" TargetMode="External"/><Relationship Id="rId246" Type="http://schemas.openxmlformats.org/officeDocument/2006/relationships/table" Target="../tables/table19.xml"/><Relationship Id="rId124" Type="http://schemas.openxmlformats.org/officeDocument/2006/relationships/hyperlink" Target="https://t.me/c/2820828095/2/23" TargetMode="External"/><Relationship Id="rId245" Type="http://schemas.openxmlformats.org/officeDocument/2006/relationships/table" Target="../tables/table18.xml"/><Relationship Id="rId123" Type="http://schemas.openxmlformats.org/officeDocument/2006/relationships/hyperlink" Target="https://t.me/c/2820828095/2/22" TargetMode="External"/><Relationship Id="rId244" Type="http://schemas.openxmlformats.org/officeDocument/2006/relationships/table" Target="../tables/table17.xml"/><Relationship Id="rId122" Type="http://schemas.openxmlformats.org/officeDocument/2006/relationships/hyperlink" Target="https://youtu.be/abtBIm3ogkk?list=PLfY3kCGZRWoivOt5wzvzT829huaJnCWcz" TargetMode="External"/><Relationship Id="rId243" Type="http://schemas.openxmlformats.org/officeDocument/2006/relationships/table" Target="../tables/table16.xml"/><Relationship Id="rId95" Type="http://schemas.openxmlformats.org/officeDocument/2006/relationships/hyperlink" Target="https://t.me/c/2888376653/24/31" TargetMode="External"/><Relationship Id="rId94" Type="http://schemas.openxmlformats.org/officeDocument/2006/relationships/hyperlink" Target="https://t.me/c/2888376653/32/49" TargetMode="External"/><Relationship Id="rId97" Type="http://schemas.openxmlformats.org/officeDocument/2006/relationships/hyperlink" Target="https://t.me/c/2888376653/24/31" TargetMode="External"/><Relationship Id="rId96" Type="http://schemas.openxmlformats.org/officeDocument/2006/relationships/hyperlink" Target="https://t.me/c/2888376653/24/31" TargetMode="External"/><Relationship Id="rId99" Type="http://schemas.openxmlformats.org/officeDocument/2006/relationships/hyperlink" Target="https://t.me/c/2888376653/32/50" TargetMode="External"/><Relationship Id="rId98" Type="http://schemas.openxmlformats.org/officeDocument/2006/relationships/hyperlink" Target="https://t.me/c/2888376653/32/50" TargetMode="External"/><Relationship Id="rId91" Type="http://schemas.openxmlformats.org/officeDocument/2006/relationships/hyperlink" Target="https://t.me/c/2888376653/32/48" TargetMode="External"/><Relationship Id="rId90" Type="http://schemas.openxmlformats.org/officeDocument/2006/relationships/hyperlink" Target="https://t.me/arsalanali36/302" TargetMode="External"/><Relationship Id="rId93" Type="http://schemas.openxmlformats.org/officeDocument/2006/relationships/hyperlink" Target="https://t.me/c/2888376653/24/30" TargetMode="External"/><Relationship Id="rId92" Type="http://schemas.openxmlformats.org/officeDocument/2006/relationships/hyperlink" Target="https://t.me/c/2888376653/24/30" TargetMode="External"/><Relationship Id="rId118" Type="http://schemas.openxmlformats.org/officeDocument/2006/relationships/hyperlink" Target="https://www.youtube.com/watch?v=SgkGAvUVrE0&amp;list=PLfY3kCGZRWoivOt5wzvzT829huaJnCWcz&amp;index=6&amp;pp=gAQBiAQB" TargetMode="External"/><Relationship Id="rId239" Type="http://schemas.openxmlformats.org/officeDocument/2006/relationships/table" Target="../tables/table12.xml"/><Relationship Id="rId117" Type="http://schemas.openxmlformats.org/officeDocument/2006/relationships/hyperlink" Target="https://youtu.be/gi-m4hi9MEM?list=PLfY3kCGZRWoivOt5wzvzT829huaJnCWcz" TargetMode="External"/><Relationship Id="rId238" Type="http://schemas.openxmlformats.org/officeDocument/2006/relationships/table" Target="../tables/table11.xml"/><Relationship Id="rId116" Type="http://schemas.openxmlformats.org/officeDocument/2006/relationships/hyperlink" Target="https://www.youtube.com/watch?v=YMTGlmx7bIg&amp;list=PLfY3kCGZRWoivOt5wzvzT829huaJnCWcz&amp;index=4&amp;pp=gAQBiAQB" TargetMode="External"/><Relationship Id="rId237" Type="http://schemas.openxmlformats.org/officeDocument/2006/relationships/table" Target="../tables/table10.xml"/><Relationship Id="rId115" Type="http://schemas.openxmlformats.org/officeDocument/2006/relationships/hyperlink" Target="https://www.youtube.com/watch?v=kqkuxwE9-PE&amp;list=PLfY3kCGZRWoivOt5wzvzT829huaJnCWcz&amp;index=3&amp;pp=gAQBiAQB" TargetMode="External"/><Relationship Id="rId236" Type="http://schemas.openxmlformats.org/officeDocument/2006/relationships/table" Target="../tables/table9.xml"/><Relationship Id="rId119" Type="http://schemas.openxmlformats.org/officeDocument/2006/relationships/hyperlink" Target="https://www.youtube.com/watch?v=dcDLnUa3Nxk&amp;list=PLfY3kCGZRWoivOt5wzvzT829huaJnCWcz&amp;index=7&amp;pp=gAQBiAQB" TargetMode="External"/><Relationship Id="rId110" Type="http://schemas.openxmlformats.org/officeDocument/2006/relationships/hyperlink" Target="https://t.me/c/2888376653/171" TargetMode="External"/><Relationship Id="rId114" Type="http://schemas.openxmlformats.org/officeDocument/2006/relationships/hyperlink" Target="https://www.youtube.com/watch?v=jQA06NqVjFc&amp;list=PLfY3kCGZRWoivOt5wzvzT829huaJnCWcz&amp;index=2&amp;pp=gAQBiAQB" TargetMode="External"/><Relationship Id="rId235" Type="http://schemas.openxmlformats.org/officeDocument/2006/relationships/table" Target="../tables/table8.xml"/><Relationship Id="rId113" Type="http://schemas.openxmlformats.org/officeDocument/2006/relationships/hyperlink" Target="https://www.youtube.com/watch?v=6lT3hO4o9-c&amp;list=PLfY3kCGZRWoivOt5wzvzT829huaJnCWcz&amp;index=1&amp;pp=gAQBiAQB" TargetMode="External"/><Relationship Id="rId234" Type="http://schemas.openxmlformats.org/officeDocument/2006/relationships/table" Target="../tables/table7.xml"/><Relationship Id="rId112" Type="http://schemas.openxmlformats.org/officeDocument/2006/relationships/hyperlink" Target="https://t.me/c/2888376653/4/182" TargetMode="External"/><Relationship Id="rId233" Type="http://schemas.openxmlformats.org/officeDocument/2006/relationships/table" Target="../tables/table6.xml"/><Relationship Id="rId111" Type="http://schemas.openxmlformats.org/officeDocument/2006/relationships/hyperlink" Target="https://t.me/c/2888376653/4/181" TargetMode="External"/><Relationship Id="rId206" Type="http://schemas.openxmlformats.org/officeDocument/2006/relationships/hyperlink" Target="https://youtu.be/oatI_eqO13s?si=HgBcYZE5FV3A4sMV" TargetMode="External"/><Relationship Id="rId205" Type="http://schemas.openxmlformats.org/officeDocument/2006/relationships/hyperlink" Target="https://t.me/c/2622203396/172" TargetMode="External"/><Relationship Id="rId204" Type="http://schemas.openxmlformats.org/officeDocument/2006/relationships/hyperlink" Target="https://t.me/c/2622203396/168" TargetMode="External"/><Relationship Id="rId203" Type="http://schemas.openxmlformats.org/officeDocument/2006/relationships/hyperlink" Target="https://t.me/c/2622203396/161" TargetMode="External"/><Relationship Id="rId209" Type="http://schemas.openxmlformats.org/officeDocument/2006/relationships/hyperlink" Target="https://youtu.be/L9IgT-EXNzo" TargetMode="External"/><Relationship Id="rId208" Type="http://schemas.openxmlformats.org/officeDocument/2006/relationships/hyperlink" Target="https://youtu.be/L9IgT-EXNzo?si=C8nAXYV4UGoDpR0W" TargetMode="External"/><Relationship Id="rId207" Type="http://schemas.openxmlformats.org/officeDocument/2006/relationships/hyperlink" Target="https://youtu.be/p6MxwE_eP5c?si=D3FJokzw9_tJtr55" TargetMode="External"/><Relationship Id="rId202" Type="http://schemas.openxmlformats.org/officeDocument/2006/relationships/hyperlink" Target="https://t.me/c/2622203396/6/157" TargetMode="External"/><Relationship Id="rId201" Type="http://schemas.openxmlformats.org/officeDocument/2006/relationships/hyperlink" Target="https://t.me/c/2622203396/6/153" TargetMode="External"/><Relationship Id="rId200" Type="http://schemas.openxmlformats.org/officeDocument/2006/relationships/hyperlink" Target="https://t.me/c/2622203396/6/149" TargetMode="External"/></Relationships>
</file>

<file path=xl/worksheets/_rels/sheet9.xml.rels><?xml version="1.0" encoding="UTF-8" standalone="yes"?><Relationships xmlns="http://schemas.openxmlformats.org/package/2006/relationships"><Relationship Id="rId31" Type="http://schemas.openxmlformats.org/officeDocument/2006/relationships/hyperlink" Target="https://www.youtube.com/@tastytrade_" TargetMode="External"/><Relationship Id="rId30" Type="http://schemas.openxmlformats.org/officeDocument/2006/relationships/hyperlink" Target="https://www.youtube.com/@iRavinderBrar" TargetMode="External"/><Relationship Id="rId33" Type="http://schemas.openxmlformats.org/officeDocument/2006/relationships/drawing" Target="../drawings/drawing9.xml"/><Relationship Id="rId32" Type="http://schemas.openxmlformats.org/officeDocument/2006/relationships/hyperlink" Target="https://www.youtube.com/@ListenToNitin" TargetMode="External"/><Relationship Id="rId20" Type="http://schemas.openxmlformats.org/officeDocument/2006/relationships/hyperlink" Target="https://www.youtube.com/@tradesmarter-j9t" TargetMode="External"/><Relationship Id="rId22" Type="http://schemas.openxmlformats.org/officeDocument/2006/relationships/hyperlink" Target="https://www.youtube.com/@mindsetoftrader" TargetMode="External"/><Relationship Id="rId21" Type="http://schemas.openxmlformats.org/officeDocument/2006/relationships/hyperlink" Target="https://www.youtube.com/@TamingNifty" TargetMode="External"/><Relationship Id="rId24" Type="http://schemas.openxmlformats.org/officeDocument/2006/relationships/hyperlink" Target="https://www.youtube.com/@datafortraders" TargetMode="External"/><Relationship Id="rId23" Type="http://schemas.openxmlformats.org/officeDocument/2006/relationships/hyperlink" Target="https://www.youtube.com/@MarketAlgoBot" TargetMode="External"/><Relationship Id="rId26" Type="http://schemas.openxmlformats.org/officeDocument/2006/relationships/hyperlink" Target="https://www.youtube.com/@TradeHull" TargetMode="External"/><Relationship Id="rId25" Type="http://schemas.openxmlformats.org/officeDocument/2006/relationships/hyperlink" Target="https://www.youtube.com/@TechnicalAnalysisinHindi" TargetMode="External"/><Relationship Id="rId28" Type="http://schemas.openxmlformats.org/officeDocument/2006/relationships/hyperlink" Target="https://www.youtube.com/@TradingLabOfficial" TargetMode="External"/><Relationship Id="rId27" Type="http://schemas.openxmlformats.org/officeDocument/2006/relationships/hyperlink" Target="https://www.youtube.com/@AlgorithmTradingIn" TargetMode="External"/><Relationship Id="rId29" Type="http://schemas.openxmlformats.org/officeDocument/2006/relationships/hyperlink" Target="https://www.youtube.com/@Algoderr" TargetMode="External"/><Relationship Id="rId11" Type="http://schemas.openxmlformats.org/officeDocument/2006/relationships/hyperlink" Target="https://www.youtube.com/@The30PercentTrader/videos" TargetMode="External"/><Relationship Id="rId10" Type="http://schemas.openxmlformats.org/officeDocument/2006/relationships/hyperlink" Target="https://www.youtube.com/@mstradinganalysis2877" TargetMode="External"/><Relationship Id="rId13" Type="http://schemas.openxmlformats.org/officeDocument/2006/relationships/hyperlink" Target="https://www.youtube.com/@AmitXTrades" TargetMode="External"/><Relationship Id="rId12" Type="http://schemas.openxmlformats.org/officeDocument/2006/relationships/hyperlink" Target="https://www.youtube.com/@tradewithsiddhant" TargetMode="External"/><Relationship Id="rId15" Type="http://schemas.openxmlformats.org/officeDocument/2006/relationships/hyperlink" Target="https://www.youtube.com/@malhardevasthali" TargetMode="External"/><Relationship Id="rId14" Type="http://schemas.openxmlformats.org/officeDocument/2006/relationships/hyperlink" Target="https://www.youtube.com/@Shubhammanapure" TargetMode="External"/><Relationship Id="rId17" Type="http://schemas.openxmlformats.org/officeDocument/2006/relationships/hyperlink" Target="https://www.youtube.com/@TradeWahid" TargetMode="External"/><Relationship Id="rId16" Type="http://schemas.openxmlformats.org/officeDocument/2006/relationships/hyperlink" Target="https://www.youtube.com/watch?v=WPfRwIh-yag" TargetMode="External"/><Relationship Id="rId19" Type="http://schemas.openxmlformats.org/officeDocument/2006/relationships/hyperlink" Target="https://www.youtube.com/@mindinthemarket" TargetMode="External"/><Relationship Id="rId18" Type="http://schemas.openxmlformats.org/officeDocument/2006/relationships/hyperlink" Target="https://www.youtube.com/@ZenTraderXBT" TargetMode="External"/><Relationship Id="rId1" Type="http://schemas.openxmlformats.org/officeDocument/2006/relationships/hyperlink" Target="https://www.youtube.com/@IntradayHunter" TargetMode="External"/><Relationship Id="rId2" Type="http://schemas.openxmlformats.org/officeDocument/2006/relationships/hyperlink" Target="https://www.youtube.com/@huntingtraderbtcfx" TargetMode="External"/><Relationship Id="rId3" Type="http://schemas.openxmlformats.org/officeDocument/2006/relationships/hyperlink" Target="https://www.youtube.com/@OperatingMarket" TargetMode="External"/><Relationship Id="rId4" Type="http://schemas.openxmlformats.org/officeDocument/2006/relationships/hyperlink" Target="https://www.youtube.com/@wisestockresearch" TargetMode="External"/><Relationship Id="rId9" Type="http://schemas.openxmlformats.org/officeDocument/2006/relationships/hyperlink" Target="https://www.youtube.com/@TheTradeBullOfficial" TargetMode="External"/><Relationship Id="rId5" Type="http://schemas.openxmlformats.org/officeDocument/2006/relationships/hyperlink" Target="https://www.youtube.com/@BeingTraderOfficial" TargetMode="External"/><Relationship Id="rId6" Type="http://schemas.openxmlformats.org/officeDocument/2006/relationships/hyperlink" Target="https://www.youtube.com/channel/UCwcQYgaopJNEc-_7PxGgr6A" TargetMode="External"/><Relationship Id="rId7" Type="http://schemas.openxmlformats.org/officeDocument/2006/relationships/hyperlink" Target="https://www.youtube.com/@Tradingwithshakti" TargetMode="External"/><Relationship Id="rId8" Type="http://schemas.openxmlformats.org/officeDocument/2006/relationships/hyperlink" Target="https://www.youtube.com/@TradeSkoolGlobal"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pageSetUpPr fitToPage="1"/>
  </sheetPr>
  <sheetViews>
    <sheetView showGridLines="0" workbookViewId="0"/>
  </sheetViews>
  <sheetFormatPr customHeight="1" defaultColWidth="12.63" defaultRowHeight="15.75"/>
  <cols>
    <col customWidth="1" min="1" max="13" width="14.88"/>
  </cols>
  <sheetData>
    <row r="1">
      <c r="H1" s="1"/>
      <c r="I1" s="2"/>
    </row>
    <row r="18">
      <c r="F18" s="3"/>
      <c r="G18" s="1"/>
      <c r="H18" s="1"/>
      <c r="I18" s="1"/>
    </row>
    <row r="19">
      <c r="F19" s="3"/>
      <c r="G19" s="1"/>
      <c r="H19" s="1"/>
      <c r="I19" s="1"/>
    </row>
    <row r="20">
      <c r="F20" s="3"/>
      <c r="G20" s="1"/>
      <c r="H20" s="1"/>
      <c r="I20" s="1"/>
    </row>
    <row r="21">
      <c r="F21" s="3"/>
      <c r="G21" s="1"/>
      <c r="H21" s="1"/>
      <c r="I21" s="1"/>
    </row>
    <row r="22">
      <c r="F22" s="3"/>
      <c r="G22" s="1"/>
      <c r="H22" s="1"/>
      <c r="I22" s="1"/>
    </row>
    <row r="23">
      <c r="F23" s="3"/>
      <c r="G23" s="1"/>
      <c r="H23" s="1"/>
      <c r="I23" s="1"/>
    </row>
    <row r="24">
      <c r="F24" s="3"/>
      <c r="G24" s="1"/>
      <c r="H24" s="1"/>
      <c r="I24" s="1"/>
    </row>
    <row r="25">
      <c r="F25" s="3"/>
      <c r="G25" s="1"/>
      <c r="H25" s="1"/>
      <c r="I25" s="1"/>
    </row>
    <row r="26">
      <c r="F26" s="3"/>
      <c r="G26" s="1"/>
      <c r="H26" s="1"/>
      <c r="I26" s="1"/>
    </row>
    <row r="27">
      <c r="F27" s="3"/>
      <c r="G27" s="1"/>
      <c r="H27" s="1"/>
      <c r="I27" s="1"/>
    </row>
    <row r="28">
      <c r="F28" s="3"/>
      <c r="G28" s="1"/>
      <c r="H28" s="1"/>
      <c r="I28" s="1"/>
    </row>
    <row r="29">
      <c r="F29" s="3"/>
      <c r="G29" s="1"/>
      <c r="H29" s="1"/>
      <c r="I29" s="1"/>
    </row>
    <row r="30">
      <c r="F30" s="3"/>
      <c r="G30" s="1"/>
      <c r="H30" s="1"/>
      <c r="I30" s="1"/>
    </row>
    <row r="31">
      <c r="F31" s="3"/>
      <c r="G31" s="1"/>
      <c r="H31" s="1"/>
      <c r="I31" s="1"/>
    </row>
    <row r="32">
      <c r="F32" s="3"/>
      <c r="G32" s="1"/>
      <c r="H32" s="1"/>
      <c r="I32" s="1"/>
    </row>
    <row r="33">
      <c r="C33" s="4"/>
      <c r="D33" s="4"/>
      <c r="E33" s="4"/>
      <c r="F33" s="5"/>
      <c r="G33" s="6"/>
      <c r="H33" s="6"/>
      <c r="I33" s="6"/>
      <c r="J33" s="4"/>
      <c r="K33" s="4"/>
      <c r="L33" s="4"/>
    </row>
    <row r="34">
      <c r="F34" s="3"/>
      <c r="G34" s="1"/>
      <c r="H34" s="1"/>
      <c r="I34" s="1"/>
    </row>
    <row r="35">
      <c r="F35" s="3"/>
      <c r="G35" s="1"/>
      <c r="H35" s="1"/>
      <c r="I35" s="1"/>
    </row>
    <row r="36">
      <c r="F36" s="3"/>
      <c r="G36" s="1"/>
      <c r="H36" s="1"/>
      <c r="I36" s="1"/>
    </row>
    <row r="37">
      <c r="F37" s="3"/>
      <c r="G37" s="1"/>
      <c r="H37" s="1"/>
      <c r="I37" s="1"/>
    </row>
    <row r="38">
      <c r="F38" s="3"/>
      <c r="G38" s="1"/>
      <c r="H38" s="1"/>
      <c r="I38" s="1"/>
    </row>
    <row r="39">
      <c r="F39" s="3"/>
      <c r="G39" s="1"/>
      <c r="H39" s="1"/>
      <c r="I39" s="1"/>
    </row>
    <row r="40">
      <c r="F40" s="3"/>
      <c r="G40" s="1"/>
      <c r="H40" s="1"/>
      <c r="I40" s="1"/>
    </row>
    <row r="41">
      <c r="F41" s="3"/>
      <c r="G41" s="1"/>
      <c r="H41" s="1"/>
      <c r="I41" s="1"/>
    </row>
    <row r="42">
      <c r="F42" s="3"/>
      <c r="G42" s="1"/>
      <c r="H42" s="1"/>
      <c r="I42" s="1"/>
    </row>
    <row r="43">
      <c r="F43" s="3"/>
      <c r="G43" s="1"/>
      <c r="H43" s="1"/>
      <c r="I43" s="1"/>
    </row>
    <row r="44">
      <c r="F44" s="3"/>
      <c r="G44" s="1"/>
      <c r="H44" s="1"/>
      <c r="I44" s="1"/>
    </row>
    <row r="45">
      <c r="F45" s="3"/>
      <c r="G45" s="1"/>
      <c r="H45" s="1"/>
      <c r="I45" s="1"/>
    </row>
    <row r="46">
      <c r="F46" s="3"/>
      <c r="G46" s="1"/>
      <c r="H46" s="1"/>
      <c r="I46" s="1"/>
    </row>
    <row r="47">
      <c r="F47" s="3"/>
      <c r="G47" s="1"/>
      <c r="H47" s="1"/>
      <c r="I47" s="1"/>
    </row>
    <row r="48">
      <c r="F48" s="3"/>
      <c r="G48" s="1"/>
      <c r="H48" s="1"/>
      <c r="I48" s="1"/>
    </row>
    <row r="49">
      <c r="F49" s="3"/>
      <c r="G49" s="1"/>
      <c r="H49" s="1"/>
      <c r="I49" s="1"/>
    </row>
    <row r="50">
      <c r="F50" s="3"/>
      <c r="G50" s="1"/>
      <c r="H50" s="1"/>
      <c r="I50" s="1"/>
    </row>
    <row r="51">
      <c r="A51" s="4"/>
      <c r="B51" s="4"/>
      <c r="C51" s="4"/>
      <c r="D51" s="4"/>
      <c r="E51" s="4"/>
      <c r="F51" s="5"/>
      <c r="G51" s="6"/>
      <c r="H51" s="6"/>
      <c r="I51" s="6"/>
      <c r="J51" s="4"/>
      <c r="K51" s="4"/>
      <c r="L51" s="4"/>
    </row>
    <row r="52">
      <c r="F52" s="3"/>
      <c r="G52" s="1"/>
      <c r="H52" s="7"/>
      <c r="I52" s="7"/>
      <c r="J52" s="7"/>
      <c r="K52" s="7"/>
    </row>
    <row r="53">
      <c r="F53" s="3"/>
      <c r="G53" s="1"/>
    </row>
    <row r="54">
      <c r="F54" s="3"/>
      <c r="G54" s="1"/>
      <c r="H54" s="1"/>
      <c r="I54" s="1"/>
    </row>
    <row r="55">
      <c r="F55" s="3"/>
      <c r="G55" s="1"/>
      <c r="H55" s="8"/>
      <c r="I55" s="8"/>
      <c r="J55" s="9"/>
    </row>
    <row r="56">
      <c r="F56" s="3"/>
      <c r="G56" s="1"/>
      <c r="H56" s="1"/>
      <c r="I56" s="1"/>
    </row>
    <row r="57">
      <c r="F57" s="3"/>
      <c r="G57" s="1"/>
      <c r="H57" s="1"/>
      <c r="I57" s="1"/>
    </row>
    <row r="58">
      <c r="F58" s="3"/>
      <c r="G58" s="1"/>
      <c r="H58" s="1"/>
      <c r="I58" s="1"/>
    </row>
    <row r="59">
      <c r="F59" s="3"/>
      <c r="G59" s="1"/>
      <c r="H59" s="1"/>
      <c r="I59" s="1"/>
    </row>
    <row r="60">
      <c r="A60" s="10"/>
      <c r="B60" s="11"/>
      <c r="C60" s="10"/>
      <c r="D60" s="11"/>
      <c r="E60" s="10"/>
      <c r="F60" s="3"/>
      <c r="G60" s="1"/>
      <c r="H60" s="10"/>
      <c r="J60" s="10"/>
      <c r="L60" s="10"/>
    </row>
    <row r="61">
      <c r="A61" s="10"/>
      <c r="B61" s="11"/>
      <c r="C61" s="10"/>
      <c r="D61" s="11"/>
      <c r="E61" s="10"/>
      <c r="F61" s="3"/>
      <c r="G61" s="1"/>
      <c r="H61" s="10"/>
      <c r="J61" s="10"/>
      <c r="L61" s="10"/>
    </row>
    <row r="62">
      <c r="A62" s="10"/>
      <c r="B62" s="12"/>
      <c r="C62" s="10"/>
      <c r="D62" s="11"/>
      <c r="E62" s="10"/>
      <c r="F62" s="3"/>
      <c r="G62" s="1"/>
      <c r="I62" s="13"/>
      <c r="M62" s="11"/>
    </row>
    <row r="63">
      <c r="F63" s="3"/>
      <c r="G63" s="1"/>
      <c r="H63" s="1"/>
      <c r="I63" s="1"/>
    </row>
    <row r="64">
      <c r="F64" s="3"/>
      <c r="G64" s="1"/>
    </row>
    <row r="65">
      <c r="F65" s="3"/>
      <c r="G65" s="1"/>
    </row>
    <row r="66">
      <c r="F66" s="3"/>
      <c r="G66" s="1"/>
    </row>
    <row r="67">
      <c r="C67" s="1"/>
      <c r="D67" s="8"/>
      <c r="F67" s="3"/>
      <c r="G67" s="1"/>
      <c r="H67" s="1"/>
      <c r="I67" s="1"/>
    </row>
    <row r="68">
      <c r="C68" s="1"/>
      <c r="D68" s="8"/>
      <c r="F68" s="3"/>
      <c r="G68" s="1"/>
      <c r="H68" s="1"/>
      <c r="I68" s="1"/>
    </row>
    <row r="69">
      <c r="D69" s="9"/>
      <c r="F69" s="3"/>
      <c r="G69" s="1"/>
      <c r="H69" s="1"/>
      <c r="I69" s="1"/>
    </row>
    <row r="70">
      <c r="F70" s="3"/>
      <c r="G70" s="1"/>
      <c r="H70" s="1"/>
      <c r="I70" s="1"/>
    </row>
    <row r="71">
      <c r="C71" s="4"/>
      <c r="D71" s="4"/>
      <c r="E71" s="4"/>
      <c r="F71" s="5"/>
      <c r="G71" s="6"/>
      <c r="H71" s="6"/>
      <c r="I71" s="6"/>
      <c r="J71" s="4"/>
      <c r="K71" s="4"/>
      <c r="L71" s="4"/>
    </row>
    <row r="72">
      <c r="F72" s="3"/>
      <c r="H72" s="1"/>
      <c r="I72" s="1"/>
    </row>
    <row r="73">
      <c r="F73" s="3"/>
      <c r="H73" s="1"/>
      <c r="I73" s="1"/>
    </row>
    <row r="74">
      <c r="F74" s="3"/>
      <c r="H74" s="1"/>
      <c r="I74" s="1"/>
    </row>
    <row r="75">
      <c r="F75" s="3"/>
      <c r="H75" s="1"/>
      <c r="I75" s="1"/>
    </row>
    <row r="76">
      <c r="F76" s="3"/>
      <c r="H76" s="1"/>
      <c r="I76" s="1"/>
    </row>
    <row r="77">
      <c r="F77" s="3"/>
      <c r="H77" s="1"/>
      <c r="I77" s="1"/>
    </row>
    <row r="78">
      <c r="F78" s="3"/>
      <c r="H78" s="1"/>
      <c r="I78" s="1"/>
    </row>
    <row r="79">
      <c r="F79" s="3"/>
      <c r="H79" s="1"/>
      <c r="I79" s="1"/>
    </row>
    <row r="80">
      <c r="F80" s="3"/>
      <c r="H80" s="1"/>
      <c r="I80" s="1"/>
    </row>
    <row r="81">
      <c r="F81" s="3"/>
      <c r="H81" s="1"/>
      <c r="I81" s="1"/>
    </row>
    <row r="82">
      <c r="F82" s="3"/>
      <c r="H82" s="1"/>
      <c r="I82" s="1"/>
    </row>
    <row r="83">
      <c r="F83" s="3"/>
      <c r="H83" s="1"/>
      <c r="I83" s="1"/>
    </row>
    <row r="84">
      <c r="F84" s="3"/>
      <c r="H84" s="1"/>
      <c r="I84" s="1"/>
    </row>
    <row r="85">
      <c r="F85" s="3"/>
      <c r="H85" s="1"/>
      <c r="I85" s="1"/>
    </row>
    <row r="86">
      <c r="F86" s="3"/>
      <c r="H86" s="1"/>
      <c r="I86" s="1"/>
    </row>
    <row r="87">
      <c r="D87" s="1"/>
      <c r="F87" s="3"/>
      <c r="H87" s="1"/>
      <c r="I87" s="1"/>
    </row>
    <row r="88">
      <c r="F88" s="3"/>
      <c r="H88" s="1"/>
      <c r="I88" s="1"/>
    </row>
    <row r="89">
      <c r="F89" s="3"/>
      <c r="H89" s="1"/>
      <c r="I89" s="1"/>
    </row>
    <row r="90">
      <c r="C90" s="4"/>
      <c r="D90" s="4"/>
      <c r="E90" s="4"/>
      <c r="F90" s="5"/>
      <c r="G90" s="6"/>
      <c r="H90" s="6"/>
      <c r="I90" s="6"/>
      <c r="J90" s="4"/>
      <c r="K90" s="4"/>
      <c r="L90" s="4"/>
    </row>
    <row r="91">
      <c r="H91" s="1"/>
      <c r="I91" s="1"/>
    </row>
    <row r="92">
      <c r="H92" s="1"/>
      <c r="I92" s="1"/>
    </row>
    <row r="93">
      <c r="H93" s="1"/>
      <c r="I93" s="1"/>
    </row>
    <row r="94">
      <c r="H94" s="1"/>
      <c r="I94" s="1"/>
    </row>
    <row r="95">
      <c r="H95" s="1"/>
      <c r="I95" s="1"/>
    </row>
    <row r="96">
      <c r="H96" s="1"/>
      <c r="I96" s="1"/>
    </row>
    <row r="97">
      <c r="H97" s="1"/>
      <c r="I97" s="1"/>
    </row>
    <row r="98">
      <c r="H98" s="1"/>
      <c r="I98" s="1"/>
    </row>
    <row r="99" ht="25.5" customHeight="1">
      <c r="B99" s="14">
        <v>46059.0</v>
      </c>
      <c r="C99" s="15"/>
    </row>
    <row r="100" ht="25.5" customHeight="1">
      <c r="B100" s="16" t="s">
        <v>0</v>
      </c>
      <c r="C100" s="17">
        <f>MAXIFS(
  'JOURNAL- NUM'!I:I,
  'JOURNAL- NUM'!A:A, $B99
)</f>
        <v>2</v>
      </c>
      <c r="D100" s="16" t="s">
        <v>1</v>
      </c>
      <c r="E100" s="17">
        <f>SUMIFS(
  'JOURNAL- NUM'!M:M,
  'JOURNAL- NUM'!A:A, $B99
)
</f>
        <v>-29.95</v>
      </c>
      <c r="F100" s="18" t="s">
        <v>2</v>
      </c>
      <c r="G100" s="17">
        <f>COUNTIFS(
  'JOURNAL- NUM'!H:H, "Conti",
  'JOURNAL- NUM'!A:A, "&gt;="&amp;$B99,
  'JOURNAL- NUM'!A:A, "&lt;"&amp;$B99+1
)
</f>
        <v>0</v>
      </c>
    </row>
    <row r="101" ht="25.5" customHeight="1">
      <c r="B101" s="16" t="s">
        <v>3</v>
      </c>
      <c r="C101" s="17">
        <f>AVERAGEIFS(
  'JOURNAL- NUM'!K:K,
  'JOURNAL- NUM'!A:A, $B99
)
</f>
        <v>115.875</v>
      </c>
      <c r="D101" s="16" t="s">
        <v>4</v>
      </c>
      <c r="E101" s="17">
        <f>SUMIFS(
  'JOURNAL- NUM'!V:V,
  'JOURNAL- NUM'!A:A, $B99
)
</f>
        <v>-2188.899212</v>
      </c>
      <c r="F101" s="19" t="s">
        <v>5</v>
      </c>
      <c r="G101" s="17">
        <f>COUNTIFS(
  'JOURNAL- NUM'!H:H, "Reversal",
  'JOURNAL- NUM'!A:A, "&gt;="&amp;$B99,
  'JOURNAL- NUM'!A:A, "&lt;"&amp;$B99+1
)
</f>
        <v>0</v>
      </c>
    </row>
    <row r="102" ht="25.5" customHeight="1">
      <c r="B102" s="16" t="s">
        <v>6</v>
      </c>
      <c r="C102" s="17">
        <f>AVERAGEIFS(
  'JOURNAL- NUM'!L:L,
  'JOURNAL- NUM'!A:A, $B99
)
</f>
        <v>108.3875</v>
      </c>
      <c r="D102" s="16" t="s">
        <v>7</v>
      </c>
      <c r="E102" s="17">
        <f>SUMIFS(
  'JOURNAL- NUM'!S:S,
  'JOURNAL- NUM'!A:A, $B99
)
</f>
        <v>160</v>
      </c>
      <c r="F102" s="18" t="s">
        <v>8</v>
      </c>
      <c r="G102" s="17">
        <f>COUNTIFS(
  'JOURNAL- NUM'!H:H, "Manual",
  'JOURNAL- NUM'!A:A, "&gt;="&amp;$B99,
  'JOURNAL- NUM'!A:A, "&lt;"&amp;$B99+1
)
</f>
        <v>0</v>
      </c>
    </row>
    <row r="103" ht="25.5" customHeight="1">
      <c r="B103" s="16" t="s">
        <v>9</v>
      </c>
      <c r="C103" s="20">
        <f>SUMIFS(
  'JOURNAL- NUM'!O:O,
  'JOURNAL- NUM'!A:A, $B99
)
</f>
        <v>-0.2660200823</v>
      </c>
      <c r="D103" s="16" t="s">
        <v>10</v>
      </c>
      <c r="E103" s="17">
        <f>AVERAGEIFS(
  'JOURNAL- NUM'!N:N,
  'JOURNAL- NUM'!A:A, $B99
)
</f>
        <v>7531.875</v>
      </c>
      <c r="F103" s="21" t="s">
        <v>11</v>
      </c>
      <c r="G103" s="17">
        <f>COUNTIFS(
  'JOURNAL- NUM'!G:G, "Long",
  'JOURNAL- NUM'!A:A, "&gt;="&amp;$B99,
  'JOURNAL- NUM'!A:A, "&lt;"&amp;$B99+1
)
</f>
        <v>0</v>
      </c>
    </row>
    <row r="104" ht="25.5" customHeight="1">
      <c r="B104" s="16" t="s">
        <v>12</v>
      </c>
      <c r="C104" s="17">
        <f>AVERAGEIFS(
  'JOURNAL- NUM'!J:J,
  'JOURNAL- NUM'!A:A, $B99
)/65
</f>
        <v>1</v>
      </c>
      <c r="D104" s="16" t="s">
        <v>13</v>
      </c>
      <c r="E104" s="17">
        <f>E101/C104</f>
        <v>-2188.899212</v>
      </c>
      <c r="F104" s="22" t="s">
        <v>14</v>
      </c>
      <c r="G104" s="17">
        <f>COUNTIFS(
  'JOURNAL- NUM'!G:G, "Short",
  'JOURNAL- NUM'!A:A, "&gt;="&amp;$B99,
  'JOURNAL- NUM'!A:A, "&lt;"&amp;$B99+1
)
</f>
        <v>0</v>
      </c>
    </row>
    <row r="105">
      <c r="B105" s="16" t="s">
        <v>15</v>
      </c>
      <c r="C105" s="23">
        <f>MAXIFS(
  'JOURNAL- NUM'!R:R,
  'JOURNAL- NUM'!A:A, $B99
)</f>
        <v>0.01039351852</v>
      </c>
      <c r="D105" s="16" t="s">
        <v>16</v>
      </c>
      <c r="E105" s="23">
        <f>MINIFS(
  'JOURNAL- NUM'!R:R,
  'JOURNAL- NUM'!A:A, $B99
)</f>
        <v>0.006724537037</v>
      </c>
    </row>
    <row r="106">
      <c r="H106" s="1"/>
      <c r="I106" s="1"/>
    </row>
    <row r="107">
      <c r="H107" s="1"/>
      <c r="I107" s="1"/>
    </row>
    <row r="108" ht="25.5" customHeight="1">
      <c r="B108" s="24" t="s">
        <v>17</v>
      </c>
      <c r="C108" s="15"/>
      <c r="F108" s="25"/>
      <c r="G108" s="26" t="s">
        <v>18</v>
      </c>
      <c r="H108" s="15"/>
    </row>
    <row r="109" ht="25.5" customHeight="1">
      <c r="B109" s="16" t="s">
        <v>19</v>
      </c>
      <c r="C109" s="17">
        <f>IFERROR(__xludf.DUMMYFUNCTION("LET(col, 'JOURNAL- NUM'!Q:Q, INDEX(col, MAX(FILTER(ROW(col), col&lt;&gt;""""))))"),185.35700000000003)</f>
        <v>185.357</v>
      </c>
      <c r="D109" s="16" t="s">
        <v>20</v>
      </c>
      <c r="E109" s="17">
        <f>COUNTIF('JOURNAL- NUM'!M:M,"&gt;1")</f>
        <v>26</v>
      </c>
      <c r="G109" s="27" t="s">
        <v>21</v>
      </c>
      <c r="H109" s="27" t="s">
        <v>22</v>
      </c>
      <c r="I109" s="27" t="s">
        <v>23</v>
      </c>
      <c r="J109" s="27" t="s">
        <v>24</v>
      </c>
      <c r="K109" s="27" t="s">
        <v>25</v>
      </c>
      <c r="L109" s="27" t="s">
        <v>26</v>
      </c>
    </row>
    <row r="110" ht="25.5" customHeight="1">
      <c r="B110" s="16" t="s">
        <v>27</v>
      </c>
      <c r="C110" s="17" t="str">
        <f>IFERROR(__xludf.DUMMYFUNCTION("LET(col, #REF!, INDEX(col, MAX(FILTER(ROW(col), col&lt;&gt;""""))))"),"#REF!")</f>
        <v>#REF!</v>
      </c>
      <c r="D110" s="16" t="s">
        <v>28</v>
      </c>
      <c r="E110" s="17">
        <f>COUNTIF('JOURNAL- NUM'!M:M,"&lt;1")</f>
        <v>46</v>
      </c>
      <c r="G110" s="27" t="s">
        <v>29</v>
      </c>
      <c r="H110" s="17">
        <f>LET(
  valCol, 'JOURNAL- NUM'!M:M,
  AVERAGEIF(valCol, "&gt;1")
)
</f>
        <v>19.97065385</v>
      </c>
      <c r="I110" s="17">
        <f>LET(
  valCol, 'JOURNAL- NUM'!U:U,
  AVERAGEIF(valCol, "&gt;1")
)
</f>
        <v>1892.6025</v>
      </c>
      <c r="J110" s="17">
        <f>max('JOURNAL- NUM'!M:M)</f>
        <v>47.65</v>
      </c>
      <c r="K110" s="17">
        <f>MAX('JOURNAL- NUM'!U:U)</f>
        <v>6194.5</v>
      </c>
      <c r="L110" s="28">
        <f t="array" ref="L110">LET(
  valCol, 'JOURNAL- NUM'!U:U,
  dateCol, 'JOURNAL- NUM'!A:A,
  maxVal, MAX(valCol),
  INDEX(dateCol, MATCH(maxVal, valCol, 0))
)
</f>
        <v>46035</v>
      </c>
    </row>
    <row r="111" ht="25.5" customHeight="1">
      <c r="B111" s="16" t="s">
        <v>30</v>
      </c>
      <c r="C111" s="20">
        <f>IFERROR(__xludf.DUMMYFUNCTION("LET(col, 'JOURNAL- NUM'!P:P, INDEX(col, MAX(FILTER(ROW(col), col&lt;&gt;""""))))"),1.669205013912887)</f>
        <v>1.669205014</v>
      </c>
      <c r="D111" s="16" t="s">
        <v>31</v>
      </c>
      <c r="E111" s="17">
        <f>sum(E109:E110)</f>
        <v>72</v>
      </c>
      <c r="G111" s="27" t="s">
        <v>32</v>
      </c>
      <c r="H111" s="17">
        <f>LET(
  valCol, 'JOURNAL- NUM'!M:M,
  AVERAGEIF(valCol, "&lt;1")
)
</f>
        <v>-7.25826087</v>
      </c>
      <c r="I111" s="17">
        <f>LET(
  valCol, 'JOURNAL- NUM'!U:U,
  AVERAGEIF(valCol, "&lt;1")
)
</f>
        <v>-817.8130435</v>
      </c>
      <c r="J111" s="17">
        <f>MIN('JOURNAL- NUM'!M:M)</f>
        <v>-24.8</v>
      </c>
      <c r="K111" s="17">
        <f>MIN('JOURNAL- NUM'!U:U)</f>
        <v>-3224</v>
      </c>
      <c r="L111" s="28">
        <f t="array" ref="L111">LET(
  valCol,'JOURNAL- NUM'!U:U,
  dateCol,'JOURNAL- NUM'!A:A,
  minVal, MIN(valCol),
  INDEX(dateCol, MATCH(minVal, valCol, 0))
)
</f>
        <v>46049</v>
      </c>
    </row>
    <row r="112" ht="25.5" customHeight="1">
      <c r="B112" s="16" t="s">
        <v>33</v>
      </c>
      <c r="C112" s="17">
        <f>SUM('JOURNAL- NUM'!S:S)
</f>
        <v>2880</v>
      </c>
      <c r="D112" s="16" t="s">
        <v>34</v>
      </c>
      <c r="E112" s="20">
        <f>E109/E111</f>
        <v>0.3611111111</v>
      </c>
      <c r="G112" s="10"/>
    </row>
    <row r="113" ht="25.5" customHeight="1">
      <c r="B113" s="16" t="s">
        <v>35</v>
      </c>
      <c r="C113" s="17">
        <f>SUM('JOURNAL- NUM'!T:T)
</f>
        <v>2375.620675</v>
      </c>
      <c r="G113" s="10"/>
    </row>
    <row r="114" ht="25.5" customHeight="1">
      <c r="B114" s="16" t="s">
        <v>36</v>
      </c>
      <c r="C114" s="17">
        <f>sum(C112:C113)</f>
        <v>5255.620675</v>
      </c>
      <c r="J114" s="2"/>
    </row>
    <row r="115" ht="25.5" customHeight="1">
      <c r="J115" s="2"/>
    </row>
    <row r="116">
      <c r="B116" s="27" t="s">
        <v>37</v>
      </c>
    </row>
    <row r="117">
      <c r="B117" s="16" t="s">
        <v>38</v>
      </c>
      <c r="C117" s="16" t="str">
        <f>OLD!$D$522</f>
        <v>Conti</v>
      </c>
      <c r="D117" s="16" t="str">
        <f>OLD!$D$523</f>
        <v>Reversal</v>
      </c>
      <c r="E117" s="16" t="str">
        <f>OLD!$D$527</f>
        <v>No Record</v>
      </c>
      <c r="F117" s="16" t="str">
        <f>OLD!$D$521</f>
        <v>FIB ENTRY</v>
      </c>
      <c r="G117" s="16" t="str">
        <f>OLD!$D$533</f>
        <v>Manual</v>
      </c>
      <c r="H117" s="16" t="s">
        <v>39</v>
      </c>
    </row>
    <row r="118">
      <c r="B118" s="16" t="s">
        <v>29</v>
      </c>
      <c r="C118" s="29" t="str">
        <f>LET(
  amtCol, 'JOURNAL- Disc-Temp'!$C:$C,
  tagCol, 'JOURNAL- Disc-Temp'!$D:$D,
  SUMIFS(amtCol, tagCol, "Conti", amtCol, "&gt;0")
)
</f>
        <v>#N/A</v>
      </c>
      <c r="D118" s="29" t="str">
        <f>LET(
  amtCol, 'JOURNAL- Disc-Temp'!$C:$C,
  tagCol, 'JOURNAL- Disc-Temp'!$D:$D,
  SUMIFS(amtCol, tagCol, "Reversal", amtCol, "&gt;0")
)
</f>
        <v>#N/A</v>
      </c>
      <c r="E118" s="29" t="str">
        <f>LET(
  amtCol, 'JOURNAL- Disc-Temp'!$C:$C,
  tagCol, 'JOURNAL- Disc-Temp'!$D:$D,
  SUMIFS(amtCol, tagCol, "No Record", amtCol, "&gt;0")
)
</f>
        <v>#N/A</v>
      </c>
      <c r="F118" s="29" t="str">
        <f>LET(
  amtCol, 'JOURNAL- Disc-Temp'!$C:$C,
  tagCol, 'JOURNAL- Disc-Temp'!$D:$D,
  SUMIFS(amtCol, tagCol, "FIB ENTRY", amtCol, "&gt;0")
)
</f>
        <v>#N/A</v>
      </c>
      <c r="G118" s="29" t="str">
        <f>LET(
  amtCol, 'JOURNAL- Disc-Temp'!$C:$C,
  tagCol, 'JOURNAL- Disc-Temp'!$D:$D,
  SUMIFS(amtCol, tagCol, "Manual", amtCol, "&gt;0")
)
</f>
        <v>#N/A</v>
      </c>
      <c r="H118" s="29" t="str">
        <f t="shared" ref="H118:H120" si="1">SUM(C118:G118)
</f>
        <v>#N/A</v>
      </c>
    </row>
    <row r="119">
      <c r="B119" s="16" t="s">
        <v>32</v>
      </c>
      <c r="C119" s="29" t="str">
        <f>LET(
  amtCol, 'JOURNAL- Disc-Temp'!C:C,
  tagCol, 'JOURNAL- Disc-Temp'!D:D,
  SUMIFS(amtCol, tagCol, "Conti", amtCol, "&lt;0")
)
</f>
        <v>#N/A</v>
      </c>
      <c r="D119" s="29" t="str">
        <f>LET(
  amtCol, 'JOURNAL- Disc-Temp'!$C:$C,
  tagCol, 'JOURNAL- Disc-Temp'!$D:$D,
  SUMIFS(amtCol, tagCol, "Reversal", amtCol, "&lt;0")
)
</f>
        <v>#N/A</v>
      </c>
      <c r="E119" s="29" t="str">
        <f>LET(
  amtCol, 'JOURNAL- Disc-Temp'!$C:$C,
  tagCol, 'JOURNAL- Disc-Temp'!$D:$D,
  SUMIFS(amtCol, tagCol, "No Record", amtCol, "&lt;0")
)
</f>
        <v>#N/A</v>
      </c>
      <c r="F119" s="29" t="str">
        <f>LET(
  amtCol, 'JOURNAL- Disc-Temp'!$C:$C,
  tagCol, 'JOURNAL- Disc-Temp'!$D:$D,
  SUMIFS(amtCol, tagCol, "FIB ENTRY", amtCol, "&lt;0")
)
</f>
        <v>#N/A</v>
      </c>
      <c r="G119" s="29" t="str">
        <f>LET(
  amtCol, 'JOURNAL- Disc-Temp'!$C:$C,
  tagCol, 'JOURNAL- Disc-Temp'!$D:$D,
  SUMIFS(amtCol, tagCol, "Manual", amtCol, "&lt;0")
)
</f>
        <v>#N/A</v>
      </c>
      <c r="H119" s="29" t="str">
        <f t="shared" si="1"/>
        <v>#N/A</v>
      </c>
    </row>
    <row r="120">
      <c r="B120" s="16" t="s">
        <v>40</v>
      </c>
      <c r="C120" s="29" t="str">
        <f t="shared" ref="C120:G120" si="2">sum(C118:C119)</f>
        <v>#N/A</v>
      </c>
      <c r="D120" s="29" t="str">
        <f t="shared" si="2"/>
        <v>#N/A</v>
      </c>
      <c r="E120" s="29" t="str">
        <f t="shared" si="2"/>
        <v>#N/A</v>
      </c>
      <c r="F120" s="29" t="str">
        <f t="shared" si="2"/>
        <v>#N/A</v>
      </c>
      <c r="G120" s="29" t="str">
        <f t="shared" si="2"/>
        <v>#N/A</v>
      </c>
      <c r="H120" s="29" t="str">
        <f t="shared" si="1"/>
        <v>#N/A</v>
      </c>
    </row>
    <row r="121">
      <c r="B121" s="16" t="s">
        <v>41</v>
      </c>
      <c r="C121" s="29">
        <f>COUNTIF('JOURNAL- NUM'!H:H, "Conti")
</f>
        <v>25</v>
      </c>
      <c r="D121" s="29">
        <f>COUNTIF('JOURNAL- NUM'!$H:$H, "Reversal")
</f>
        <v>9</v>
      </c>
      <c r="E121" s="29">
        <f>COUNTIF('JOURNAL- NUM'!$H:$H, "No Record")
</f>
        <v>8</v>
      </c>
      <c r="F121" s="29">
        <f>COUNTIF('JOURNAL- NUM'!$H:$H, "FIB ENTRY")
</f>
        <v>2</v>
      </c>
      <c r="G121" s="29">
        <f>COUNTIF('JOURNAL- NUM'!$H:$H, "Manual")
</f>
        <v>11</v>
      </c>
      <c r="H121" s="29"/>
    </row>
    <row r="122">
      <c r="C122" s="1"/>
      <c r="D122" s="1"/>
      <c r="E122" s="1"/>
      <c r="F122" s="1"/>
      <c r="G122" s="1"/>
    </row>
    <row r="123">
      <c r="C123" s="1"/>
      <c r="D123" s="1"/>
      <c r="E123" s="1"/>
      <c r="F123" s="1"/>
      <c r="G123" s="1"/>
    </row>
    <row r="124">
      <c r="C124" s="1"/>
      <c r="D124" s="1"/>
      <c r="E124" s="1"/>
      <c r="F124" s="1"/>
      <c r="G124" s="1"/>
    </row>
    <row r="125">
      <c r="C125" s="1"/>
      <c r="D125" s="1"/>
      <c r="E125" s="1"/>
      <c r="F125" s="1"/>
      <c r="G125" s="1"/>
    </row>
    <row r="129">
      <c r="B129" s="1"/>
      <c r="C129" s="1"/>
      <c r="D129" s="1"/>
      <c r="E129" s="1"/>
      <c r="F129" s="1"/>
      <c r="G129" s="1"/>
      <c r="H129" s="1"/>
      <c r="I129" s="1"/>
    </row>
    <row r="130">
      <c r="B130" s="1"/>
      <c r="C130" s="1"/>
      <c r="D130" s="1"/>
      <c r="E130" s="1"/>
      <c r="F130" s="1"/>
      <c r="G130" s="1"/>
      <c r="H130" s="1"/>
      <c r="I130" s="1"/>
    </row>
    <row r="131">
      <c r="B131" s="1"/>
      <c r="C131" s="1"/>
      <c r="D131" s="1"/>
      <c r="E131" s="1"/>
      <c r="F131" s="1"/>
      <c r="G131" s="1"/>
      <c r="H131" s="1"/>
      <c r="I131" s="1"/>
    </row>
    <row r="132">
      <c r="B132" s="1"/>
      <c r="C132" s="1"/>
      <c r="D132" s="1"/>
      <c r="E132" s="1"/>
      <c r="F132" s="1"/>
      <c r="G132" s="1"/>
      <c r="H132" s="1"/>
      <c r="I132" s="1"/>
    </row>
    <row r="133">
      <c r="B133" s="1"/>
      <c r="C133" s="1"/>
      <c r="D133" s="1"/>
      <c r="E133" s="1"/>
      <c r="F133" s="1"/>
      <c r="G133" s="1"/>
      <c r="H133" s="1"/>
      <c r="I133" s="1"/>
    </row>
    <row r="134">
      <c r="B134" s="1"/>
      <c r="C134" s="1"/>
      <c r="D134" s="1"/>
      <c r="E134" s="1"/>
      <c r="F134" s="1"/>
      <c r="G134" s="1"/>
      <c r="H134" s="1"/>
      <c r="I134" s="1"/>
    </row>
    <row r="135">
      <c r="B135" s="1"/>
      <c r="C135" s="1"/>
      <c r="D135" s="1"/>
      <c r="E135" s="1"/>
      <c r="F135" s="1"/>
      <c r="G135" s="1"/>
      <c r="H135" s="1"/>
      <c r="I135" s="1"/>
    </row>
    <row r="136">
      <c r="B136" s="1"/>
      <c r="C136" s="1"/>
      <c r="D136" s="1"/>
      <c r="E136" s="1"/>
      <c r="F136" s="1"/>
      <c r="G136" s="1"/>
      <c r="H136" s="1"/>
      <c r="I136" s="1"/>
    </row>
    <row r="137">
      <c r="H137" s="1"/>
      <c r="I137" s="1"/>
    </row>
    <row r="138">
      <c r="H138" s="1"/>
      <c r="I138" s="1"/>
    </row>
    <row r="139">
      <c r="H139" s="1"/>
      <c r="I139" s="1"/>
    </row>
    <row r="140">
      <c r="H140" s="1"/>
      <c r="I140" s="1"/>
    </row>
    <row r="141">
      <c r="H141" s="1"/>
      <c r="I141" s="1"/>
    </row>
    <row r="142">
      <c r="H142" s="1"/>
      <c r="I142" s="1"/>
    </row>
    <row r="143">
      <c r="H143" s="1"/>
      <c r="I143" s="1"/>
    </row>
    <row r="144">
      <c r="H144" s="1"/>
      <c r="I144" s="1"/>
    </row>
    <row r="145">
      <c r="H145" s="1"/>
      <c r="I145" s="1"/>
    </row>
    <row r="146">
      <c r="H146" s="1"/>
      <c r="I146" s="1"/>
    </row>
    <row r="147">
      <c r="H147" s="1"/>
      <c r="I147" s="1"/>
    </row>
    <row r="148">
      <c r="H148" s="1"/>
      <c r="I148" s="1"/>
    </row>
    <row r="149">
      <c r="H149" s="1"/>
      <c r="I149" s="1"/>
    </row>
    <row r="150">
      <c r="H150" s="1"/>
      <c r="I150" s="1"/>
    </row>
    <row r="151">
      <c r="H151" s="1"/>
      <c r="I151" s="1"/>
    </row>
    <row r="152">
      <c r="H152" s="1"/>
      <c r="I152" s="1"/>
    </row>
    <row r="153">
      <c r="H153" s="1"/>
      <c r="I153" s="1"/>
    </row>
    <row r="154">
      <c r="H154" s="1"/>
      <c r="I154" s="1"/>
    </row>
    <row r="155">
      <c r="H155" s="1"/>
      <c r="I155" s="1"/>
    </row>
    <row r="156">
      <c r="H156" s="1"/>
      <c r="I156" s="1"/>
    </row>
    <row r="157">
      <c r="H157" s="1"/>
      <c r="I157" s="1"/>
    </row>
    <row r="158">
      <c r="H158" s="1"/>
      <c r="I158" s="1"/>
    </row>
    <row r="159">
      <c r="H159" s="1"/>
      <c r="I159" s="1"/>
    </row>
    <row r="160">
      <c r="H160" s="1"/>
      <c r="I160" s="1"/>
    </row>
    <row r="161">
      <c r="H161" s="1"/>
      <c r="I161" s="1"/>
    </row>
    <row r="162">
      <c r="H162" s="1"/>
      <c r="I162" s="1"/>
    </row>
    <row r="163">
      <c r="H163" s="1"/>
      <c r="I163" s="1"/>
    </row>
    <row r="164">
      <c r="H164" s="1"/>
      <c r="I164" s="1"/>
    </row>
    <row r="165">
      <c r="H165" s="1"/>
      <c r="I165" s="1"/>
    </row>
    <row r="166">
      <c r="H166" s="1"/>
      <c r="I166" s="1"/>
    </row>
    <row r="167">
      <c r="H167" s="1"/>
      <c r="I167" s="1"/>
    </row>
    <row r="168">
      <c r="H168" s="1"/>
      <c r="I168" s="1"/>
    </row>
    <row r="169">
      <c r="H169" s="1"/>
      <c r="I169" s="1"/>
    </row>
    <row r="170">
      <c r="H170" s="1"/>
      <c r="I170" s="1"/>
    </row>
    <row r="171">
      <c r="H171" s="1"/>
      <c r="I171" s="1"/>
    </row>
    <row r="172">
      <c r="H172" s="1"/>
      <c r="I172" s="1"/>
    </row>
    <row r="173">
      <c r="H173" s="1"/>
      <c r="I173" s="1"/>
    </row>
    <row r="174">
      <c r="H174" s="1"/>
      <c r="I174" s="1"/>
    </row>
    <row r="175">
      <c r="H175" s="1"/>
      <c r="I175" s="1"/>
    </row>
    <row r="176">
      <c r="H176" s="1"/>
      <c r="I176" s="1"/>
    </row>
    <row r="177">
      <c r="H177" s="1"/>
      <c r="I177" s="1"/>
    </row>
    <row r="178">
      <c r="H178" s="1"/>
      <c r="I178" s="1"/>
    </row>
    <row r="179">
      <c r="H179" s="1"/>
      <c r="I179" s="1"/>
    </row>
    <row r="180">
      <c r="H180" s="1"/>
      <c r="I180" s="1"/>
    </row>
    <row r="181">
      <c r="H181" s="1"/>
      <c r="I181" s="1"/>
    </row>
    <row r="182">
      <c r="H182" s="1"/>
      <c r="I182" s="1"/>
    </row>
    <row r="183">
      <c r="H183" s="1"/>
      <c r="I183" s="1"/>
    </row>
    <row r="184">
      <c r="H184" s="1"/>
      <c r="I184" s="1"/>
    </row>
    <row r="185">
      <c r="H185" s="1"/>
      <c r="I185" s="1"/>
    </row>
    <row r="186">
      <c r="H186" s="1"/>
      <c r="I186" s="1"/>
    </row>
    <row r="187">
      <c r="H187" s="1"/>
      <c r="I187" s="1"/>
    </row>
    <row r="188">
      <c r="H188" s="1"/>
      <c r="I188" s="1"/>
    </row>
    <row r="189">
      <c r="H189" s="1"/>
      <c r="I189" s="1"/>
    </row>
    <row r="190">
      <c r="H190" s="1"/>
      <c r="I190" s="1"/>
    </row>
    <row r="191">
      <c r="H191" s="1"/>
      <c r="I191" s="1"/>
    </row>
    <row r="192">
      <c r="H192" s="1"/>
      <c r="I192" s="1"/>
    </row>
    <row r="193">
      <c r="H193" s="1"/>
      <c r="I193" s="1"/>
    </row>
    <row r="194">
      <c r="H194" s="1"/>
      <c r="I194" s="1"/>
    </row>
    <row r="195">
      <c r="H195" s="1"/>
      <c r="I195" s="1"/>
    </row>
    <row r="196">
      <c r="H196" s="1"/>
      <c r="I196" s="1"/>
    </row>
    <row r="197">
      <c r="H197" s="1"/>
      <c r="I197" s="1"/>
    </row>
    <row r="198">
      <c r="H198" s="1"/>
      <c r="I198" s="1"/>
    </row>
    <row r="199">
      <c r="H199" s="1"/>
      <c r="I199" s="1"/>
    </row>
    <row r="200">
      <c r="H200" s="1"/>
      <c r="I200" s="1"/>
    </row>
    <row r="201">
      <c r="H201" s="1"/>
      <c r="I201" s="1"/>
    </row>
    <row r="202">
      <c r="H202" s="1"/>
      <c r="I202" s="1"/>
    </row>
    <row r="203">
      <c r="H203" s="1"/>
      <c r="I203" s="1"/>
    </row>
    <row r="204">
      <c r="H204" s="1"/>
      <c r="I204" s="1"/>
    </row>
    <row r="205">
      <c r="H205" s="1"/>
      <c r="I205" s="1"/>
    </row>
    <row r="206">
      <c r="H206" s="1"/>
      <c r="I206" s="1"/>
    </row>
    <row r="207">
      <c r="H207" s="1"/>
      <c r="I207" s="1"/>
    </row>
    <row r="208">
      <c r="H208" s="1"/>
      <c r="I208" s="1"/>
    </row>
    <row r="209">
      <c r="H209" s="1"/>
      <c r="I209" s="1"/>
    </row>
    <row r="210">
      <c r="H210" s="1"/>
      <c r="I210" s="1"/>
    </row>
    <row r="211">
      <c r="H211" s="1"/>
      <c r="I211" s="1"/>
    </row>
    <row r="212">
      <c r="H212" s="1"/>
      <c r="I212" s="1"/>
    </row>
    <row r="213">
      <c r="H213" s="1"/>
      <c r="I213" s="1"/>
    </row>
    <row r="214">
      <c r="H214" s="1"/>
      <c r="I214" s="1"/>
    </row>
    <row r="215">
      <c r="H215" s="1"/>
      <c r="I215" s="1"/>
    </row>
    <row r="216">
      <c r="H216" s="1"/>
      <c r="I216" s="1"/>
    </row>
    <row r="217">
      <c r="H217" s="1"/>
      <c r="I217" s="1"/>
    </row>
    <row r="218">
      <c r="H218" s="1"/>
      <c r="I218" s="1"/>
    </row>
    <row r="219">
      <c r="H219" s="1"/>
      <c r="I219" s="1"/>
    </row>
    <row r="220">
      <c r="H220" s="1"/>
      <c r="I220" s="1"/>
    </row>
    <row r="221">
      <c r="H221" s="1"/>
      <c r="I221" s="1"/>
    </row>
    <row r="222">
      <c r="H222" s="1"/>
      <c r="I222" s="1"/>
    </row>
    <row r="223">
      <c r="H223" s="1"/>
      <c r="I223" s="1"/>
    </row>
    <row r="224">
      <c r="H224" s="1"/>
      <c r="I224" s="1"/>
    </row>
    <row r="225">
      <c r="H225" s="1"/>
      <c r="I225" s="1"/>
    </row>
    <row r="226">
      <c r="H226" s="1"/>
      <c r="I226" s="1"/>
    </row>
    <row r="227">
      <c r="H227" s="1"/>
      <c r="I227" s="1"/>
    </row>
    <row r="228">
      <c r="H228" s="1"/>
      <c r="I228" s="1"/>
    </row>
    <row r="229">
      <c r="H229" s="1"/>
      <c r="I229" s="1"/>
    </row>
    <row r="230">
      <c r="H230" s="1"/>
      <c r="I230" s="1"/>
    </row>
    <row r="231">
      <c r="H231" s="1"/>
      <c r="I231" s="1"/>
    </row>
    <row r="232">
      <c r="H232" s="1"/>
      <c r="I232" s="1"/>
    </row>
    <row r="233">
      <c r="H233" s="1"/>
      <c r="I233" s="1"/>
    </row>
    <row r="234">
      <c r="H234" s="1"/>
      <c r="I234" s="1"/>
    </row>
    <row r="235">
      <c r="H235" s="1"/>
      <c r="I235" s="1"/>
    </row>
    <row r="236">
      <c r="H236" s="1"/>
      <c r="I236" s="1"/>
    </row>
    <row r="237">
      <c r="H237" s="1"/>
      <c r="I237" s="1"/>
    </row>
    <row r="238">
      <c r="H238" s="1"/>
      <c r="I238" s="1"/>
    </row>
    <row r="239">
      <c r="H239" s="1"/>
      <c r="I239" s="1"/>
    </row>
    <row r="240">
      <c r="H240" s="1"/>
      <c r="I240" s="1"/>
    </row>
    <row r="241">
      <c r="H241" s="1"/>
      <c r="I241" s="1"/>
    </row>
    <row r="242">
      <c r="H242" s="1"/>
      <c r="I242" s="1"/>
    </row>
    <row r="243">
      <c r="H243" s="1"/>
      <c r="I243" s="1"/>
    </row>
    <row r="244">
      <c r="H244" s="1"/>
      <c r="I244" s="1"/>
    </row>
    <row r="245">
      <c r="H245" s="1"/>
      <c r="I245" s="1"/>
    </row>
    <row r="246">
      <c r="H246" s="1"/>
      <c r="I246" s="1"/>
    </row>
    <row r="247">
      <c r="H247" s="1"/>
      <c r="I247" s="1"/>
    </row>
    <row r="248">
      <c r="H248" s="1"/>
      <c r="I248" s="1"/>
    </row>
    <row r="249">
      <c r="H249" s="1"/>
      <c r="I249" s="1"/>
    </row>
    <row r="250">
      <c r="H250" s="1"/>
      <c r="I250" s="1"/>
    </row>
    <row r="251">
      <c r="H251" s="1"/>
      <c r="I251" s="1"/>
    </row>
    <row r="252">
      <c r="H252" s="1"/>
      <c r="I252" s="1"/>
    </row>
    <row r="253">
      <c r="H253" s="1"/>
      <c r="I253" s="1"/>
    </row>
    <row r="254">
      <c r="H254" s="1"/>
      <c r="I254" s="1"/>
    </row>
    <row r="255">
      <c r="H255" s="1"/>
      <c r="I255" s="1"/>
    </row>
    <row r="256">
      <c r="H256" s="1"/>
      <c r="I256" s="1"/>
    </row>
    <row r="257">
      <c r="H257" s="1"/>
      <c r="I257" s="1"/>
    </row>
    <row r="258">
      <c r="H258" s="1"/>
      <c r="I258" s="1"/>
    </row>
    <row r="259">
      <c r="H259" s="1"/>
      <c r="I259" s="1"/>
    </row>
    <row r="260">
      <c r="H260" s="1"/>
      <c r="I260" s="1"/>
    </row>
    <row r="261">
      <c r="H261" s="1"/>
      <c r="I261" s="1"/>
    </row>
    <row r="262">
      <c r="H262" s="1"/>
      <c r="I262" s="1"/>
    </row>
    <row r="263">
      <c r="H263" s="1"/>
      <c r="I263" s="1"/>
    </row>
    <row r="264">
      <c r="H264" s="1"/>
      <c r="I264" s="1"/>
    </row>
    <row r="265">
      <c r="H265" s="1"/>
      <c r="I265" s="1"/>
    </row>
    <row r="266">
      <c r="H266" s="1"/>
      <c r="I266" s="1"/>
    </row>
    <row r="267">
      <c r="H267" s="1"/>
      <c r="I267" s="1"/>
    </row>
    <row r="268">
      <c r="H268" s="1"/>
      <c r="I268" s="1"/>
    </row>
    <row r="269">
      <c r="H269" s="1"/>
      <c r="I269" s="1"/>
    </row>
    <row r="270">
      <c r="H270" s="1"/>
      <c r="I270" s="1"/>
    </row>
    <row r="271">
      <c r="H271" s="1"/>
      <c r="I271" s="1"/>
    </row>
    <row r="272">
      <c r="H272" s="1"/>
      <c r="I272" s="1"/>
    </row>
    <row r="273">
      <c r="H273" s="1"/>
      <c r="I273" s="1"/>
    </row>
    <row r="274">
      <c r="H274" s="1"/>
      <c r="I274" s="1"/>
    </row>
    <row r="275">
      <c r="H275" s="1"/>
      <c r="I275" s="1"/>
    </row>
    <row r="276">
      <c r="H276" s="1"/>
      <c r="I276" s="1"/>
    </row>
    <row r="277">
      <c r="H277" s="1"/>
      <c r="I277" s="1"/>
    </row>
    <row r="278">
      <c r="H278" s="1"/>
      <c r="I278" s="1"/>
    </row>
    <row r="279">
      <c r="H279" s="1"/>
      <c r="I279" s="1"/>
    </row>
    <row r="280">
      <c r="H280" s="1"/>
      <c r="I280" s="1"/>
    </row>
    <row r="281">
      <c r="H281" s="1"/>
      <c r="I281" s="1"/>
    </row>
    <row r="282">
      <c r="H282" s="1"/>
      <c r="I282" s="1"/>
    </row>
    <row r="283">
      <c r="H283" s="1"/>
      <c r="I283" s="1"/>
    </row>
    <row r="284">
      <c r="H284" s="1"/>
      <c r="I284" s="1"/>
    </row>
    <row r="285">
      <c r="H285" s="1"/>
      <c r="I285" s="1"/>
    </row>
    <row r="286">
      <c r="H286" s="1"/>
      <c r="I286" s="1"/>
    </row>
    <row r="287">
      <c r="H287" s="1"/>
      <c r="I287" s="1"/>
    </row>
    <row r="288">
      <c r="H288" s="1"/>
      <c r="I288" s="1"/>
    </row>
    <row r="289">
      <c r="H289" s="1"/>
      <c r="I289" s="1"/>
    </row>
    <row r="290">
      <c r="H290" s="1"/>
      <c r="I290" s="1"/>
    </row>
    <row r="291">
      <c r="H291" s="1"/>
      <c r="I291" s="1"/>
    </row>
    <row r="292">
      <c r="H292" s="1"/>
      <c r="I292" s="1"/>
    </row>
    <row r="293">
      <c r="H293" s="1"/>
      <c r="I293" s="1"/>
    </row>
    <row r="294">
      <c r="H294" s="1"/>
      <c r="I294" s="1"/>
    </row>
    <row r="295">
      <c r="H295" s="1"/>
      <c r="I295" s="1"/>
    </row>
    <row r="296">
      <c r="H296" s="1"/>
      <c r="I296" s="1"/>
    </row>
    <row r="297">
      <c r="H297" s="1"/>
      <c r="I297" s="1"/>
    </row>
    <row r="298">
      <c r="H298" s="1"/>
      <c r="I298" s="1"/>
    </row>
    <row r="299">
      <c r="H299" s="1"/>
      <c r="I299" s="1"/>
    </row>
    <row r="300">
      <c r="H300" s="1"/>
      <c r="I300" s="1"/>
    </row>
    <row r="301">
      <c r="H301" s="1"/>
      <c r="I301" s="1"/>
    </row>
    <row r="302">
      <c r="H302" s="1"/>
      <c r="I302" s="1"/>
    </row>
    <row r="303">
      <c r="H303" s="1"/>
      <c r="I303" s="1"/>
    </row>
    <row r="304">
      <c r="H304" s="1"/>
      <c r="I304" s="1"/>
    </row>
    <row r="305">
      <c r="H305" s="1"/>
      <c r="I305" s="1"/>
    </row>
    <row r="306">
      <c r="H306" s="1"/>
      <c r="I306" s="1"/>
    </row>
    <row r="307">
      <c r="H307" s="1"/>
      <c r="I307" s="1"/>
    </row>
    <row r="308">
      <c r="H308" s="1"/>
      <c r="I308" s="1"/>
    </row>
    <row r="309">
      <c r="H309" s="1"/>
      <c r="I309" s="1"/>
    </row>
    <row r="310">
      <c r="H310" s="1"/>
      <c r="I310" s="1"/>
    </row>
    <row r="311">
      <c r="H311" s="1"/>
      <c r="I311" s="1"/>
    </row>
    <row r="312">
      <c r="H312" s="1"/>
      <c r="I312" s="1"/>
    </row>
    <row r="313">
      <c r="H313" s="1"/>
      <c r="I313" s="1"/>
    </row>
    <row r="314">
      <c r="H314" s="1"/>
      <c r="I314" s="1"/>
    </row>
    <row r="315">
      <c r="H315" s="1"/>
      <c r="I315" s="1"/>
    </row>
    <row r="316">
      <c r="H316" s="1"/>
      <c r="I316" s="1"/>
    </row>
    <row r="317">
      <c r="H317" s="1"/>
      <c r="I317" s="1"/>
    </row>
    <row r="318">
      <c r="H318" s="1"/>
      <c r="I318" s="1"/>
    </row>
    <row r="319">
      <c r="H319" s="1"/>
      <c r="I319" s="1"/>
    </row>
    <row r="320">
      <c r="H320" s="1"/>
      <c r="I320" s="1"/>
    </row>
    <row r="321">
      <c r="H321" s="1"/>
      <c r="I321" s="1"/>
    </row>
    <row r="322">
      <c r="H322" s="1"/>
      <c r="I322" s="1"/>
    </row>
    <row r="323">
      <c r="H323" s="1"/>
      <c r="I323" s="1"/>
    </row>
    <row r="324">
      <c r="H324" s="1"/>
      <c r="I324" s="1"/>
    </row>
    <row r="325">
      <c r="H325" s="1"/>
      <c r="I325" s="1"/>
    </row>
    <row r="326">
      <c r="H326" s="1"/>
      <c r="I326" s="1"/>
    </row>
    <row r="327">
      <c r="H327" s="1"/>
      <c r="I327" s="1"/>
    </row>
    <row r="328">
      <c r="H328" s="1"/>
      <c r="I328" s="1"/>
    </row>
    <row r="329">
      <c r="H329" s="1"/>
      <c r="I329" s="1"/>
    </row>
    <row r="330">
      <c r="H330" s="1"/>
      <c r="I330" s="1"/>
    </row>
    <row r="331">
      <c r="H331" s="1"/>
      <c r="I331" s="1"/>
    </row>
    <row r="332">
      <c r="H332" s="1"/>
      <c r="I332" s="1"/>
    </row>
    <row r="333">
      <c r="H333" s="1"/>
      <c r="I333" s="1"/>
    </row>
    <row r="334">
      <c r="H334" s="1"/>
      <c r="I334" s="1"/>
    </row>
    <row r="335">
      <c r="H335" s="1"/>
      <c r="I335" s="1"/>
    </row>
    <row r="336">
      <c r="H336" s="1"/>
      <c r="I336" s="1"/>
    </row>
    <row r="337">
      <c r="H337" s="1"/>
      <c r="I337" s="1"/>
    </row>
    <row r="338">
      <c r="H338" s="1"/>
      <c r="I338" s="1"/>
    </row>
    <row r="339">
      <c r="H339" s="1"/>
      <c r="I339" s="1"/>
    </row>
    <row r="340">
      <c r="H340" s="1"/>
      <c r="I340" s="1"/>
    </row>
    <row r="341">
      <c r="H341" s="1"/>
      <c r="I341" s="1"/>
    </row>
    <row r="342">
      <c r="H342" s="1"/>
      <c r="I342" s="1"/>
    </row>
    <row r="343">
      <c r="H343" s="1"/>
      <c r="I343" s="1"/>
    </row>
    <row r="344">
      <c r="H344" s="1"/>
      <c r="I344" s="1"/>
    </row>
    <row r="345">
      <c r="H345" s="1"/>
      <c r="I345" s="1"/>
    </row>
    <row r="346">
      <c r="H346" s="1"/>
      <c r="I346" s="1"/>
    </row>
    <row r="347">
      <c r="H347" s="1"/>
      <c r="I347" s="1"/>
    </row>
    <row r="348">
      <c r="H348" s="1"/>
      <c r="I348" s="1"/>
    </row>
    <row r="349">
      <c r="H349" s="1"/>
      <c r="I349" s="1"/>
    </row>
    <row r="350">
      <c r="H350" s="1"/>
      <c r="I350" s="1"/>
    </row>
    <row r="351">
      <c r="H351" s="1"/>
      <c r="I351" s="1"/>
    </row>
    <row r="352">
      <c r="H352" s="1"/>
      <c r="I352" s="1"/>
    </row>
    <row r="353">
      <c r="H353" s="1"/>
      <c r="I353" s="1"/>
    </row>
    <row r="354">
      <c r="H354" s="1"/>
      <c r="I354" s="1"/>
    </row>
    <row r="355">
      <c r="H355" s="1"/>
      <c r="I355" s="1"/>
    </row>
    <row r="356">
      <c r="H356" s="1"/>
      <c r="I356" s="1"/>
    </row>
    <row r="357">
      <c r="H357" s="1"/>
      <c r="I357" s="1"/>
    </row>
    <row r="358">
      <c r="H358" s="1"/>
      <c r="I358" s="1"/>
    </row>
    <row r="359">
      <c r="H359" s="1"/>
      <c r="I359" s="1"/>
    </row>
    <row r="360">
      <c r="H360" s="1"/>
      <c r="I360" s="1"/>
    </row>
    <row r="361">
      <c r="H361" s="1"/>
      <c r="I361" s="1"/>
    </row>
    <row r="362">
      <c r="H362" s="1"/>
      <c r="I362" s="1"/>
    </row>
    <row r="363">
      <c r="H363" s="1"/>
      <c r="I363" s="1"/>
    </row>
    <row r="364">
      <c r="H364" s="1"/>
      <c r="I364" s="1"/>
    </row>
    <row r="365">
      <c r="H365" s="1"/>
      <c r="I365" s="1"/>
    </row>
    <row r="366">
      <c r="H366" s="1"/>
      <c r="I366" s="1"/>
    </row>
    <row r="367">
      <c r="H367" s="1"/>
      <c r="I367" s="1"/>
    </row>
    <row r="368">
      <c r="H368" s="1"/>
      <c r="I368" s="1"/>
    </row>
    <row r="369">
      <c r="H369" s="1"/>
      <c r="I369" s="1"/>
    </row>
    <row r="370">
      <c r="H370" s="1"/>
      <c r="I370" s="1"/>
    </row>
    <row r="371">
      <c r="H371" s="1"/>
      <c r="I371" s="1"/>
    </row>
    <row r="372">
      <c r="H372" s="1"/>
      <c r="I372" s="1"/>
    </row>
    <row r="373">
      <c r="H373" s="1"/>
      <c r="I373" s="1"/>
    </row>
    <row r="374">
      <c r="H374" s="1"/>
      <c r="I374" s="1"/>
    </row>
    <row r="375">
      <c r="H375" s="1"/>
      <c r="I375" s="1"/>
    </row>
    <row r="376">
      <c r="H376" s="1"/>
      <c r="I376" s="1"/>
    </row>
    <row r="377">
      <c r="H377" s="1"/>
      <c r="I377" s="1"/>
    </row>
    <row r="378">
      <c r="H378" s="1"/>
      <c r="I378" s="1"/>
    </row>
    <row r="379">
      <c r="H379" s="1"/>
      <c r="I379" s="1"/>
    </row>
    <row r="380">
      <c r="H380" s="1"/>
      <c r="I380" s="1"/>
    </row>
    <row r="381">
      <c r="H381" s="1"/>
      <c r="I381" s="1"/>
    </row>
    <row r="382">
      <c r="H382" s="1"/>
      <c r="I382" s="1"/>
    </row>
    <row r="383">
      <c r="H383" s="1"/>
      <c r="I383" s="1"/>
    </row>
    <row r="384">
      <c r="H384" s="1"/>
      <c r="I384" s="1"/>
    </row>
    <row r="385">
      <c r="H385" s="1"/>
      <c r="I385" s="1"/>
    </row>
    <row r="386">
      <c r="H386" s="1"/>
      <c r="I386" s="1"/>
    </row>
    <row r="387">
      <c r="H387" s="1"/>
      <c r="I387" s="1"/>
    </row>
    <row r="388">
      <c r="H388" s="1"/>
      <c r="I388" s="1"/>
    </row>
    <row r="389">
      <c r="H389" s="1"/>
      <c r="I389" s="1"/>
    </row>
    <row r="390">
      <c r="H390" s="1"/>
      <c r="I390" s="1"/>
    </row>
    <row r="391">
      <c r="H391" s="1"/>
      <c r="I391" s="1"/>
    </row>
    <row r="392">
      <c r="H392" s="1"/>
      <c r="I392" s="1"/>
    </row>
    <row r="393">
      <c r="H393" s="1"/>
      <c r="I393" s="1"/>
    </row>
    <row r="394">
      <c r="H394" s="1"/>
      <c r="I394" s="1"/>
    </row>
    <row r="395">
      <c r="H395" s="1"/>
      <c r="I395" s="1"/>
    </row>
    <row r="396">
      <c r="H396" s="1"/>
      <c r="I396" s="1"/>
    </row>
    <row r="397">
      <c r="H397" s="1"/>
      <c r="I397" s="1"/>
    </row>
    <row r="398">
      <c r="H398" s="1"/>
      <c r="I398" s="1"/>
    </row>
    <row r="399">
      <c r="H399" s="1"/>
      <c r="I399" s="1"/>
    </row>
    <row r="400">
      <c r="H400" s="1"/>
      <c r="I400" s="1"/>
    </row>
    <row r="401">
      <c r="H401" s="1"/>
      <c r="I401" s="1"/>
    </row>
    <row r="402">
      <c r="H402" s="1"/>
      <c r="I402" s="1"/>
    </row>
    <row r="403">
      <c r="H403" s="1"/>
      <c r="I403" s="1"/>
    </row>
    <row r="404">
      <c r="H404" s="1"/>
      <c r="I404" s="1"/>
    </row>
    <row r="405">
      <c r="H405" s="1"/>
      <c r="I405" s="1"/>
    </row>
    <row r="406">
      <c r="H406" s="1"/>
      <c r="I406" s="1"/>
    </row>
    <row r="407">
      <c r="H407" s="1"/>
      <c r="I407" s="1"/>
    </row>
    <row r="408">
      <c r="H408" s="1"/>
      <c r="I408" s="1"/>
    </row>
    <row r="409">
      <c r="H409" s="1"/>
      <c r="I409" s="1"/>
    </row>
    <row r="410">
      <c r="H410" s="1"/>
      <c r="I410" s="1"/>
    </row>
    <row r="411">
      <c r="H411" s="1"/>
      <c r="I411" s="1"/>
    </row>
    <row r="412">
      <c r="H412" s="1"/>
      <c r="I412" s="1"/>
    </row>
    <row r="413">
      <c r="H413" s="1"/>
      <c r="I413" s="1"/>
    </row>
    <row r="414">
      <c r="H414" s="1"/>
      <c r="I414" s="1"/>
    </row>
    <row r="415">
      <c r="H415" s="1"/>
      <c r="I415" s="1"/>
    </row>
    <row r="416">
      <c r="H416" s="1"/>
      <c r="I416" s="1"/>
    </row>
    <row r="417">
      <c r="H417" s="1"/>
      <c r="I417" s="1"/>
    </row>
    <row r="418">
      <c r="H418" s="1"/>
      <c r="I418" s="1"/>
    </row>
    <row r="419">
      <c r="H419" s="1"/>
      <c r="I419" s="1"/>
    </row>
    <row r="420">
      <c r="H420" s="1"/>
      <c r="I420" s="1"/>
    </row>
    <row r="421">
      <c r="H421" s="1"/>
      <c r="I421" s="1"/>
    </row>
    <row r="422">
      <c r="H422" s="1"/>
      <c r="I422" s="1"/>
    </row>
    <row r="423">
      <c r="H423" s="1"/>
      <c r="I423" s="1"/>
    </row>
    <row r="424">
      <c r="H424" s="1"/>
      <c r="I424" s="1"/>
    </row>
    <row r="425">
      <c r="H425" s="1"/>
      <c r="I425" s="1"/>
    </row>
    <row r="426">
      <c r="H426" s="1"/>
      <c r="I426" s="1"/>
    </row>
    <row r="427">
      <c r="H427" s="1"/>
      <c r="I427" s="1"/>
    </row>
    <row r="428">
      <c r="H428" s="1"/>
      <c r="I428" s="1"/>
    </row>
    <row r="429">
      <c r="H429" s="1"/>
      <c r="I429" s="1"/>
    </row>
    <row r="430">
      <c r="H430" s="1"/>
      <c r="I430" s="1"/>
    </row>
    <row r="431">
      <c r="H431" s="1"/>
      <c r="I431" s="1"/>
    </row>
    <row r="432">
      <c r="H432" s="1"/>
      <c r="I432" s="1"/>
    </row>
    <row r="433">
      <c r="H433" s="1"/>
      <c r="I433" s="1"/>
    </row>
    <row r="434">
      <c r="H434" s="1"/>
      <c r="I434" s="1"/>
    </row>
    <row r="435">
      <c r="H435" s="1"/>
      <c r="I435" s="1"/>
    </row>
    <row r="436">
      <c r="H436" s="1"/>
      <c r="I436" s="1"/>
    </row>
    <row r="437">
      <c r="H437" s="1"/>
      <c r="I437" s="1"/>
    </row>
    <row r="438">
      <c r="H438" s="1"/>
      <c r="I438" s="1"/>
    </row>
    <row r="439">
      <c r="H439" s="1"/>
      <c r="I439" s="1"/>
    </row>
    <row r="440">
      <c r="H440" s="1"/>
      <c r="I440" s="1"/>
    </row>
    <row r="441">
      <c r="H441" s="1"/>
      <c r="I441" s="1"/>
    </row>
    <row r="442">
      <c r="H442" s="1"/>
      <c r="I442" s="1"/>
    </row>
    <row r="443">
      <c r="H443" s="1"/>
      <c r="I443" s="1"/>
    </row>
    <row r="444">
      <c r="H444" s="1"/>
      <c r="I444" s="1"/>
    </row>
    <row r="445">
      <c r="H445" s="1"/>
      <c r="I445" s="1"/>
    </row>
    <row r="446">
      <c r="H446" s="1"/>
      <c r="I446" s="1"/>
    </row>
    <row r="447">
      <c r="H447" s="1"/>
      <c r="I447" s="1"/>
    </row>
    <row r="448">
      <c r="H448" s="1"/>
      <c r="I448" s="1"/>
    </row>
    <row r="449">
      <c r="H449" s="1"/>
      <c r="I449" s="1"/>
    </row>
    <row r="450">
      <c r="H450" s="1"/>
      <c r="I450" s="1"/>
    </row>
    <row r="451">
      <c r="H451" s="1"/>
      <c r="I451" s="1"/>
    </row>
    <row r="452">
      <c r="H452" s="1"/>
      <c r="I452" s="1"/>
    </row>
    <row r="453">
      <c r="H453" s="1"/>
      <c r="I453" s="1"/>
    </row>
    <row r="454">
      <c r="H454" s="1"/>
      <c r="I454" s="1"/>
    </row>
    <row r="455">
      <c r="H455" s="1"/>
      <c r="I455" s="1"/>
    </row>
    <row r="456">
      <c r="H456" s="1"/>
      <c r="I456" s="1"/>
    </row>
    <row r="457">
      <c r="H457" s="1"/>
      <c r="I457" s="1"/>
    </row>
    <row r="458">
      <c r="H458" s="1"/>
      <c r="I458" s="1"/>
    </row>
    <row r="459">
      <c r="H459" s="1"/>
      <c r="I459" s="1"/>
    </row>
    <row r="460">
      <c r="H460" s="1"/>
      <c r="I460" s="1"/>
    </row>
    <row r="461">
      <c r="H461" s="1"/>
      <c r="I461" s="1"/>
    </row>
    <row r="462">
      <c r="H462" s="1"/>
      <c r="I462" s="1"/>
    </row>
    <row r="463">
      <c r="H463" s="1"/>
      <c r="I463" s="1"/>
    </row>
    <row r="464">
      <c r="H464" s="1"/>
      <c r="I464" s="1"/>
    </row>
    <row r="465">
      <c r="H465" s="1"/>
      <c r="I465" s="1"/>
    </row>
    <row r="466">
      <c r="H466" s="1"/>
      <c r="I466" s="1"/>
    </row>
    <row r="467">
      <c r="H467" s="1"/>
      <c r="I467" s="1"/>
    </row>
    <row r="468">
      <c r="H468" s="1"/>
      <c r="I468" s="1"/>
    </row>
    <row r="469">
      <c r="H469" s="1"/>
      <c r="I469" s="1"/>
    </row>
    <row r="470">
      <c r="H470" s="1"/>
      <c r="I470" s="1"/>
    </row>
    <row r="471">
      <c r="H471" s="1"/>
      <c r="I471" s="1"/>
    </row>
    <row r="472">
      <c r="H472" s="1"/>
      <c r="I472" s="1"/>
    </row>
    <row r="473">
      <c r="H473" s="1"/>
      <c r="I473" s="1"/>
    </row>
    <row r="474">
      <c r="H474" s="1"/>
      <c r="I474" s="1"/>
    </row>
    <row r="475">
      <c r="H475" s="1"/>
      <c r="I475" s="1"/>
    </row>
    <row r="476">
      <c r="H476" s="1"/>
      <c r="I476" s="1"/>
    </row>
    <row r="477">
      <c r="H477" s="1"/>
      <c r="I477" s="1"/>
    </row>
    <row r="478">
      <c r="H478" s="1"/>
      <c r="I478" s="1"/>
    </row>
    <row r="479">
      <c r="H479" s="1"/>
      <c r="I479" s="1"/>
    </row>
    <row r="480">
      <c r="H480" s="1"/>
      <c r="I480" s="1"/>
    </row>
    <row r="481">
      <c r="H481" s="1"/>
      <c r="I481" s="1"/>
    </row>
    <row r="482">
      <c r="H482" s="1"/>
      <c r="I482" s="1"/>
    </row>
    <row r="483">
      <c r="H483" s="1"/>
      <c r="I483" s="1"/>
    </row>
    <row r="484">
      <c r="H484" s="1"/>
      <c r="I484" s="1"/>
    </row>
    <row r="485">
      <c r="H485" s="1"/>
      <c r="I485" s="1"/>
    </row>
    <row r="486">
      <c r="H486" s="1"/>
      <c r="I486" s="1"/>
    </row>
    <row r="487">
      <c r="H487" s="1"/>
      <c r="I487" s="1"/>
    </row>
    <row r="488">
      <c r="H488" s="1"/>
      <c r="I488" s="1"/>
    </row>
    <row r="489">
      <c r="H489" s="1"/>
      <c r="I489" s="1"/>
    </row>
    <row r="490">
      <c r="H490" s="1"/>
      <c r="I490" s="1"/>
    </row>
    <row r="491">
      <c r="H491" s="1"/>
      <c r="I491" s="1"/>
    </row>
    <row r="492">
      <c r="H492" s="1"/>
      <c r="I492" s="1"/>
    </row>
    <row r="493">
      <c r="H493" s="1"/>
      <c r="I493" s="1"/>
    </row>
    <row r="494">
      <c r="H494" s="1"/>
      <c r="I494" s="1"/>
    </row>
    <row r="495">
      <c r="H495" s="1"/>
      <c r="I495" s="1"/>
    </row>
    <row r="496">
      <c r="H496" s="1"/>
      <c r="I496" s="1"/>
    </row>
    <row r="497">
      <c r="H497" s="1"/>
      <c r="I497" s="1"/>
    </row>
    <row r="498">
      <c r="H498" s="1"/>
      <c r="I498" s="1"/>
    </row>
    <row r="499">
      <c r="H499" s="1"/>
      <c r="I499" s="1"/>
    </row>
    <row r="500">
      <c r="H500" s="1"/>
      <c r="I500" s="1"/>
    </row>
    <row r="501">
      <c r="H501" s="1"/>
      <c r="I501" s="1"/>
    </row>
    <row r="502">
      <c r="H502" s="1"/>
      <c r="I502" s="1"/>
    </row>
    <row r="503">
      <c r="H503" s="1"/>
      <c r="I503" s="1"/>
    </row>
    <row r="504">
      <c r="H504" s="1"/>
      <c r="I504" s="1"/>
    </row>
    <row r="505">
      <c r="H505" s="1"/>
      <c r="I505" s="1"/>
    </row>
    <row r="506">
      <c r="H506" s="1"/>
      <c r="I506" s="1"/>
    </row>
    <row r="507">
      <c r="H507" s="1"/>
      <c r="I507" s="1"/>
    </row>
    <row r="508">
      <c r="H508" s="1"/>
      <c r="I508" s="1"/>
    </row>
    <row r="509">
      <c r="H509" s="1"/>
      <c r="I509" s="1"/>
    </row>
    <row r="510">
      <c r="H510" s="1"/>
      <c r="I510" s="1"/>
    </row>
    <row r="511">
      <c r="H511" s="1"/>
      <c r="I511" s="1"/>
    </row>
    <row r="512">
      <c r="H512" s="1"/>
      <c r="I512" s="1"/>
    </row>
    <row r="513">
      <c r="H513" s="1"/>
      <c r="I513" s="1"/>
    </row>
    <row r="514">
      <c r="H514" s="1"/>
      <c r="I514" s="1"/>
    </row>
    <row r="515">
      <c r="H515" s="1"/>
      <c r="I515" s="1"/>
    </row>
    <row r="516">
      <c r="H516" s="1"/>
      <c r="I516" s="1"/>
    </row>
    <row r="517">
      <c r="H517" s="1"/>
      <c r="I517" s="1"/>
    </row>
    <row r="518">
      <c r="H518" s="1"/>
      <c r="I518" s="1"/>
    </row>
    <row r="519">
      <c r="H519" s="1"/>
      <c r="I519" s="1"/>
    </row>
    <row r="520">
      <c r="H520" s="1"/>
      <c r="I520" s="1"/>
    </row>
    <row r="521">
      <c r="H521" s="1"/>
      <c r="I521" s="1"/>
    </row>
    <row r="522">
      <c r="H522" s="1"/>
      <c r="I522" s="1"/>
    </row>
    <row r="523">
      <c r="H523" s="1"/>
      <c r="I523" s="1"/>
    </row>
    <row r="524">
      <c r="H524" s="1"/>
      <c r="I524" s="1"/>
    </row>
    <row r="525">
      <c r="H525" s="1"/>
      <c r="I525" s="1"/>
    </row>
    <row r="526">
      <c r="H526" s="1"/>
      <c r="I526" s="1"/>
    </row>
    <row r="527">
      <c r="H527" s="1"/>
      <c r="I527" s="1"/>
    </row>
    <row r="528">
      <c r="H528" s="1"/>
      <c r="I528" s="1"/>
    </row>
    <row r="529">
      <c r="H529" s="1"/>
      <c r="I529" s="1"/>
    </row>
    <row r="530">
      <c r="H530" s="1"/>
      <c r="I530" s="1"/>
    </row>
    <row r="531">
      <c r="H531" s="1"/>
      <c r="I531" s="1"/>
    </row>
    <row r="532">
      <c r="H532" s="1"/>
      <c r="I532" s="1"/>
    </row>
    <row r="533">
      <c r="H533" s="1"/>
      <c r="I533" s="1"/>
    </row>
    <row r="534">
      <c r="H534" s="1"/>
      <c r="I534" s="1"/>
    </row>
    <row r="535">
      <c r="H535" s="1"/>
      <c r="I535" s="1"/>
    </row>
    <row r="536">
      <c r="H536" s="1"/>
      <c r="I536" s="1"/>
    </row>
    <row r="537">
      <c r="H537" s="1"/>
      <c r="I537" s="1"/>
    </row>
    <row r="538">
      <c r="H538" s="1"/>
      <c r="I538" s="1"/>
    </row>
    <row r="539">
      <c r="H539" s="1"/>
      <c r="I539" s="1"/>
    </row>
    <row r="540">
      <c r="H540" s="1"/>
      <c r="I540" s="1"/>
    </row>
    <row r="541">
      <c r="H541" s="1"/>
      <c r="I541" s="1"/>
    </row>
    <row r="542">
      <c r="H542" s="1"/>
      <c r="I542" s="1"/>
    </row>
    <row r="543">
      <c r="H543" s="1"/>
      <c r="I543" s="1"/>
    </row>
    <row r="544">
      <c r="H544" s="1"/>
      <c r="I544" s="1"/>
    </row>
    <row r="545">
      <c r="H545" s="1"/>
      <c r="I545" s="1"/>
    </row>
    <row r="546">
      <c r="H546" s="1"/>
      <c r="I546" s="1"/>
    </row>
    <row r="547">
      <c r="H547" s="1"/>
      <c r="I547" s="1"/>
    </row>
    <row r="548">
      <c r="H548" s="1"/>
      <c r="I548" s="1"/>
    </row>
    <row r="549">
      <c r="H549" s="1"/>
      <c r="I549" s="1"/>
    </row>
    <row r="550">
      <c r="H550" s="1"/>
      <c r="I550" s="1"/>
    </row>
    <row r="551">
      <c r="H551" s="1"/>
      <c r="I551" s="1"/>
    </row>
    <row r="552">
      <c r="H552" s="1"/>
      <c r="I552" s="1"/>
    </row>
    <row r="553">
      <c r="H553" s="1"/>
      <c r="I553" s="1"/>
    </row>
    <row r="554">
      <c r="H554" s="1"/>
      <c r="I554" s="1"/>
    </row>
    <row r="555">
      <c r="H555" s="1"/>
      <c r="I555" s="1"/>
    </row>
    <row r="556">
      <c r="H556" s="1"/>
      <c r="I556" s="1"/>
    </row>
    <row r="557">
      <c r="H557" s="1"/>
      <c r="I557" s="1"/>
    </row>
    <row r="558">
      <c r="H558" s="1"/>
      <c r="I558" s="1"/>
    </row>
    <row r="559">
      <c r="H559" s="1"/>
      <c r="I559" s="1"/>
    </row>
    <row r="560">
      <c r="H560" s="1"/>
      <c r="I560" s="1"/>
    </row>
    <row r="561">
      <c r="H561" s="1"/>
      <c r="I561" s="1"/>
    </row>
    <row r="562">
      <c r="H562" s="1"/>
      <c r="I562" s="1"/>
    </row>
    <row r="563">
      <c r="H563" s="1"/>
      <c r="I563" s="1"/>
    </row>
    <row r="564">
      <c r="H564" s="1"/>
      <c r="I564" s="1"/>
    </row>
    <row r="565">
      <c r="H565" s="1"/>
      <c r="I565" s="1"/>
    </row>
    <row r="566">
      <c r="H566" s="1"/>
      <c r="I566" s="1"/>
    </row>
    <row r="567">
      <c r="H567" s="1"/>
      <c r="I567" s="1"/>
    </row>
    <row r="568">
      <c r="H568" s="1"/>
      <c r="I568" s="1"/>
    </row>
    <row r="569">
      <c r="H569" s="1"/>
      <c r="I569" s="1"/>
    </row>
    <row r="570">
      <c r="H570" s="1"/>
      <c r="I570" s="1"/>
    </row>
    <row r="571">
      <c r="H571" s="1"/>
      <c r="I571" s="1"/>
    </row>
    <row r="572">
      <c r="H572" s="1"/>
      <c r="I572" s="1"/>
    </row>
    <row r="573">
      <c r="H573" s="1"/>
      <c r="I573" s="1"/>
    </row>
    <row r="574">
      <c r="H574" s="1"/>
      <c r="I574" s="1"/>
    </row>
    <row r="575">
      <c r="H575" s="1"/>
      <c r="I575" s="1"/>
    </row>
    <row r="576">
      <c r="H576" s="1"/>
      <c r="I576" s="1"/>
    </row>
    <row r="577">
      <c r="H577" s="1"/>
      <c r="I577" s="1"/>
    </row>
    <row r="578">
      <c r="H578" s="1"/>
      <c r="I578" s="1"/>
    </row>
    <row r="579">
      <c r="H579" s="1"/>
      <c r="I579" s="1"/>
    </row>
    <row r="580">
      <c r="H580" s="1"/>
      <c r="I580" s="1"/>
    </row>
    <row r="581">
      <c r="H581" s="1"/>
      <c r="I581" s="1"/>
    </row>
    <row r="582">
      <c r="H582" s="1"/>
      <c r="I582" s="1"/>
    </row>
    <row r="583">
      <c r="H583" s="1"/>
      <c r="I583" s="1"/>
    </row>
    <row r="584">
      <c r="H584" s="1"/>
      <c r="I584" s="1"/>
    </row>
    <row r="585">
      <c r="H585" s="1"/>
      <c r="I585" s="1"/>
    </row>
    <row r="586">
      <c r="H586" s="1"/>
      <c r="I586" s="1"/>
    </row>
    <row r="587">
      <c r="H587" s="1"/>
      <c r="I587" s="1"/>
    </row>
    <row r="588">
      <c r="H588" s="1"/>
      <c r="I588" s="1"/>
    </row>
    <row r="589">
      <c r="H589" s="1"/>
      <c r="I589" s="1"/>
    </row>
    <row r="590">
      <c r="H590" s="1"/>
      <c r="I590" s="1"/>
    </row>
    <row r="591">
      <c r="H591" s="1"/>
      <c r="I591" s="1"/>
    </row>
    <row r="592">
      <c r="H592" s="1"/>
      <c r="I592" s="1"/>
    </row>
    <row r="593">
      <c r="H593" s="1"/>
      <c r="I593" s="1"/>
    </row>
    <row r="594">
      <c r="H594" s="1"/>
      <c r="I594" s="1"/>
    </row>
    <row r="595">
      <c r="H595" s="1"/>
      <c r="I595" s="1"/>
    </row>
    <row r="596">
      <c r="H596" s="1"/>
      <c r="I596" s="1"/>
    </row>
    <row r="597">
      <c r="H597" s="1"/>
      <c r="I597" s="1"/>
    </row>
    <row r="598">
      <c r="H598" s="1"/>
      <c r="I598" s="1"/>
    </row>
    <row r="599">
      <c r="H599" s="1"/>
      <c r="I599" s="1"/>
    </row>
    <row r="600">
      <c r="H600" s="1"/>
      <c r="I600" s="1"/>
    </row>
    <row r="601">
      <c r="H601" s="1"/>
      <c r="I601" s="1"/>
    </row>
    <row r="602">
      <c r="H602" s="1"/>
      <c r="I602" s="1"/>
    </row>
    <row r="603">
      <c r="H603" s="1"/>
      <c r="I603" s="1"/>
    </row>
    <row r="604">
      <c r="H604" s="1"/>
      <c r="I604" s="1"/>
    </row>
    <row r="605">
      <c r="H605" s="1"/>
      <c r="I605" s="1"/>
    </row>
    <row r="606">
      <c r="H606" s="1"/>
      <c r="I606" s="1"/>
    </row>
    <row r="607">
      <c r="H607" s="1"/>
      <c r="I607" s="1"/>
    </row>
    <row r="608">
      <c r="H608" s="1"/>
      <c r="I608" s="1"/>
    </row>
    <row r="609">
      <c r="H609" s="1"/>
      <c r="I609" s="1"/>
    </row>
    <row r="610">
      <c r="H610" s="1"/>
      <c r="I610" s="1"/>
    </row>
    <row r="611">
      <c r="H611" s="1"/>
      <c r="I611" s="1"/>
    </row>
    <row r="612">
      <c r="H612" s="1"/>
      <c r="I612" s="1"/>
    </row>
    <row r="613">
      <c r="H613" s="1"/>
      <c r="I613" s="1"/>
    </row>
    <row r="614">
      <c r="H614" s="1"/>
      <c r="I614" s="1"/>
    </row>
    <row r="615">
      <c r="H615" s="1"/>
      <c r="I615" s="1"/>
    </row>
    <row r="616">
      <c r="H616" s="1"/>
      <c r="I616" s="1"/>
    </row>
    <row r="617">
      <c r="H617" s="1"/>
      <c r="I617" s="1"/>
    </row>
    <row r="618">
      <c r="H618" s="1"/>
      <c r="I618" s="1"/>
    </row>
    <row r="619">
      <c r="H619" s="1"/>
      <c r="I619" s="1"/>
    </row>
    <row r="620">
      <c r="H620" s="1"/>
      <c r="I620" s="1"/>
    </row>
    <row r="621">
      <c r="H621" s="1"/>
      <c r="I621" s="1"/>
    </row>
    <row r="622">
      <c r="H622" s="1"/>
      <c r="I622" s="1"/>
    </row>
    <row r="623">
      <c r="H623" s="1"/>
      <c r="I623" s="1"/>
    </row>
    <row r="624">
      <c r="H624" s="1"/>
      <c r="I624" s="1"/>
    </row>
    <row r="625">
      <c r="H625" s="1"/>
      <c r="I625" s="1"/>
    </row>
    <row r="626">
      <c r="H626" s="1"/>
      <c r="I626" s="1"/>
    </row>
    <row r="627">
      <c r="H627" s="1"/>
      <c r="I627" s="1"/>
    </row>
    <row r="628">
      <c r="H628" s="1"/>
      <c r="I628" s="1"/>
    </row>
    <row r="629">
      <c r="H629" s="1"/>
      <c r="I629" s="1"/>
    </row>
    <row r="630">
      <c r="H630" s="1"/>
      <c r="I630" s="1"/>
    </row>
    <row r="631">
      <c r="H631" s="1"/>
      <c r="I631" s="1"/>
    </row>
    <row r="632">
      <c r="H632" s="1"/>
      <c r="I632" s="1"/>
    </row>
    <row r="633">
      <c r="H633" s="1"/>
      <c r="I633" s="1"/>
    </row>
    <row r="634">
      <c r="H634" s="1"/>
      <c r="I634" s="1"/>
    </row>
    <row r="635">
      <c r="H635" s="1"/>
      <c r="I635" s="1"/>
    </row>
    <row r="636">
      <c r="H636" s="1"/>
      <c r="I636" s="1"/>
    </row>
    <row r="637">
      <c r="H637" s="1"/>
      <c r="I637" s="1"/>
    </row>
    <row r="638">
      <c r="H638" s="1"/>
      <c r="I638" s="1"/>
    </row>
    <row r="639">
      <c r="H639" s="1"/>
      <c r="I639" s="1"/>
    </row>
    <row r="640">
      <c r="H640" s="1"/>
      <c r="I640" s="1"/>
    </row>
    <row r="641">
      <c r="H641" s="1"/>
      <c r="I641" s="1"/>
    </row>
    <row r="642">
      <c r="H642" s="1"/>
      <c r="I642" s="1"/>
    </row>
    <row r="643">
      <c r="H643" s="1"/>
      <c r="I643" s="1"/>
    </row>
    <row r="644">
      <c r="H644" s="1"/>
      <c r="I644" s="1"/>
    </row>
    <row r="645">
      <c r="H645" s="1"/>
      <c r="I645" s="1"/>
    </row>
    <row r="646">
      <c r="H646" s="1"/>
      <c r="I646" s="1"/>
    </row>
    <row r="647">
      <c r="H647" s="1"/>
      <c r="I647" s="1"/>
    </row>
    <row r="648">
      <c r="H648" s="1"/>
      <c r="I648" s="1"/>
    </row>
    <row r="649">
      <c r="H649" s="1"/>
      <c r="I649" s="1"/>
    </row>
    <row r="650">
      <c r="H650" s="1"/>
      <c r="I650" s="1"/>
    </row>
    <row r="651">
      <c r="H651" s="1"/>
      <c r="I651" s="1"/>
    </row>
    <row r="652">
      <c r="H652" s="1"/>
      <c r="I652" s="1"/>
    </row>
    <row r="653">
      <c r="H653" s="1"/>
      <c r="I653" s="1"/>
    </row>
    <row r="654">
      <c r="H654" s="1"/>
      <c r="I654" s="1"/>
    </row>
    <row r="655">
      <c r="H655" s="1"/>
      <c r="I655" s="1"/>
    </row>
    <row r="656">
      <c r="H656" s="1"/>
      <c r="I656" s="1"/>
    </row>
    <row r="657">
      <c r="H657" s="1"/>
      <c r="I657" s="1"/>
    </row>
    <row r="658">
      <c r="H658" s="1"/>
      <c r="I658" s="1"/>
    </row>
    <row r="659">
      <c r="H659" s="1"/>
      <c r="I659" s="1"/>
    </row>
    <row r="660">
      <c r="H660" s="1"/>
      <c r="I660" s="1"/>
    </row>
    <row r="661">
      <c r="H661" s="1"/>
      <c r="I661" s="1"/>
    </row>
    <row r="662">
      <c r="H662" s="1"/>
      <c r="I662" s="1"/>
    </row>
    <row r="663">
      <c r="H663" s="1"/>
      <c r="I663" s="1"/>
    </row>
    <row r="664">
      <c r="H664" s="1"/>
      <c r="I664" s="1"/>
    </row>
    <row r="665">
      <c r="H665" s="1"/>
      <c r="I665" s="1"/>
    </row>
    <row r="666">
      <c r="H666" s="1"/>
      <c r="I666" s="1"/>
    </row>
    <row r="667">
      <c r="H667" s="1"/>
      <c r="I667" s="1"/>
    </row>
    <row r="668">
      <c r="H668" s="1"/>
      <c r="I668" s="1"/>
    </row>
    <row r="669">
      <c r="H669" s="1"/>
      <c r="I669" s="1"/>
    </row>
    <row r="670">
      <c r="H670" s="1"/>
      <c r="I670" s="1"/>
    </row>
    <row r="671">
      <c r="H671" s="1"/>
      <c r="I671" s="1"/>
    </row>
    <row r="672">
      <c r="H672" s="1"/>
      <c r="I672" s="1"/>
    </row>
    <row r="673">
      <c r="H673" s="1"/>
      <c r="I673" s="1"/>
    </row>
    <row r="674">
      <c r="H674" s="1"/>
      <c r="I674" s="1"/>
    </row>
    <row r="675">
      <c r="H675" s="1"/>
      <c r="I675" s="1"/>
    </row>
    <row r="676">
      <c r="H676" s="1"/>
      <c r="I676" s="1"/>
    </row>
    <row r="677">
      <c r="H677" s="1"/>
      <c r="I677" s="1"/>
    </row>
    <row r="678">
      <c r="H678" s="1"/>
      <c r="I678" s="1"/>
    </row>
    <row r="679">
      <c r="H679" s="1"/>
      <c r="I679" s="1"/>
    </row>
    <row r="680">
      <c r="H680" s="1"/>
      <c r="I680" s="1"/>
    </row>
    <row r="681">
      <c r="H681" s="1"/>
      <c r="I681" s="1"/>
    </row>
    <row r="682">
      <c r="H682" s="1"/>
      <c r="I682" s="1"/>
    </row>
    <row r="683">
      <c r="H683" s="1"/>
      <c r="I683" s="1"/>
    </row>
    <row r="684">
      <c r="H684" s="1"/>
      <c r="I684" s="1"/>
    </row>
    <row r="685">
      <c r="H685" s="1"/>
      <c r="I685" s="1"/>
    </row>
    <row r="686">
      <c r="H686" s="1"/>
      <c r="I686" s="1"/>
    </row>
    <row r="687">
      <c r="H687" s="1"/>
      <c r="I687" s="1"/>
    </row>
    <row r="688">
      <c r="H688" s="1"/>
      <c r="I688" s="1"/>
    </row>
    <row r="689">
      <c r="H689" s="1"/>
      <c r="I689" s="1"/>
    </row>
    <row r="690">
      <c r="H690" s="1"/>
      <c r="I690" s="1"/>
    </row>
    <row r="691">
      <c r="H691" s="1"/>
      <c r="I691" s="1"/>
    </row>
    <row r="692">
      <c r="H692" s="1"/>
      <c r="I692" s="1"/>
    </row>
    <row r="693">
      <c r="H693" s="1"/>
      <c r="I693" s="1"/>
    </row>
    <row r="694">
      <c r="H694" s="1"/>
      <c r="I694" s="1"/>
    </row>
    <row r="695">
      <c r="H695" s="1"/>
      <c r="I695" s="1"/>
    </row>
    <row r="696">
      <c r="H696" s="1"/>
      <c r="I696" s="1"/>
    </row>
    <row r="697">
      <c r="H697" s="1"/>
      <c r="I697" s="1"/>
    </row>
    <row r="698">
      <c r="H698" s="1"/>
      <c r="I698" s="1"/>
    </row>
    <row r="699">
      <c r="H699" s="1"/>
      <c r="I699" s="1"/>
    </row>
    <row r="700">
      <c r="H700" s="1"/>
      <c r="I700" s="1"/>
    </row>
    <row r="701">
      <c r="H701" s="1"/>
      <c r="I701" s="1"/>
    </row>
    <row r="702">
      <c r="H702" s="1"/>
      <c r="I702" s="1"/>
    </row>
    <row r="703">
      <c r="H703" s="1"/>
      <c r="I703" s="1"/>
    </row>
    <row r="704">
      <c r="H704" s="1"/>
      <c r="I704" s="1"/>
    </row>
    <row r="705">
      <c r="H705" s="1"/>
      <c r="I705" s="1"/>
    </row>
    <row r="706">
      <c r="H706" s="1"/>
      <c r="I706" s="1"/>
    </row>
    <row r="707">
      <c r="H707" s="1"/>
      <c r="I707" s="1"/>
    </row>
    <row r="708">
      <c r="H708" s="1"/>
      <c r="I708" s="1"/>
    </row>
    <row r="709">
      <c r="H709" s="1"/>
      <c r="I709" s="1"/>
    </row>
    <row r="710">
      <c r="H710" s="1"/>
      <c r="I710" s="1"/>
    </row>
    <row r="711">
      <c r="H711" s="1"/>
      <c r="I711" s="1"/>
    </row>
    <row r="712">
      <c r="H712" s="1"/>
      <c r="I712" s="1"/>
    </row>
    <row r="713">
      <c r="H713" s="1"/>
      <c r="I713" s="1"/>
    </row>
    <row r="714">
      <c r="H714" s="1"/>
      <c r="I714" s="1"/>
    </row>
    <row r="715">
      <c r="H715" s="1"/>
      <c r="I715" s="1"/>
    </row>
    <row r="716">
      <c r="H716" s="1"/>
      <c r="I716" s="1"/>
    </row>
    <row r="717">
      <c r="H717" s="1"/>
      <c r="I717" s="1"/>
    </row>
    <row r="718">
      <c r="H718" s="1"/>
      <c r="I718" s="1"/>
    </row>
    <row r="719">
      <c r="H719" s="1"/>
      <c r="I719" s="1"/>
    </row>
    <row r="720">
      <c r="H720" s="1"/>
      <c r="I720" s="1"/>
    </row>
    <row r="721">
      <c r="H721" s="1"/>
      <c r="I721" s="1"/>
    </row>
    <row r="722">
      <c r="H722" s="1"/>
      <c r="I722" s="1"/>
    </row>
    <row r="723">
      <c r="H723" s="1"/>
      <c r="I723" s="1"/>
    </row>
    <row r="724">
      <c r="H724" s="1"/>
      <c r="I724" s="1"/>
    </row>
    <row r="725">
      <c r="H725" s="1"/>
      <c r="I725" s="1"/>
    </row>
    <row r="726">
      <c r="H726" s="1"/>
      <c r="I726" s="1"/>
    </row>
    <row r="727">
      <c r="H727" s="1"/>
      <c r="I727" s="1"/>
    </row>
    <row r="728">
      <c r="H728" s="1"/>
      <c r="I728" s="1"/>
    </row>
    <row r="729">
      <c r="H729" s="1"/>
      <c r="I729" s="1"/>
    </row>
    <row r="730">
      <c r="H730" s="1"/>
      <c r="I730" s="1"/>
    </row>
    <row r="731">
      <c r="H731" s="1"/>
      <c r="I731" s="1"/>
    </row>
    <row r="732">
      <c r="H732" s="1"/>
      <c r="I732" s="1"/>
    </row>
    <row r="733">
      <c r="H733" s="1"/>
      <c r="I733" s="1"/>
    </row>
    <row r="734">
      <c r="H734" s="1"/>
      <c r="I734" s="1"/>
    </row>
    <row r="735">
      <c r="H735" s="1"/>
      <c r="I735" s="1"/>
    </row>
    <row r="736">
      <c r="H736" s="1"/>
      <c r="I736" s="1"/>
    </row>
    <row r="737">
      <c r="H737" s="1"/>
      <c r="I737" s="1"/>
    </row>
    <row r="738">
      <c r="H738" s="1"/>
      <c r="I738" s="1"/>
    </row>
    <row r="739">
      <c r="H739" s="1"/>
      <c r="I739" s="1"/>
    </row>
    <row r="740">
      <c r="H740" s="1"/>
      <c r="I740" s="1"/>
    </row>
    <row r="741">
      <c r="H741" s="1"/>
      <c r="I741" s="1"/>
    </row>
    <row r="742">
      <c r="H742" s="1"/>
      <c r="I742" s="1"/>
    </row>
    <row r="743">
      <c r="H743" s="1"/>
      <c r="I743" s="1"/>
    </row>
    <row r="744">
      <c r="H744" s="1"/>
      <c r="I744" s="1"/>
    </row>
    <row r="745">
      <c r="H745" s="1"/>
      <c r="I745" s="1"/>
    </row>
    <row r="746">
      <c r="H746" s="1"/>
      <c r="I746" s="1"/>
    </row>
    <row r="747">
      <c r="H747" s="1"/>
      <c r="I747" s="1"/>
    </row>
    <row r="748">
      <c r="H748" s="1"/>
      <c r="I748" s="1"/>
    </row>
    <row r="749">
      <c r="H749" s="1"/>
      <c r="I749" s="1"/>
    </row>
    <row r="750">
      <c r="H750" s="1"/>
      <c r="I750" s="1"/>
    </row>
    <row r="751">
      <c r="H751" s="1"/>
      <c r="I751" s="1"/>
    </row>
    <row r="752">
      <c r="H752" s="1"/>
      <c r="I752" s="1"/>
    </row>
    <row r="753">
      <c r="H753" s="1"/>
      <c r="I753" s="1"/>
    </row>
    <row r="754">
      <c r="H754" s="1"/>
      <c r="I754" s="1"/>
    </row>
    <row r="755">
      <c r="H755" s="1"/>
      <c r="I755" s="1"/>
    </row>
    <row r="756">
      <c r="H756" s="1"/>
      <c r="I756" s="1"/>
    </row>
    <row r="757">
      <c r="H757" s="1"/>
      <c r="I757" s="1"/>
    </row>
    <row r="758">
      <c r="H758" s="1"/>
      <c r="I758" s="1"/>
    </row>
    <row r="759">
      <c r="H759" s="1"/>
      <c r="I759" s="1"/>
    </row>
    <row r="760">
      <c r="H760" s="1"/>
      <c r="I760" s="1"/>
    </row>
    <row r="761">
      <c r="H761" s="1"/>
      <c r="I761" s="1"/>
    </row>
    <row r="762">
      <c r="H762" s="1"/>
      <c r="I762" s="1"/>
    </row>
    <row r="763">
      <c r="H763" s="1"/>
      <c r="I763" s="1"/>
    </row>
    <row r="764">
      <c r="H764" s="1"/>
      <c r="I764" s="1"/>
    </row>
    <row r="765">
      <c r="H765" s="1"/>
      <c r="I765" s="1"/>
    </row>
    <row r="766">
      <c r="H766" s="1"/>
      <c r="I766" s="1"/>
    </row>
    <row r="767">
      <c r="H767" s="1"/>
      <c r="I767" s="1"/>
    </row>
    <row r="768">
      <c r="H768" s="1"/>
      <c r="I768" s="1"/>
    </row>
    <row r="769">
      <c r="H769" s="1"/>
      <c r="I769" s="1"/>
    </row>
    <row r="770">
      <c r="H770" s="1"/>
      <c r="I770" s="1"/>
    </row>
    <row r="771">
      <c r="H771" s="1"/>
      <c r="I771" s="1"/>
    </row>
    <row r="772">
      <c r="H772" s="1"/>
      <c r="I772" s="1"/>
    </row>
    <row r="773">
      <c r="H773" s="1"/>
      <c r="I773" s="1"/>
    </row>
    <row r="774">
      <c r="H774" s="1"/>
      <c r="I774" s="1"/>
    </row>
    <row r="775">
      <c r="H775" s="1"/>
      <c r="I775" s="1"/>
    </row>
    <row r="776">
      <c r="H776" s="1"/>
      <c r="I776" s="1"/>
    </row>
    <row r="777">
      <c r="H777" s="1"/>
      <c r="I777" s="1"/>
    </row>
    <row r="778">
      <c r="H778" s="1"/>
      <c r="I778" s="1"/>
    </row>
    <row r="779">
      <c r="H779" s="1"/>
      <c r="I779" s="1"/>
    </row>
    <row r="780">
      <c r="H780" s="1"/>
      <c r="I780" s="1"/>
    </row>
    <row r="781">
      <c r="H781" s="1"/>
      <c r="I781" s="1"/>
    </row>
    <row r="782">
      <c r="H782" s="1"/>
      <c r="I782" s="1"/>
    </row>
    <row r="783">
      <c r="H783" s="1"/>
      <c r="I783" s="1"/>
    </row>
    <row r="784">
      <c r="H784" s="1"/>
      <c r="I784" s="1"/>
    </row>
    <row r="785">
      <c r="H785" s="1"/>
      <c r="I785" s="1"/>
    </row>
    <row r="786">
      <c r="H786" s="1"/>
      <c r="I786" s="1"/>
    </row>
    <row r="787">
      <c r="H787" s="1"/>
      <c r="I787" s="1"/>
    </row>
    <row r="788">
      <c r="H788" s="1"/>
      <c r="I788" s="1"/>
    </row>
    <row r="789">
      <c r="H789" s="1"/>
      <c r="I789" s="1"/>
    </row>
    <row r="790">
      <c r="H790" s="1"/>
      <c r="I790" s="1"/>
    </row>
    <row r="791">
      <c r="H791" s="1"/>
      <c r="I791" s="1"/>
    </row>
    <row r="792">
      <c r="H792" s="1"/>
      <c r="I792" s="1"/>
    </row>
    <row r="793">
      <c r="H793" s="1"/>
      <c r="I793" s="1"/>
    </row>
    <row r="794">
      <c r="H794" s="1"/>
      <c r="I794" s="1"/>
    </row>
    <row r="795">
      <c r="H795" s="1"/>
      <c r="I795" s="1"/>
    </row>
    <row r="796">
      <c r="H796" s="1"/>
      <c r="I796" s="1"/>
    </row>
    <row r="797">
      <c r="H797" s="1"/>
      <c r="I797" s="1"/>
    </row>
    <row r="798">
      <c r="H798" s="1"/>
      <c r="I798" s="1"/>
    </row>
    <row r="799">
      <c r="H799" s="1"/>
      <c r="I799" s="1"/>
    </row>
    <row r="800">
      <c r="H800" s="1"/>
      <c r="I800" s="1"/>
    </row>
    <row r="801">
      <c r="H801" s="1"/>
      <c r="I801" s="1"/>
    </row>
    <row r="802">
      <c r="H802" s="1"/>
      <c r="I802" s="1"/>
    </row>
    <row r="803">
      <c r="H803" s="1"/>
      <c r="I803" s="1"/>
    </row>
    <row r="804">
      <c r="H804" s="1"/>
      <c r="I804" s="1"/>
    </row>
    <row r="805">
      <c r="H805" s="1"/>
      <c r="I805" s="1"/>
    </row>
    <row r="806">
      <c r="H806" s="1"/>
      <c r="I806" s="1"/>
    </row>
    <row r="807">
      <c r="H807" s="1"/>
      <c r="I807" s="1"/>
    </row>
    <row r="808">
      <c r="H808" s="1"/>
      <c r="I808" s="1"/>
    </row>
    <row r="809">
      <c r="H809" s="1"/>
      <c r="I809" s="1"/>
    </row>
    <row r="810">
      <c r="H810" s="1"/>
      <c r="I810" s="1"/>
    </row>
    <row r="811">
      <c r="H811" s="1"/>
      <c r="I811" s="1"/>
    </row>
    <row r="812">
      <c r="H812" s="1"/>
      <c r="I812" s="1"/>
    </row>
    <row r="813">
      <c r="H813" s="1"/>
      <c r="I813" s="1"/>
    </row>
    <row r="814">
      <c r="H814" s="1"/>
      <c r="I814" s="1"/>
    </row>
    <row r="815">
      <c r="H815" s="1"/>
      <c r="I815" s="1"/>
    </row>
    <row r="816">
      <c r="H816" s="1"/>
      <c r="I816" s="1"/>
    </row>
    <row r="817">
      <c r="H817" s="1"/>
      <c r="I817" s="1"/>
    </row>
    <row r="818">
      <c r="H818" s="1"/>
      <c r="I818" s="1"/>
    </row>
    <row r="819">
      <c r="H819" s="1"/>
      <c r="I819" s="1"/>
    </row>
    <row r="820">
      <c r="H820" s="1"/>
      <c r="I820" s="1"/>
    </row>
    <row r="821">
      <c r="H821" s="1"/>
      <c r="I821" s="1"/>
    </row>
    <row r="822">
      <c r="H822" s="1"/>
      <c r="I822" s="1"/>
    </row>
    <row r="823">
      <c r="H823" s="1"/>
      <c r="I823" s="1"/>
    </row>
    <row r="824">
      <c r="H824" s="1"/>
      <c r="I824" s="1"/>
    </row>
    <row r="825">
      <c r="H825" s="1"/>
      <c r="I825" s="1"/>
    </row>
    <row r="826">
      <c r="H826" s="1"/>
      <c r="I826" s="1"/>
    </row>
    <row r="827">
      <c r="H827" s="1"/>
      <c r="I827" s="1"/>
    </row>
    <row r="828">
      <c r="H828" s="1"/>
      <c r="I828" s="1"/>
    </row>
    <row r="829">
      <c r="H829" s="1"/>
      <c r="I829" s="1"/>
    </row>
    <row r="830">
      <c r="H830" s="1"/>
      <c r="I830" s="1"/>
    </row>
    <row r="831">
      <c r="H831" s="1"/>
      <c r="I831" s="1"/>
    </row>
    <row r="832">
      <c r="H832" s="1"/>
      <c r="I832" s="1"/>
    </row>
    <row r="833">
      <c r="H833" s="1"/>
      <c r="I833" s="1"/>
    </row>
    <row r="834">
      <c r="H834" s="1"/>
      <c r="I834" s="1"/>
    </row>
    <row r="835">
      <c r="H835" s="1"/>
      <c r="I835" s="1"/>
    </row>
    <row r="836">
      <c r="H836" s="1"/>
      <c r="I836" s="1"/>
    </row>
    <row r="837">
      <c r="H837" s="1"/>
      <c r="I837" s="1"/>
    </row>
    <row r="838">
      <c r="H838" s="1"/>
      <c r="I838" s="1"/>
    </row>
    <row r="839">
      <c r="H839" s="1"/>
      <c r="I839" s="1"/>
    </row>
    <row r="840">
      <c r="H840" s="1"/>
      <c r="I840" s="1"/>
    </row>
    <row r="841">
      <c r="H841" s="1"/>
      <c r="I841" s="1"/>
    </row>
    <row r="842">
      <c r="H842" s="1"/>
      <c r="I842" s="1"/>
    </row>
    <row r="843">
      <c r="H843" s="1"/>
      <c r="I843" s="1"/>
    </row>
    <row r="844">
      <c r="H844" s="1"/>
      <c r="I844" s="1"/>
    </row>
    <row r="845">
      <c r="H845" s="1"/>
      <c r="I845" s="1"/>
    </row>
    <row r="846">
      <c r="H846" s="1"/>
      <c r="I846" s="1"/>
    </row>
    <row r="847">
      <c r="H847" s="1"/>
      <c r="I847" s="1"/>
    </row>
    <row r="848">
      <c r="H848" s="1"/>
      <c r="I848" s="1"/>
    </row>
    <row r="849">
      <c r="H849" s="1"/>
      <c r="I849" s="1"/>
    </row>
    <row r="850">
      <c r="H850" s="1"/>
      <c r="I850" s="1"/>
    </row>
    <row r="851">
      <c r="H851" s="1"/>
      <c r="I851" s="1"/>
    </row>
    <row r="852">
      <c r="H852" s="1"/>
      <c r="I852" s="1"/>
    </row>
    <row r="853">
      <c r="H853" s="1"/>
      <c r="I853" s="1"/>
    </row>
    <row r="854">
      <c r="H854" s="1"/>
      <c r="I854" s="1"/>
    </row>
    <row r="855">
      <c r="H855" s="1"/>
      <c r="I855" s="1"/>
    </row>
    <row r="856">
      <c r="H856" s="1"/>
      <c r="I856" s="1"/>
    </row>
    <row r="857">
      <c r="H857" s="1"/>
      <c r="I857" s="1"/>
    </row>
    <row r="858">
      <c r="H858" s="1"/>
      <c r="I858" s="1"/>
    </row>
    <row r="859">
      <c r="H859" s="1"/>
      <c r="I859" s="1"/>
    </row>
    <row r="860">
      <c r="H860" s="1"/>
      <c r="I860" s="1"/>
    </row>
    <row r="861">
      <c r="H861" s="1"/>
      <c r="I861" s="1"/>
    </row>
    <row r="862">
      <c r="H862" s="1"/>
      <c r="I862" s="1"/>
    </row>
    <row r="863">
      <c r="H863" s="1"/>
      <c r="I863" s="1"/>
    </row>
    <row r="864">
      <c r="H864" s="1"/>
      <c r="I864" s="1"/>
    </row>
    <row r="865">
      <c r="H865" s="1"/>
      <c r="I865" s="1"/>
    </row>
    <row r="866">
      <c r="H866" s="1"/>
      <c r="I866" s="1"/>
    </row>
    <row r="867">
      <c r="H867" s="1"/>
      <c r="I867" s="1"/>
    </row>
    <row r="868">
      <c r="H868" s="1"/>
      <c r="I868" s="1"/>
    </row>
    <row r="869">
      <c r="H869" s="1"/>
      <c r="I869" s="1"/>
    </row>
    <row r="870">
      <c r="H870" s="1"/>
      <c r="I870" s="1"/>
    </row>
    <row r="871">
      <c r="H871" s="1"/>
      <c r="I871" s="1"/>
    </row>
    <row r="872">
      <c r="H872" s="1"/>
      <c r="I872" s="1"/>
    </row>
    <row r="873">
      <c r="H873" s="1"/>
      <c r="I873" s="1"/>
    </row>
    <row r="874">
      <c r="H874" s="1"/>
      <c r="I874" s="1"/>
    </row>
    <row r="875">
      <c r="H875" s="1"/>
      <c r="I875" s="1"/>
    </row>
    <row r="876">
      <c r="H876" s="1"/>
      <c r="I876" s="1"/>
    </row>
    <row r="877">
      <c r="H877" s="1"/>
      <c r="I877" s="1"/>
    </row>
    <row r="878">
      <c r="H878" s="1"/>
      <c r="I878" s="1"/>
    </row>
    <row r="879">
      <c r="H879" s="1"/>
      <c r="I879" s="1"/>
    </row>
    <row r="880">
      <c r="H880" s="1"/>
      <c r="I880" s="1"/>
    </row>
    <row r="881">
      <c r="H881" s="1"/>
      <c r="I881" s="1"/>
    </row>
    <row r="882">
      <c r="H882" s="1"/>
      <c r="I882" s="1"/>
    </row>
    <row r="883">
      <c r="H883" s="1"/>
      <c r="I883" s="1"/>
    </row>
    <row r="884">
      <c r="H884" s="1"/>
      <c r="I884" s="1"/>
    </row>
    <row r="885">
      <c r="H885" s="1"/>
      <c r="I885" s="1"/>
    </row>
    <row r="886">
      <c r="H886" s="1"/>
      <c r="I886" s="1"/>
    </row>
    <row r="887">
      <c r="H887" s="1"/>
      <c r="I887" s="1"/>
    </row>
    <row r="888">
      <c r="H888" s="1"/>
      <c r="I888" s="1"/>
    </row>
    <row r="889">
      <c r="H889" s="1"/>
      <c r="I889" s="1"/>
    </row>
    <row r="890">
      <c r="H890" s="1"/>
      <c r="I890" s="1"/>
    </row>
    <row r="891">
      <c r="H891" s="1"/>
      <c r="I891" s="1"/>
    </row>
    <row r="892">
      <c r="H892" s="1"/>
      <c r="I892" s="1"/>
    </row>
    <row r="893">
      <c r="H893" s="1"/>
      <c r="I893" s="1"/>
    </row>
    <row r="894">
      <c r="H894" s="1"/>
      <c r="I894" s="1"/>
    </row>
    <row r="895">
      <c r="H895" s="1"/>
      <c r="I895" s="1"/>
    </row>
    <row r="896">
      <c r="H896" s="1"/>
      <c r="I896" s="1"/>
    </row>
    <row r="897">
      <c r="H897" s="1"/>
      <c r="I897" s="1"/>
    </row>
    <row r="898">
      <c r="H898" s="1"/>
      <c r="I898" s="1"/>
    </row>
    <row r="899">
      <c r="H899" s="1"/>
      <c r="I899" s="1"/>
    </row>
    <row r="900">
      <c r="H900" s="1"/>
      <c r="I900" s="1"/>
    </row>
    <row r="901">
      <c r="H901" s="1"/>
      <c r="I901" s="1"/>
    </row>
    <row r="902">
      <c r="H902" s="1"/>
      <c r="I902" s="1"/>
    </row>
    <row r="903">
      <c r="H903" s="1"/>
      <c r="I903" s="1"/>
    </row>
    <row r="904">
      <c r="H904" s="1"/>
      <c r="I904" s="1"/>
    </row>
    <row r="905">
      <c r="H905" s="1"/>
      <c r="I905" s="1"/>
    </row>
    <row r="906">
      <c r="H906" s="1"/>
      <c r="I906" s="1"/>
    </row>
    <row r="907">
      <c r="H907" s="1"/>
      <c r="I907" s="1"/>
    </row>
    <row r="908">
      <c r="H908" s="1"/>
      <c r="I908" s="1"/>
    </row>
    <row r="909">
      <c r="H909" s="1"/>
      <c r="I909" s="1"/>
    </row>
    <row r="910">
      <c r="H910" s="1"/>
      <c r="I910" s="1"/>
    </row>
    <row r="911">
      <c r="H911" s="1"/>
      <c r="I911" s="1"/>
    </row>
    <row r="912">
      <c r="H912" s="1"/>
      <c r="I912" s="1"/>
    </row>
    <row r="913">
      <c r="H913" s="1"/>
      <c r="I913" s="1"/>
    </row>
    <row r="914">
      <c r="H914" s="1"/>
      <c r="I914" s="1"/>
    </row>
    <row r="915">
      <c r="H915" s="1"/>
      <c r="I915" s="1"/>
    </row>
    <row r="916">
      <c r="H916" s="1"/>
      <c r="I916" s="1"/>
    </row>
    <row r="917">
      <c r="H917" s="1"/>
      <c r="I917" s="1"/>
    </row>
    <row r="918">
      <c r="H918" s="1"/>
      <c r="I918" s="1"/>
    </row>
    <row r="919">
      <c r="H919" s="1"/>
      <c r="I919" s="1"/>
    </row>
    <row r="920">
      <c r="H920" s="1"/>
      <c r="I920" s="1"/>
    </row>
    <row r="921">
      <c r="H921" s="1"/>
      <c r="I921" s="1"/>
    </row>
    <row r="922">
      <c r="H922" s="1"/>
      <c r="I922" s="1"/>
    </row>
    <row r="923">
      <c r="H923" s="1"/>
      <c r="I923" s="1"/>
    </row>
    <row r="924">
      <c r="H924" s="1"/>
      <c r="I924" s="1"/>
    </row>
    <row r="925">
      <c r="H925" s="1"/>
      <c r="I925" s="1"/>
    </row>
    <row r="926">
      <c r="H926" s="1"/>
      <c r="I926" s="1"/>
    </row>
    <row r="927">
      <c r="H927" s="1"/>
      <c r="I927" s="1"/>
    </row>
    <row r="928">
      <c r="H928" s="1"/>
      <c r="I928" s="1"/>
    </row>
    <row r="929">
      <c r="H929" s="1"/>
      <c r="I929" s="1"/>
    </row>
    <row r="930">
      <c r="H930" s="1"/>
      <c r="I930" s="1"/>
    </row>
    <row r="931">
      <c r="H931" s="1"/>
      <c r="I931" s="1"/>
    </row>
    <row r="932">
      <c r="H932" s="1"/>
      <c r="I932" s="1"/>
    </row>
    <row r="933">
      <c r="H933" s="1"/>
      <c r="I933" s="1"/>
    </row>
    <row r="934">
      <c r="H934" s="1"/>
      <c r="I934" s="1"/>
    </row>
    <row r="935">
      <c r="H935" s="1"/>
      <c r="I935" s="1"/>
    </row>
    <row r="936">
      <c r="H936" s="1"/>
      <c r="I936" s="1"/>
    </row>
    <row r="937">
      <c r="H937" s="1"/>
      <c r="I937" s="1"/>
    </row>
    <row r="938">
      <c r="H938" s="1"/>
      <c r="I938" s="1"/>
    </row>
    <row r="939">
      <c r="H939" s="1"/>
      <c r="I939" s="1"/>
    </row>
    <row r="940">
      <c r="H940" s="1"/>
      <c r="I940" s="1"/>
    </row>
    <row r="941">
      <c r="H941" s="1"/>
      <c r="I941" s="1"/>
    </row>
    <row r="942">
      <c r="H942" s="1"/>
      <c r="I942" s="1"/>
    </row>
    <row r="943">
      <c r="H943" s="1"/>
      <c r="I943" s="1"/>
    </row>
    <row r="944">
      <c r="H944" s="1"/>
      <c r="I944" s="1"/>
    </row>
    <row r="945">
      <c r="H945" s="1"/>
      <c r="I945" s="1"/>
    </row>
    <row r="946">
      <c r="H946" s="1"/>
      <c r="I946" s="1"/>
    </row>
    <row r="947">
      <c r="H947" s="1"/>
      <c r="I947" s="1"/>
    </row>
    <row r="948">
      <c r="H948" s="1"/>
      <c r="I948" s="1"/>
    </row>
    <row r="949">
      <c r="H949" s="1"/>
      <c r="I949" s="1"/>
    </row>
    <row r="950">
      <c r="H950" s="1"/>
      <c r="I950" s="1"/>
    </row>
    <row r="951">
      <c r="H951" s="1"/>
      <c r="I951" s="1"/>
    </row>
    <row r="952">
      <c r="H952" s="1"/>
      <c r="I952" s="1"/>
    </row>
    <row r="953">
      <c r="H953" s="1"/>
      <c r="I953" s="1"/>
    </row>
    <row r="954">
      <c r="H954" s="1"/>
      <c r="I954" s="1"/>
    </row>
    <row r="955">
      <c r="H955" s="1"/>
      <c r="I955" s="1"/>
    </row>
    <row r="956">
      <c r="H956" s="1"/>
      <c r="I956" s="1"/>
    </row>
    <row r="957">
      <c r="H957" s="1"/>
      <c r="I957" s="1"/>
    </row>
    <row r="958">
      <c r="H958" s="1"/>
      <c r="I958" s="1"/>
    </row>
    <row r="959">
      <c r="H959" s="1"/>
      <c r="I959" s="1"/>
    </row>
    <row r="960">
      <c r="H960" s="1"/>
      <c r="I960" s="1"/>
    </row>
    <row r="961">
      <c r="H961" s="1"/>
      <c r="I961" s="1"/>
    </row>
    <row r="962">
      <c r="H962" s="1"/>
      <c r="I962" s="1"/>
    </row>
    <row r="963">
      <c r="H963" s="1"/>
      <c r="I963" s="1"/>
    </row>
    <row r="964">
      <c r="H964" s="1"/>
      <c r="I964" s="1"/>
    </row>
    <row r="965">
      <c r="H965" s="1"/>
      <c r="I965" s="1"/>
    </row>
    <row r="966">
      <c r="H966" s="1"/>
      <c r="I966" s="1"/>
    </row>
    <row r="967">
      <c r="H967" s="1"/>
      <c r="I967" s="1"/>
    </row>
    <row r="968">
      <c r="H968" s="1"/>
      <c r="I968" s="1"/>
    </row>
    <row r="969">
      <c r="H969" s="1"/>
      <c r="I969" s="1"/>
    </row>
    <row r="970">
      <c r="H970" s="1"/>
      <c r="I970" s="1"/>
    </row>
    <row r="971">
      <c r="H971" s="1"/>
      <c r="I971" s="1"/>
    </row>
    <row r="972">
      <c r="H972" s="1"/>
      <c r="I972" s="1"/>
    </row>
    <row r="973">
      <c r="H973" s="1"/>
      <c r="I973" s="1"/>
    </row>
    <row r="974">
      <c r="H974" s="1"/>
      <c r="I974" s="1"/>
    </row>
    <row r="975">
      <c r="H975" s="1"/>
      <c r="I975" s="1"/>
    </row>
    <row r="976">
      <c r="H976" s="1"/>
      <c r="I976" s="1"/>
    </row>
    <row r="977">
      <c r="H977" s="1"/>
      <c r="I977" s="1"/>
    </row>
    <row r="978">
      <c r="H978" s="1"/>
      <c r="I978" s="1"/>
    </row>
    <row r="979">
      <c r="H979" s="1"/>
      <c r="I979" s="1"/>
    </row>
    <row r="980">
      <c r="H980" s="1"/>
      <c r="I980" s="1"/>
    </row>
    <row r="981">
      <c r="H981" s="1"/>
      <c r="I981" s="1"/>
    </row>
    <row r="982">
      <c r="H982" s="1"/>
      <c r="I982" s="1"/>
    </row>
    <row r="983">
      <c r="H983" s="1"/>
      <c r="I983" s="1"/>
    </row>
    <row r="984">
      <c r="H984" s="1"/>
      <c r="I984" s="1"/>
    </row>
    <row r="985">
      <c r="H985" s="1"/>
      <c r="I985" s="1"/>
    </row>
    <row r="986">
      <c r="H986" s="1"/>
      <c r="I986" s="1"/>
    </row>
    <row r="987">
      <c r="H987" s="1"/>
      <c r="I987" s="1"/>
    </row>
    <row r="988">
      <c r="H988" s="1"/>
      <c r="I988" s="1"/>
    </row>
    <row r="989">
      <c r="H989" s="1"/>
      <c r="I989" s="1"/>
    </row>
    <row r="990">
      <c r="H990" s="1"/>
      <c r="I990" s="1"/>
    </row>
    <row r="991">
      <c r="H991" s="1"/>
      <c r="I991" s="1"/>
    </row>
    <row r="992">
      <c r="H992" s="1"/>
      <c r="I992" s="1"/>
    </row>
    <row r="993">
      <c r="H993" s="1"/>
      <c r="I993" s="1"/>
    </row>
    <row r="994">
      <c r="H994" s="1"/>
      <c r="I994" s="1"/>
    </row>
    <row r="995">
      <c r="H995" s="1"/>
      <c r="I995" s="1"/>
    </row>
    <row r="996">
      <c r="H996" s="1"/>
      <c r="I996" s="1"/>
    </row>
    <row r="997">
      <c r="H997" s="1"/>
      <c r="I997" s="1"/>
    </row>
    <row r="998">
      <c r="H998" s="1"/>
      <c r="I998" s="1"/>
    </row>
    <row r="999">
      <c r="H999" s="1"/>
      <c r="I999" s="1"/>
    </row>
    <row r="1000">
      <c r="H1000" s="1"/>
      <c r="I1000" s="1"/>
    </row>
    <row r="1001">
      <c r="H1001" s="1"/>
      <c r="I1001" s="1"/>
    </row>
    <row r="1002">
      <c r="H1002" s="1"/>
      <c r="I1002" s="1"/>
    </row>
    <row r="1003">
      <c r="H1003" s="1"/>
      <c r="I1003" s="1"/>
    </row>
    <row r="1004">
      <c r="H1004" s="1"/>
      <c r="I1004" s="1"/>
    </row>
    <row r="1005">
      <c r="H1005" s="1"/>
      <c r="I1005" s="1"/>
    </row>
    <row r="1006">
      <c r="H1006" s="1"/>
      <c r="I1006" s="1"/>
    </row>
    <row r="1007">
      <c r="H1007" s="1"/>
      <c r="I1007" s="1"/>
    </row>
    <row r="1008">
      <c r="H1008" s="1"/>
      <c r="I1008" s="1"/>
    </row>
    <row r="1009">
      <c r="H1009" s="1"/>
      <c r="I1009" s="1"/>
    </row>
    <row r="1010">
      <c r="H1010" s="1"/>
      <c r="I1010" s="1"/>
    </row>
    <row r="1011">
      <c r="H1011" s="1"/>
      <c r="I1011" s="1"/>
    </row>
    <row r="1012">
      <c r="H1012" s="1"/>
      <c r="I1012" s="1"/>
    </row>
    <row r="1013">
      <c r="H1013" s="1"/>
      <c r="I1013" s="1"/>
    </row>
    <row r="1014">
      <c r="H1014" s="1"/>
      <c r="I1014" s="1"/>
    </row>
    <row r="1015">
      <c r="H1015" s="1"/>
      <c r="I1015" s="1"/>
    </row>
    <row r="1016">
      <c r="H1016" s="1"/>
      <c r="I1016" s="1"/>
    </row>
    <row r="1017">
      <c r="H1017" s="1"/>
      <c r="I1017" s="1"/>
    </row>
    <row r="1018">
      <c r="H1018" s="1"/>
      <c r="I1018" s="1"/>
    </row>
    <row r="1019">
      <c r="H1019" s="1"/>
      <c r="I1019" s="1"/>
    </row>
    <row r="1020">
      <c r="H1020" s="1"/>
      <c r="I1020" s="1"/>
    </row>
    <row r="1021">
      <c r="H1021" s="1"/>
      <c r="I1021" s="1"/>
    </row>
    <row r="1022">
      <c r="H1022" s="1"/>
      <c r="I1022" s="1"/>
    </row>
    <row r="1023">
      <c r="H1023" s="1"/>
      <c r="I1023" s="1"/>
    </row>
    <row r="1024">
      <c r="H1024" s="1"/>
      <c r="I1024" s="1"/>
    </row>
    <row r="1025">
      <c r="H1025" s="1"/>
      <c r="I1025" s="1"/>
    </row>
    <row r="1026">
      <c r="H1026" s="1"/>
      <c r="I1026" s="1"/>
    </row>
    <row r="1027">
      <c r="H1027" s="1"/>
      <c r="I1027" s="1"/>
    </row>
    <row r="1028">
      <c r="H1028" s="1"/>
      <c r="I1028" s="1"/>
    </row>
    <row r="1029">
      <c r="H1029" s="1"/>
      <c r="I1029" s="1"/>
    </row>
    <row r="1030">
      <c r="H1030" s="1"/>
      <c r="I1030" s="1"/>
    </row>
    <row r="1031">
      <c r="H1031" s="1"/>
      <c r="I1031" s="1"/>
    </row>
    <row r="1032">
      <c r="H1032" s="1"/>
      <c r="I1032" s="1"/>
    </row>
    <row r="1033">
      <c r="H1033" s="1"/>
      <c r="I1033" s="1"/>
    </row>
    <row r="1034">
      <c r="H1034" s="1"/>
      <c r="I1034" s="1"/>
    </row>
    <row r="1035">
      <c r="H1035" s="1"/>
      <c r="I1035" s="1"/>
    </row>
  </sheetData>
  <mergeCells count="3">
    <mergeCell ref="B99:C99"/>
    <mergeCell ref="B108:C108"/>
    <mergeCell ref="G108:H108"/>
  </mergeCell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54.25"/>
    <col customWidth="1" min="3" max="5" width="30.63"/>
    <col customWidth="1" min="6" max="6" width="38.88"/>
    <col customWidth="1" min="7" max="7" width="20.13"/>
  </cols>
  <sheetData>
    <row r="1">
      <c r="A1" s="30" t="s">
        <v>42</v>
      </c>
      <c r="B1" s="30" t="s">
        <v>43</v>
      </c>
      <c r="C1" s="30" t="s">
        <v>44</v>
      </c>
      <c r="D1" s="30" t="s">
        <v>45</v>
      </c>
      <c r="E1" s="30" t="s">
        <v>46</v>
      </c>
      <c r="F1" s="30" t="s">
        <v>47</v>
      </c>
      <c r="G1" s="30" t="s">
        <v>48</v>
      </c>
      <c r="H1" s="30" t="s">
        <v>49</v>
      </c>
    </row>
    <row r="2">
      <c r="A2" s="31" t="s">
        <v>26</v>
      </c>
      <c r="B2" s="31"/>
      <c r="C2" s="31"/>
      <c r="D2" s="31"/>
      <c r="E2" s="31">
        <v>1.0</v>
      </c>
      <c r="F2" s="31">
        <v>2.0</v>
      </c>
      <c r="G2" s="31">
        <v>3.0</v>
      </c>
      <c r="H2" s="31">
        <v>4.0</v>
      </c>
    </row>
    <row r="3">
      <c r="A3" s="32" t="s">
        <v>50</v>
      </c>
      <c r="B3" s="33"/>
      <c r="C3" s="33"/>
      <c r="D3" s="33"/>
      <c r="E3" s="33"/>
      <c r="F3" s="33"/>
    </row>
    <row r="4">
      <c r="A4" s="34" t="s">
        <v>51</v>
      </c>
      <c r="B4" s="35"/>
      <c r="C4" s="35"/>
      <c r="D4" s="35"/>
      <c r="E4" s="36">
        <v>-387.0</v>
      </c>
      <c r="F4" s="37">
        <v>1375.0</v>
      </c>
      <c r="G4" s="38"/>
      <c r="H4" s="38"/>
    </row>
    <row r="5">
      <c r="A5" s="34" t="s">
        <v>52</v>
      </c>
      <c r="B5" s="35"/>
      <c r="C5" s="34" t="s">
        <v>53</v>
      </c>
      <c r="D5" s="35"/>
      <c r="E5" s="35"/>
      <c r="F5" s="34" t="s">
        <v>54</v>
      </c>
      <c r="G5" s="38"/>
      <c r="H5" s="38"/>
    </row>
    <row r="6">
      <c r="A6" s="31" t="s">
        <v>26</v>
      </c>
      <c r="B6" s="39">
        <v>5.0</v>
      </c>
      <c r="C6" s="39">
        <v>6.0</v>
      </c>
      <c r="D6" s="39">
        <v>7.0</v>
      </c>
      <c r="E6" s="31">
        <v>8.0</v>
      </c>
      <c r="F6" s="31">
        <v>9.0</v>
      </c>
      <c r="G6" s="31">
        <v>10.0</v>
      </c>
      <c r="H6" s="31">
        <v>11.0</v>
      </c>
    </row>
    <row r="7">
      <c r="A7" s="32" t="s">
        <v>50</v>
      </c>
      <c r="B7" s="40" t="s">
        <v>55</v>
      </c>
      <c r="C7" s="41" t="s">
        <v>56</v>
      </c>
      <c r="D7" s="42" t="s">
        <v>57</v>
      </c>
      <c r="E7" s="33"/>
      <c r="F7" s="42" t="s">
        <v>57</v>
      </c>
    </row>
    <row r="8">
      <c r="A8" s="34" t="s">
        <v>51</v>
      </c>
      <c r="B8" s="36">
        <v>-249.0</v>
      </c>
      <c r="C8" s="36">
        <v>-2286.0</v>
      </c>
      <c r="D8" s="36">
        <v>-3152.0</v>
      </c>
      <c r="E8" s="37">
        <v>4927.0</v>
      </c>
      <c r="F8" s="37">
        <v>15.0</v>
      </c>
      <c r="G8" s="39"/>
      <c r="H8" s="39"/>
    </row>
    <row r="9">
      <c r="A9" s="34" t="s">
        <v>52</v>
      </c>
      <c r="B9" s="34" t="s">
        <v>58</v>
      </c>
      <c r="C9" s="34" t="s">
        <v>59</v>
      </c>
      <c r="D9" s="35"/>
      <c r="E9" s="43" t="s">
        <v>60</v>
      </c>
      <c r="F9" s="34" t="s">
        <v>61</v>
      </c>
      <c r="G9" s="39"/>
      <c r="H9" s="39"/>
    </row>
    <row r="10">
      <c r="A10" s="31" t="s">
        <v>26</v>
      </c>
      <c r="B10" s="39">
        <v>12.0</v>
      </c>
      <c r="C10" s="39">
        <v>13.0</v>
      </c>
      <c r="D10" s="39">
        <v>14.0</v>
      </c>
      <c r="E10" s="44">
        <v>15.0</v>
      </c>
      <c r="F10" s="31">
        <v>16.0</v>
      </c>
      <c r="G10" s="31">
        <v>17.0</v>
      </c>
      <c r="H10" s="31">
        <v>18.0</v>
      </c>
    </row>
    <row r="11">
      <c r="A11" s="32" t="s">
        <v>50</v>
      </c>
      <c r="B11" s="45" t="s">
        <v>62</v>
      </c>
      <c r="C11" s="40" t="s">
        <v>63</v>
      </c>
      <c r="D11" s="41" t="s">
        <v>64</v>
      </c>
      <c r="E11" s="46" t="s">
        <v>65</v>
      </c>
      <c r="F11" s="47" t="s">
        <v>66</v>
      </c>
    </row>
    <row r="12">
      <c r="A12" s="34" t="s">
        <v>51</v>
      </c>
      <c r="B12" s="37">
        <v>1968.0</v>
      </c>
      <c r="C12" s="37">
        <v>1490.0</v>
      </c>
      <c r="D12" s="37">
        <v>6101.0</v>
      </c>
      <c r="E12" s="39" t="s">
        <v>65</v>
      </c>
      <c r="F12" s="37">
        <v>4326.0</v>
      </c>
      <c r="G12" s="39"/>
      <c r="H12" s="39"/>
    </row>
    <row r="13">
      <c r="A13" s="34" t="s">
        <v>52</v>
      </c>
      <c r="B13" s="35"/>
      <c r="C13" s="34" t="s">
        <v>67</v>
      </c>
      <c r="D13" s="34" t="s">
        <v>68</v>
      </c>
      <c r="E13" s="39" t="s">
        <v>69</v>
      </c>
      <c r="F13" s="35"/>
      <c r="G13" s="39"/>
      <c r="H13" s="39"/>
    </row>
    <row r="14">
      <c r="A14" s="31" t="s">
        <v>26</v>
      </c>
      <c r="B14" s="39">
        <v>19.0</v>
      </c>
      <c r="C14" s="39">
        <v>20.0</v>
      </c>
      <c r="D14" s="39">
        <v>21.0</v>
      </c>
      <c r="E14" s="31">
        <v>22.0</v>
      </c>
      <c r="F14" s="31">
        <v>23.0</v>
      </c>
      <c r="G14" s="31">
        <v>24.0</v>
      </c>
      <c r="H14" s="31">
        <v>25.0</v>
      </c>
    </row>
    <row r="15">
      <c r="A15" s="32" t="s">
        <v>50</v>
      </c>
      <c r="B15" s="33"/>
      <c r="C15" s="48" t="s">
        <v>70</v>
      </c>
      <c r="D15" s="33"/>
      <c r="E15" s="33"/>
      <c r="F15" s="33"/>
    </row>
    <row r="16">
      <c r="A16" s="34" t="s">
        <v>51</v>
      </c>
      <c r="B16" s="49">
        <v>-8595.0</v>
      </c>
      <c r="C16" s="36">
        <v>-667.0</v>
      </c>
      <c r="D16" s="36">
        <v>-1317.0</v>
      </c>
      <c r="E16" s="37">
        <v>2355.0</v>
      </c>
      <c r="F16" s="37">
        <v>3451.0</v>
      </c>
      <c r="G16" s="39"/>
      <c r="H16" s="39"/>
    </row>
    <row r="17">
      <c r="A17" s="34" t="s">
        <v>52</v>
      </c>
      <c r="B17" s="35"/>
      <c r="C17" s="34" t="s">
        <v>71</v>
      </c>
      <c r="D17" s="34" t="s">
        <v>72</v>
      </c>
      <c r="E17" s="34" t="s">
        <v>73</v>
      </c>
      <c r="F17" s="34" t="s">
        <v>74</v>
      </c>
      <c r="G17" s="39"/>
      <c r="H17" s="39"/>
    </row>
    <row r="18">
      <c r="A18" s="31" t="s">
        <v>26</v>
      </c>
      <c r="B18" s="44">
        <v>26.0</v>
      </c>
      <c r="C18" s="39">
        <v>27.0</v>
      </c>
      <c r="D18" s="39">
        <v>28.0</v>
      </c>
      <c r="E18" s="31">
        <v>29.0</v>
      </c>
      <c r="F18" s="31">
        <v>30.0</v>
      </c>
      <c r="G18" s="31">
        <v>31.0</v>
      </c>
      <c r="H18" s="31">
        <v>1.0</v>
      </c>
    </row>
    <row r="19">
      <c r="A19" s="34" t="s">
        <v>51</v>
      </c>
      <c r="B19" s="39" t="s">
        <v>65</v>
      </c>
      <c r="C19" s="36">
        <v>-3289.0</v>
      </c>
      <c r="D19" s="36">
        <v>-444.0</v>
      </c>
      <c r="E19" s="36">
        <v>-711.0</v>
      </c>
      <c r="F19" s="37">
        <v>2284.0</v>
      </c>
      <c r="G19" s="39"/>
      <c r="H19" s="39"/>
    </row>
    <row r="20">
      <c r="A20" s="32" t="s">
        <v>50</v>
      </c>
      <c r="B20" s="50" t="s">
        <v>65</v>
      </c>
      <c r="C20" s="51"/>
      <c r="D20" s="51"/>
      <c r="E20" s="51"/>
      <c r="F20" s="51"/>
      <c r="G20" s="46"/>
      <c r="H20" s="46"/>
    </row>
    <row r="21">
      <c r="A21" s="34" t="s">
        <v>52</v>
      </c>
      <c r="B21" s="39" t="s">
        <v>75</v>
      </c>
      <c r="C21" s="34" t="s">
        <v>76</v>
      </c>
      <c r="D21" s="34" t="s">
        <v>77</v>
      </c>
      <c r="E21" s="34" t="s">
        <v>78</v>
      </c>
      <c r="F21" s="34" t="s">
        <v>79</v>
      </c>
      <c r="G21" s="39" t="s">
        <v>80</v>
      </c>
      <c r="H21" s="39" t="s">
        <v>81</v>
      </c>
    </row>
    <row r="22">
      <c r="A22" s="35"/>
      <c r="B22" s="35"/>
      <c r="C22" s="35"/>
      <c r="D22" s="35"/>
      <c r="E22" s="35"/>
      <c r="F22" s="35"/>
      <c r="G22" s="35"/>
      <c r="H22" s="35"/>
    </row>
    <row r="23">
      <c r="A23" s="35"/>
      <c r="B23" s="35"/>
      <c r="C23" s="35"/>
      <c r="D23" s="35"/>
      <c r="E23" s="35"/>
      <c r="F23" s="35"/>
      <c r="G23" s="35"/>
      <c r="H23" s="35"/>
    </row>
    <row r="24">
      <c r="A24" s="35"/>
      <c r="B24" s="35"/>
      <c r="C24" s="35"/>
      <c r="D24" s="35"/>
      <c r="E24" s="35"/>
      <c r="F24" s="35"/>
      <c r="G24" s="35"/>
      <c r="H24" s="35"/>
    </row>
    <row r="25">
      <c r="A25" s="35"/>
      <c r="B25" s="35"/>
      <c r="C25" s="35"/>
      <c r="D25" s="35"/>
      <c r="E25" s="35"/>
      <c r="F25" s="35"/>
      <c r="G25" s="35"/>
      <c r="H25" s="35"/>
    </row>
    <row r="26">
      <c r="A26" s="35"/>
      <c r="B26" s="35"/>
      <c r="C26" s="35"/>
      <c r="D26" s="35"/>
      <c r="E26" s="35"/>
      <c r="F26" s="35"/>
      <c r="G26" s="35"/>
      <c r="H26" s="35"/>
    </row>
    <row r="27">
      <c r="A27" s="35"/>
      <c r="B27" s="35"/>
      <c r="C27" s="35"/>
      <c r="D27" s="35"/>
      <c r="E27" s="35"/>
      <c r="F27" s="35"/>
      <c r="G27" s="35"/>
      <c r="H27" s="35"/>
    </row>
    <row r="28">
      <c r="A28" s="35"/>
      <c r="B28" s="35"/>
      <c r="C28" s="35"/>
      <c r="D28" s="35"/>
      <c r="E28" s="35"/>
      <c r="F28" s="35"/>
      <c r="G28" s="35"/>
      <c r="H28" s="35"/>
    </row>
    <row r="29">
      <c r="A29" s="35"/>
      <c r="B29" s="35"/>
      <c r="C29" s="35"/>
      <c r="D29" s="35"/>
      <c r="E29" s="35"/>
      <c r="F29" s="35"/>
      <c r="G29" s="35"/>
      <c r="H29" s="35"/>
    </row>
    <row r="30">
      <c r="A30" s="35"/>
      <c r="B30" s="35"/>
      <c r="C30" s="35"/>
      <c r="D30" s="35"/>
      <c r="E30" s="35"/>
      <c r="F30" s="35"/>
      <c r="G30" s="35"/>
      <c r="H30" s="35"/>
    </row>
    <row r="31">
      <c r="A31" s="35"/>
      <c r="B31" s="35"/>
      <c r="C31" s="35"/>
      <c r="D31" s="35"/>
      <c r="E31" s="35"/>
      <c r="F31" s="35"/>
      <c r="G31" s="35"/>
      <c r="H31" s="35"/>
    </row>
    <row r="32">
      <c r="A32" s="35"/>
      <c r="B32" s="35"/>
      <c r="C32" s="35"/>
      <c r="D32" s="35"/>
      <c r="E32" s="35"/>
      <c r="F32" s="35"/>
      <c r="G32" s="35"/>
      <c r="H32" s="35"/>
    </row>
    <row r="33">
      <c r="A33" s="35"/>
      <c r="B33" s="35"/>
      <c r="C33" s="35"/>
      <c r="D33" s="35"/>
      <c r="E33" s="35"/>
      <c r="F33" s="35"/>
      <c r="G33" s="35"/>
      <c r="H33" s="35"/>
    </row>
    <row r="34">
      <c r="A34" s="35"/>
      <c r="B34" s="35"/>
      <c r="C34" s="35"/>
      <c r="D34" s="35"/>
      <c r="E34" s="35"/>
      <c r="F34" s="35"/>
      <c r="G34" s="35"/>
      <c r="H34" s="35"/>
    </row>
    <row r="35">
      <c r="A35" s="35"/>
      <c r="B35" s="35"/>
      <c r="C35" s="35"/>
      <c r="D35" s="35"/>
      <c r="E35" s="35"/>
      <c r="F35" s="35"/>
      <c r="G35" s="35"/>
      <c r="H35" s="35"/>
    </row>
    <row r="36">
      <c r="A36" s="35"/>
      <c r="B36" s="35"/>
      <c r="C36" s="35"/>
      <c r="D36" s="35"/>
      <c r="E36" s="35"/>
      <c r="F36" s="35"/>
      <c r="G36" s="35"/>
      <c r="H36" s="35"/>
    </row>
    <row r="37">
      <c r="A37" s="35"/>
      <c r="B37" s="35"/>
      <c r="C37" s="35"/>
      <c r="D37" s="35"/>
      <c r="E37" s="35"/>
      <c r="F37" s="35"/>
      <c r="G37" s="35"/>
      <c r="H37" s="35"/>
    </row>
    <row r="38">
      <c r="A38" s="35"/>
      <c r="B38" s="35"/>
      <c r="C38" s="35"/>
      <c r="D38" s="35"/>
      <c r="E38" s="35"/>
      <c r="F38" s="35"/>
      <c r="G38" s="35"/>
      <c r="H38" s="35"/>
    </row>
    <row r="39">
      <c r="A39" s="35"/>
      <c r="B39" s="35"/>
      <c r="C39" s="35"/>
      <c r="D39" s="35"/>
      <c r="E39" s="35"/>
      <c r="F39" s="35"/>
      <c r="G39" s="35"/>
      <c r="H39" s="35"/>
    </row>
    <row r="40">
      <c r="A40" s="35"/>
      <c r="B40" s="35"/>
      <c r="C40" s="35"/>
      <c r="D40" s="35"/>
      <c r="E40" s="35"/>
      <c r="F40" s="35"/>
      <c r="G40" s="35"/>
      <c r="H40" s="35"/>
    </row>
    <row r="41">
      <c r="A41" s="35"/>
      <c r="B41" s="35"/>
      <c r="C41" s="35"/>
      <c r="D41" s="35"/>
      <c r="E41" s="35"/>
      <c r="F41" s="35"/>
      <c r="G41" s="35"/>
      <c r="H41" s="35"/>
    </row>
    <row r="42">
      <c r="A42" s="35"/>
      <c r="B42" s="35"/>
      <c r="C42" s="35"/>
      <c r="D42" s="35"/>
      <c r="E42" s="35"/>
      <c r="F42" s="35"/>
      <c r="G42" s="35"/>
      <c r="H42" s="35"/>
    </row>
    <row r="43">
      <c r="A43" s="35"/>
      <c r="B43" s="35"/>
      <c r="C43" s="35"/>
      <c r="D43" s="35"/>
      <c r="E43" s="35"/>
      <c r="F43" s="35"/>
      <c r="G43" s="35"/>
      <c r="H43" s="35"/>
    </row>
    <row r="44">
      <c r="A44" s="35"/>
      <c r="B44" s="35"/>
      <c r="C44" s="35"/>
      <c r="D44" s="35"/>
      <c r="E44" s="35"/>
      <c r="F44" s="35"/>
      <c r="G44" s="35"/>
      <c r="H44" s="35"/>
    </row>
    <row r="45">
      <c r="A45" s="35"/>
      <c r="B45" s="35"/>
      <c r="C45" s="35"/>
      <c r="D45" s="35"/>
      <c r="E45" s="35"/>
      <c r="F45" s="35"/>
      <c r="G45" s="35"/>
      <c r="H45" s="35"/>
    </row>
    <row r="46">
      <c r="A46" s="35"/>
      <c r="B46" s="35"/>
      <c r="C46" s="35"/>
      <c r="D46" s="35"/>
      <c r="E46" s="35"/>
      <c r="F46" s="35"/>
      <c r="G46" s="35"/>
      <c r="H46" s="35"/>
    </row>
    <row r="47">
      <c r="A47" s="35"/>
      <c r="B47" s="35"/>
      <c r="C47" s="35"/>
      <c r="D47" s="35"/>
      <c r="E47" s="35"/>
      <c r="F47" s="35"/>
      <c r="G47" s="35"/>
      <c r="H47" s="35"/>
    </row>
    <row r="48">
      <c r="A48" s="35"/>
      <c r="B48" s="35"/>
      <c r="C48" s="35"/>
      <c r="D48" s="35"/>
      <c r="E48" s="35"/>
      <c r="F48" s="35"/>
      <c r="G48" s="35"/>
      <c r="H48" s="35"/>
    </row>
    <row r="49">
      <c r="A49" s="35"/>
      <c r="B49" s="35"/>
      <c r="C49" s="35"/>
      <c r="D49" s="35"/>
      <c r="E49" s="35"/>
      <c r="F49" s="35"/>
      <c r="G49" s="35"/>
      <c r="H49" s="35"/>
    </row>
    <row r="50">
      <c r="A50" s="35"/>
      <c r="B50" s="35"/>
      <c r="C50" s="35"/>
      <c r="D50" s="35"/>
      <c r="E50" s="35"/>
      <c r="F50" s="35"/>
      <c r="G50" s="35"/>
      <c r="H50" s="35"/>
    </row>
    <row r="51">
      <c r="A51" s="35"/>
      <c r="B51" s="35"/>
      <c r="C51" s="35"/>
      <c r="D51" s="35"/>
      <c r="E51" s="35"/>
      <c r="F51" s="35"/>
      <c r="G51" s="35"/>
      <c r="H51" s="35"/>
    </row>
    <row r="52">
      <c r="A52" s="35"/>
      <c r="B52" s="35"/>
      <c r="C52" s="35"/>
      <c r="D52" s="35"/>
      <c r="E52" s="35"/>
      <c r="F52" s="35"/>
      <c r="G52" s="35"/>
      <c r="H52" s="35"/>
    </row>
    <row r="53">
      <c r="A53" s="35"/>
      <c r="B53" s="35"/>
      <c r="C53" s="35"/>
      <c r="D53" s="35"/>
      <c r="E53" s="35"/>
      <c r="F53" s="35"/>
      <c r="G53" s="35"/>
      <c r="H53" s="35"/>
    </row>
    <row r="54">
      <c r="A54" s="35"/>
      <c r="B54" s="35"/>
      <c r="C54" s="35"/>
      <c r="D54" s="35"/>
      <c r="E54" s="35"/>
      <c r="F54" s="35"/>
      <c r="G54" s="35"/>
      <c r="H54" s="35"/>
    </row>
    <row r="55">
      <c r="A55" s="35"/>
      <c r="B55" s="35"/>
      <c r="C55" s="35"/>
      <c r="D55" s="35"/>
      <c r="E55" s="35"/>
      <c r="F55" s="35"/>
      <c r="G55" s="35"/>
      <c r="H55" s="35"/>
    </row>
    <row r="56">
      <c r="A56" s="35"/>
      <c r="B56" s="35"/>
      <c r="C56" s="35"/>
      <c r="D56" s="35"/>
      <c r="E56" s="35"/>
      <c r="F56" s="35"/>
      <c r="G56" s="35"/>
      <c r="H56" s="35"/>
    </row>
    <row r="57">
      <c r="A57" s="35"/>
      <c r="B57" s="35"/>
      <c r="C57" s="35"/>
      <c r="D57" s="35"/>
      <c r="E57" s="35"/>
      <c r="F57" s="35"/>
      <c r="G57" s="35"/>
      <c r="H57" s="35"/>
    </row>
    <row r="58">
      <c r="A58" s="35"/>
      <c r="B58" s="35"/>
      <c r="C58" s="35"/>
      <c r="D58" s="35"/>
      <c r="E58" s="35"/>
      <c r="F58" s="35"/>
      <c r="G58" s="35"/>
      <c r="H58" s="35"/>
    </row>
    <row r="59">
      <c r="A59" s="35"/>
      <c r="B59" s="35"/>
      <c r="C59" s="35"/>
      <c r="D59" s="35"/>
      <c r="E59" s="35"/>
      <c r="F59" s="35"/>
      <c r="G59" s="35"/>
      <c r="H59" s="35"/>
    </row>
    <row r="60">
      <c r="A60" s="35"/>
      <c r="B60" s="35"/>
      <c r="C60" s="35"/>
      <c r="D60" s="35"/>
      <c r="E60" s="35"/>
      <c r="F60" s="35"/>
      <c r="G60" s="35"/>
      <c r="H60" s="35"/>
    </row>
    <row r="61">
      <c r="A61" s="35"/>
      <c r="B61" s="35"/>
      <c r="C61" s="35"/>
      <c r="D61" s="35"/>
      <c r="E61" s="35"/>
      <c r="F61" s="35"/>
      <c r="G61" s="35"/>
      <c r="H61" s="35"/>
    </row>
    <row r="62">
      <c r="A62" s="35"/>
      <c r="B62" s="35"/>
      <c r="C62" s="35"/>
      <c r="D62" s="35"/>
      <c r="E62" s="35"/>
      <c r="F62" s="35"/>
      <c r="G62" s="35"/>
      <c r="H62" s="35"/>
    </row>
    <row r="63">
      <c r="A63" s="35"/>
      <c r="B63" s="35"/>
      <c r="C63" s="35"/>
      <c r="D63" s="35"/>
      <c r="E63" s="35"/>
      <c r="F63" s="35"/>
      <c r="G63" s="35"/>
      <c r="H63" s="35"/>
    </row>
    <row r="64">
      <c r="A64" s="35"/>
      <c r="B64" s="35"/>
      <c r="C64" s="35"/>
      <c r="D64" s="35"/>
      <c r="E64" s="35"/>
      <c r="F64" s="35"/>
      <c r="G64" s="35"/>
      <c r="H64" s="35"/>
    </row>
    <row r="65">
      <c r="A65" s="35"/>
      <c r="B65" s="35"/>
      <c r="C65" s="35"/>
      <c r="D65" s="35"/>
      <c r="E65" s="35"/>
      <c r="F65" s="35"/>
      <c r="G65" s="35"/>
      <c r="H65" s="35"/>
    </row>
    <row r="66">
      <c r="A66" s="35"/>
      <c r="B66" s="35"/>
      <c r="C66" s="35"/>
      <c r="D66" s="35"/>
      <c r="E66" s="35"/>
      <c r="F66" s="35"/>
      <c r="G66" s="35"/>
      <c r="H66" s="35"/>
    </row>
    <row r="67">
      <c r="A67" s="35"/>
      <c r="B67" s="35"/>
      <c r="C67" s="35"/>
      <c r="D67" s="35"/>
      <c r="E67" s="35"/>
      <c r="F67" s="35"/>
      <c r="G67" s="35"/>
      <c r="H67" s="35"/>
    </row>
    <row r="68">
      <c r="A68" s="35"/>
      <c r="B68" s="35"/>
      <c r="C68" s="35"/>
      <c r="D68" s="35"/>
      <c r="E68" s="35"/>
      <c r="F68" s="35"/>
      <c r="G68" s="35"/>
      <c r="H68" s="35"/>
    </row>
    <row r="69">
      <c r="A69" s="35"/>
      <c r="B69" s="35"/>
      <c r="C69" s="35"/>
      <c r="D69" s="35"/>
      <c r="E69" s="35"/>
      <c r="F69" s="35"/>
      <c r="G69" s="35"/>
      <c r="H69" s="35"/>
    </row>
    <row r="70">
      <c r="A70" s="35"/>
      <c r="B70" s="35"/>
      <c r="C70" s="35"/>
      <c r="D70" s="35"/>
      <c r="E70" s="35"/>
      <c r="F70" s="35"/>
      <c r="G70" s="35"/>
      <c r="H70" s="35"/>
    </row>
    <row r="71">
      <c r="A71" s="35"/>
      <c r="B71" s="35"/>
      <c r="C71" s="35"/>
      <c r="D71" s="35"/>
      <c r="E71" s="35"/>
      <c r="F71" s="35"/>
      <c r="G71" s="35"/>
      <c r="H71" s="35"/>
    </row>
    <row r="72">
      <c r="A72" s="35"/>
      <c r="B72" s="35"/>
      <c r="C72" s="35"/>
      <c r="D72" s="35"/>
      <c r="E72" s="35"/>
      <c r="F72" s="35"/>
      <c r="G72" s="35"/>
      <c r="H72" s="35"/>
    </row>
    <row r="73">
      <c r="A73" s="35"/>
      <c r="B73" s="35"/>
      <c r="C73" s="35"/>
      <c r="D73" s="35"/>
      <c r="E73" s="35"/>
      <c r="F73" s="35"/>
      <c r="G73" s="35"/>
      <c r="H73" s="35"/>
    </row>
    <row r="74">
      <c r="A74" s="35"/>
      <c r="B74" s="35"/>
      <c r="C74" s="35"/>
      <c r="D74" s="35"/>
      <c r="E74" s="35"/>
      <c r="F74" s="35"/>
      <c r="G74" s="35"/>
      <c r="H74" s="35"/>
    </row>
    <row r="75">
      <c r="A75" s="35"/>
      <c r="B75" s="35"/>
      <c r="C75" s="35"/>
      <c r="D75" s="35"/>
      <c r="E75" s="35"/>
      <c r="F75" s="35"/>
      <c r="G75" s="35"/>
      <c r="H75" s="35"/>
    </row>
    <row r="76">
      <c r="A76" s="35"/>
      <c r="B76" s="35"/>
      <c r="C76" s="35"/>
      <c r="D76" s="35"/>
      <c r="E76" s="35"/>
      <c r="F76" s="35"/>
      <c r="G76" s="35"/>
      <c r="H76" s="35"/>
    </row>
    <row r="77">
      <c r="A77" s="35"/>
      <c r="B77" s="35"/>
      <c r="C77" s="35"/>
      <c r="D77" s="35"/>
      <c r="E77" s="35"/>
      <c r="F77" s="35"/>
      <c r="G77" s="35"/>
      <c r="H77" s="35"/>
    </row>
    <row r="78">
      <c r="A78" s="35"/>
      <c r="B78" s="35"/>
      <c r="C78" s="35"/>
      <c r="D78" s="35"/>
      <c r="E78" s="35"/>
      <c r="F78" s="35"/>
      <c r="G78" s="35"/>
      <c r="H78" s="35"/>
    </row>
    <row r="79">
      <c r="A79" s="35"/>
      <c r="B79" s="35"/>
      <c r="C79" s="35"/>
      <c r="D79" s="35"/>
      <c r="E79" s="35"/>
      <c r="F79" s="35"/>
      <c r="G79" s="35"/>
      <c r="H79" s="35"/>
    </row>
    <row r="80">
      <c r="A80" s="35"/>
      <c r="B80" s="35"/>
      <c r="C80" s="35"/>
      <c r="D80" s="35"/>
      <c r="E80" s="35"/>
      <c r="F80" s="35"/>
      <c r="G80" s="35"/>
      <c r="H80" s="35"/>
    </row>
    <row r="81">
      <c r="A81" s="35"/>
      <c r="B81" s="35"/>
      <c r="C81" s="35"/>
      <c r="D81" s="35"/>
      <c r="E81" s="35"/>
      <c r="F81" s="35"/>
      <c r="G81" s="35"/>
      <c r="H81" s="35"/>
    </row>
    <row r="82">
      <c r="A82" s="35"/>
      <c r="B82" s="35"/>
      <c r="C82" s="35"/>
      <c r="D82" s="35"/>
      <c r="E82" s="35"/>
      <c r="F82" s="35"/>
      <c r="G82" s="35"/>
      <c r="H82" s="35"/>
    </row>
    <row r="83">
      <c r="A83" s="35"/>
      <c r="B83" s="35"/>
      <c r="C83" s="35"/>
      <c r="D83" s="35"/>
      <c r="E83" s="35"/>
      <c r="F83" s="35"/>
      <c r="G83" s="35"/>
      <c r="H83" s="35"/>
    </row>
    <row r="84">
      <c r="A84" s="35"/>
      <c r="B84" s="35"/>
      <c r="C84" s="35"/>
      <c r="D84" s="35"/>
      <c r="E84" s="35"/>
      <c r="F84" s="35"/>
      <c r="G84" s="35"/>
      <c r="H84" s="35"/>
    </row>
    <row r="85">
      <c r="A85" s="35"/>
      <c r="B85" s="35"/>
      <c r="C85" s="35"/>
      <c r="D85" s="35"/>
      <c r="E85" s="35"/>
      <c r="F85" s="35"/>
      <c r="G85" s="35"/>
      <c r="H85" s="35"/>
    </row>
    <row r="86">
      <c r="A86" s="35"/>
      <c r="B86" s="35"/>
      <c r="C86" s="35"/>
      <c r="D86" s="35"/>
      <c r="E86" s="35"/>
      <c r="F86" s="35"/>
      <c r="G86" s="35"/>
      <c r="H86" s="35"/>
    </row>
    <row r="87">
      <c r="A87" s="35"/>
      <c r="B87" s="35"/>
      <c r="C87" s="35"/>
      <c r="D87" s="35"/>
      <c r="E87" s="35"/>
      <c r="F87" s="35"/>
      <c r="G87" s="35"/>
      <c r="H87" s="35"/>
    </row>
    <row r="88">
      <c r="A88" s="35"/>
      <c r="B88" s="35"/>
      <c r="C88" s="35"/>
      <c r="D88" s="35"/>
      <c r="E88" s="35"/>
      <c r="F88" s="35"/>
      <c r="G88" s="35"/>
      <c r="H88" s="35"/>
    </row>
    <row r="89">
      <c r="A89" s="35"/>
      <c r="B89" s="35"/>
      <c r="C89" s="35"/>
      <c r="D89" s="35"/>
      <c r="E89" s="35"/>
      <c r="F89" s="35"/>
      <c r="G89" s="35"/>
      <c r="H89" s="35"/>
    </row>
    <row r="90">
      <c r="A90" s="35"/>
      <c r="B90" s="35"/>
      <c r="C90" s="35"/>
      <c r="D90" s="35"/>
      <c r="E90" s="35"/>
      <c r="F90" s="35"/>
      <c r="G90" s="35"/>
      <c r="H90" s="35"/>
    </row>
    <row r="91">
      <c r="A91" s="35"/>
      <c r="B91" s="35"/>
      <c r="C91" s="35"/>
      <c r="D91" s="35"/>
      <c r="E91" s="35"/>
      <c r="F91" s="35"/>
      <c r="G91" s="35"/>
      <c r="H91" s="35"/>
    </row>
    <row r="92">
      <c r="A92" s="35"/>
      <c r="B92" s="35"/>
      <c r="C92" s="35"/>
      <c r="D92" s="35"/>
      <c r="E92" s="35"/>
      <c r="F92" s="35"/>
      <c r="G92" s="35"/>
      <c r="H92" s="35"/>
    </row>
    <row r="93">
      <c r="A93" s="35"/>
      <c r="B93" s="35"/>
      <c r="C93" s="35"/>
      <c r="D93" s="35"/>
      <c r="E93" s="35"/>
      <c r="F93" s="35"/>
      <c r="G93" s="35"/>
      <c r="H93" s="35"/>
    </row>
    <row r="94">
      <c r="A94" s="35"/>
      <c r="B94" s="35"/>
      <c r="C94" s="35"/>
      <c r="D94" s="35"/>
      <c r="E94" s="35"/>
      <c r="F94" s="35"/>
      <c r="G94" s="35"/>
      <c r="H94" s="35"/>
    </row>
    <row r="95">
      <c r="A95" s="35"/>
      <c r="B95" s="35"/>
      <c r="C95" s="35"/>
      <c r="D95" s="35"/>
      <c r="E95" s="35"/>
      <c r="F95" s="35"/>
      <c r="G95" s="35"/>
      <c r="H95" s="35"/>
    </row>
    <row r="96">
      <c r="A96" s="35"/>
      <c r="B96" s="35"/>
      <c r="C96" s="35"/>
      <c r="D96" s="35"/>
      <c r="E96" s="35"/>
      <c r="F96" s="35"/>
      <c r="G96" s="35"/>
      <c r="H96" s="35"/>
    </row>
    <row r="97">
      <c r="A97" s="35"/>
      <c r="B97" s="35"/>
      <c r="C97" s="35"/>
      <c r="D97" s="35"/>
      <c r="E97" s="35"/>
      <c r="F97" s="35"/>
      <c r="G97" s="35"/>
      <c r="H97" s="35"/>
    </row>
    <row r="98">
      <c r="A98" s="35"/>
      <c r="B98" s="35"/>
      <c r="C98" s="35"/>
      <c r="D98" s="35"/>
      <c r="E98" s="35"/>
      <c r="F98" s="35"/>
      <c r="G98" s="35"/>
      <c r="H98" s="35"/>
    </row>
    <row r="99">
      <c r="A99" s="35"/>
      <c r="B99" s="35"/>
      <c r="C99" s="35"/>
      <c r="D99" s="35"/>
      <c r="E99" s="35"/>
      <c r="F99" s="35"/>
      <c r="G99" s="35"/>
      <c r="H99" s="35"/>
    </row>
    <row r="100">
      <c r="A100" s="35"/>
      <c r="B100" s="35"/>
      <c r="C100" s="35"/>
      <c r="D100" s="35"/>
      <c r="E100" s="35"/>
      <c r="F100" s="35"/>
      <c r="G100" s="35"/>
      <c r="H100" s="35"/>
    </row>
    <row r="101">
      <c r="A101" s="35"/>
      <c r="B101" s="35"/>
      <c r="C101" s="35"/>
      <c r="D101" s="35"/>
      <c r="E101" s="35"/>
      <c r="F101" s="35"/>
      <c r="G101" s="35"/>
      <c r="H101" s="35"/>
    </row>
    <row r="102">
      <c r="A102" s="35"/>
      <c r="B102" s="35"/>
      <c r="C102" s="35"/>
      <c r="D102" s="35"/>
      <c r="E102" s="35"/>
      <c r="F102" s="35"/>
      <c r="G102" s="35"/>
      <c r="H102" s="35"/>
    </row>
    <row r="103">
      <c r="A103" s="35"/>
      <c r="B103" s="35"/>
      <c r="C103" s="35"/>
      <c r="D103" s="35"/>
      <c r="E103" s="35"/>
      <c r="F103" s="35"/>
      <c r="G103" s="35"/>
      <c r="H103" s="35"/>
    </row>
    <row r="104">
      <c r="A104" s="35"/>
      <c r="B104" s="35"/>
      <c r="C104" s="35"/>
      <c r="D104" s="35"/>
      <c r="E104" s="35"/>
      <c r="F104" s="35"/>
      <c r="G104" s="35"/>
      <c r="H104" s="35"/>
    </row>
    <row r="105">
      <c r="A105" s="35"/>
      <c r="B105" s="35"/>
      <c r="C105" s="35"/>
      <c r="D105" s="35"/>
      <c r="E105" s="35"/>
      <c r="F105" s="35"/>
      <c r="G105" s="35"/>
      <c r="H105" s="35"/>
    </row>
    <row r="106">
      <c r="A106" s="35"/>
      <c r="B106" s="35"/>
      <c r="C106" s="35"/>
      <c r="D106" s="35"/>
      <c r="E106" s="35"/>
      <c r="F106" s="35"/>
      <c r="G106" s="35"/>
      <c r="H106" s="35"/>
    </row>
    <row r="107">
      <c r="A107" s="35"/>
      <c r="B107" s="35"/>
      <c r="C107" s="35"/>
      <c r="D107" s="35"/>
      <c r="E107" s="35"/>
      <c r="F107" s="35"/>
      <c r="G107" s="35"/>
      <c r="H107" s="35"/>
    </row>
    <row r="108">
      <c r="A108" s="35"/>
      <c r="B108" s="35"/>
      <c r="C108" s="35"/>
      <c r="D108" s="35"/>
      <c r="E108" s="35"/>
      <c r="F108" s="35"/>
      <c r="G108" s="35"/>
      <c r="H108" s="35"/>
    </row>
    <row r="109">
      <c r="A109" s="35"/>
      <c r="B109" s="35"/>
      <c r="C109" s="35"/>
      <c r="D109" s="35"/>
      <c r="E109" s="35"/>
      <c r="F109" s="35"/>
      <c r="G109" s="35"/>
      <c r="H109" s="35"/>
    </row>
    <row r="110">
      <c r="A110" s="35"/>
      <c r="B110" s="35"/>
      <c r="C110" s="35"/>
      <c r="D110" s="35"/>
      <c r="E110" s="35"/>
      <c r="F110" s="35"/>
      <c r="G110" s="35"/>
      <c r="H110" s="35"/>
    </row>
    <row r="111">
      <c r="A111" s="35"/>
      <c r="B111" s="35"/>
      <c r="C111" s="35"/>
      <c r="D111" s="35"/>
      <c r="E111" s="35"/>
      <c r="F111" s="35"/>
      <c r="G111" s="35"/>
      <c r="H111" s="35"/>
    </row>
    <row r="112">
      <c r="A112" s="35"/>
      <c r="B112" s="35"/>
      <c r="C112" s="35"/>
      <c r="D112" s="35"/>
      <c r="E112" s="35"/>
      <c r="F112" s="35"/>
      <c r="G112" s="35"/>
      <c r="H112" s="35"/>
    </row>
    <row r="113">
      <c r="A113" s="35"/>
      <c r="B113" s="35"/>
      <c r="C113" s="35"/>
      <c r="D113" s="35"/>
      <c r="E113" s="35"/>
      <c r="F113" s="35"/>
      <c r="G113" s="35"/>
      <c r="H113" s="35"/>
    </row>
    <row r="114">
      <c r="A114" s="35"/>
      <c r="B114" s="35"/>
      <c r="C114" s="35"/>
      <c r="D114" s="35"/>
      <c r="E114" s="35"/>
      <c r="F114" s="35"/>
      <c r="G114" s="35"/>
      <c r="H114" s="35"/>
    </row>
    <row r="115">
      <c r="A115" s="35"/>
      <c r="B115" s="35"/>
      <c r="C115" s="35"/>
      <c r="D115" s="35"/>
      <c r="E115" s="35"/>
      <c r="F115" s="35"/>
      <c r="G115" s="35"/>
      <c r="H115" s="35"/>
    </row>
    <row r="116">
      <c r="A116" s="35"/>
      <c r="B116" s="35"/>
      <c r="C116" s="35"/>
      <c r="D116" s="35"/>
      <c r="E116" s="35"/>
      <c r="F116" s="35"/>
      <c r="G116" s="35"/>
      <c r="H116" s="35"/>
    </row>
    <row r="117">
      <c r="A117" s="35"/>
      <c r="B117" s="35"/>
      <c r="C117" s="35"/>
      <c r="D117" s="35"/>
      <c r="E117" s="35"/>
      <c r="F117" s="35"/>
      <c r="G117" s="35"/>
      <c r="H117" s="35"/>
    </row>
    <row r="118">
      <c r="A118" s="35"/>
      <c r="B118" s="35"/>
      <c r="C118" s="35"/>
      <c r="D118" s="35"/>
      <c r="E118" s="35"/>
      <c r="F118" s="35"/>
      <c r="G118" s="35"/>
      <c r="H118" s="35"/>
    </row>
    <row r="119">
      <c r="A119" s="35"/>
      <c r="B119" s="35"/>
      <c r="C119" s="35"/>
      <c r="D119" s="35"/>
      <c r="E119" s="35"/>
      <c r="F119" s="35"/>
      <c r="G119" s="35"/>
      <c r="H119" s="35"/>
    </row>
    <row r="120">
      <c r="A120" s="35"/>
      <c r="B120" s="35"/>
      <c r="C120" s="35"/>
      <c r="D120" s="35"/>
      <c r="E120" s="35"/>
      <c r="F120" s="35"/>
      <c r="G120" s="35"/>
      <c r="H120" s="35"/>
    </row>
    <row r="121">
      <c r="A121" s="35"/>
      <c r="B121" s="35"/>
      <c r="C121" s="35"/>
      <c r="D121" s="35"/>
      <c r="E121" s="35"/>
      <c r="F121" s="35"/>
      <c r="G121" s="35"/>
      <c r="H121" s="35"/>
    </row>
    <row r="122">
      <c r="A122" s="35"/>
      <c r="B122" s="35"/>
      <c r="C122" s="35"/>
      <c r="D122" s="35"/>
      <c r="E122" s="35"/>
      <c r="F122" s="35"/>
      <c r="G122" s="35"/>
      <c r="H122" s="35"/>
    </row>
    <row r="123">
      <c r="A123" s="35"/>
      <c r="B123" s="35"/>
      <c r="C123" s="35"/>
      <c r="D123" s="35"/>
      <c r="E123" s="35"/>
      <c r="F123" s="35"/>
      <c r="G123" s="35"/>
      <c r="H123" s="35"/>
    </row>
    <row r="124">
      <c r="A124" s="35"/>
      <c r="B124" s="35"/>
      <c r="C124" s="35"/>
      <c r="D124" s="35"/>
      <c r="E124" s="35"/>
      <c r="F124" s="35"/>
      <c r="G124" s="35"/>
      <c r="H124" s="35"/>
    </row>
    <row r="125">
      <c r="A125" s="35"/>
      <c r="B125" s="35"/>
      <c r="C125" s="35"/>
      <c r="D125" s="35"/>
      <c r="E125" s="35"/>
      <c r="F125" s="35"/>
      <c r="G125" s="35"/>
      <c r="H125" s="35"/>
    </row>
    <row r="126">
      <c r="A126" s="35"/>
      <c r="B126" s="35"/>
      <c r="C126" s="35"/>
      <c r="D126" s="35"/>
      <c r="E126" s="35"/>
      <c r="F126" s="35"/>
      <c r="G126" s="35"/>
      <c r="H126" s="35"/>
    </row>
    <row r="127">
      <c r="A127" s="35"/>
      <c r="B127" s="35"/>
      <c r="C127" s="35"/>
      <c r="D127" s="35"/>
      <c r="E127" s="35"/>
      <c r="F127" s="35"/>
      <c r="G127" s="35"/>
      <c r="H127" s="35"/>
    </row>
    <row r="128">
      <c r="A128" s="35"/>
      <c r="B128" s="35"/>
      <c r="C128" s="35"/>
      <c r="D128" s="35"/>
      <c r="E128" s="35"/>
      <c r="F128" s="35"/>
      <c r="G128" s="35"/>
      <c r="H128" s="35"/>
    </row>
    <row r="129">
      <c r="A129" s="35"/>
      <c r="B129" s="35"/>
      <c r="C129" s="35"/>
      <c r="D129" s="35"/>
      <c r="E129" s="35"/>
      <c r="F129" s="35"/>
      <c r="G129" s="35"/>
      <c r="H129" s="35"/>
    </row>
    <row r="130">
      <c r="A130" s="35"/>
      <c r="B130" s="35"/>
      <c r="C130" s="35"/>
      <c r="D130" s="35"/>
      <c r="E130" s="35"/>
      <c r="F130" s="35"/>
      <c r="G130" s="35"/>
      <c r="H130" s="35"/>
    </row>
    <row r="131">
      <c r="A131" s="35"/>
      <c r="B131" s="35"/>
      <c r="C131" s="35"/>
      <c r="D131" s="35"/>
      <c r="E131" s="35"/>
      <c r="F131" s="35"/>
      <c r="G131" s="35"/>
      <c r="H131" s="35"/>
    </row>
    <row r="132">
      <c r="A132" s="35"/>
      <c r="B132" s="35"/>
      <c r="C132" s="35"/>
      <c r="D132" s="35"/>
      <c r="E132" s="35"/>
      <c r="F132" s="35"/>
      <c r="G132" s="35"/>
      <c r="H132" s="35"/>
    </row>
    <row r="133">
      <c r="A133" s="35"/>
      <c r="B133" s="35"/>
      <c r="C133" s="35"/>
      <c r="D133" s="35"/>
      <c r="E133" s="35"/>
      <c r="F133" s="35"/>
      <c r="G133" s="35"/>
      <c r="H133" s="35"/>
    </row>
    <row r="134">
      <c r="A134" s="35"/>
      <c r="B134" s="35"/>
      <c r="C134" s="35"/>
      <c r="D134" s="35"/>
      <c r="E134" s="35"/>
      <c r="F134" s="35"/>
      <c r="G134" s="35"/>
      <c r="H134" s="35"/>
    </row>
    <row r="135">
      <c r="A135" s="35"/>
      <c r="B135" s="35"/>
      <c r="C135" s="35"/>
      <c r="D135" s="35"/>
      <c r="E135" s="35"/>
      <c r="F135" s="35"/>
      <c r="G135" s="35"/>
      <c r="H135" s="35"/>
    </row>
    <row r="136">
      <c r="A136" s="35"/>
      <c r="B136" s="35"/>
      <c r="C136" s="35"/>
      <c r="D136" s="35"/>
      <c r="E136" s="35"/>
      <c r="F136" s="35"/>
      <c r="G136" s="35"/>
      <c r="H136" s="35"/>
    </row>
    <row r="137">
      <c r="A137" s="35"/>
      <c r="B137" s="35"/>
      <c r="C137" s="35"/>
      <c r="D137" s="35"/>
      <c r="E137" s="35"/>
      <c r="F137" s="35"/>
      <c r="G137" s="35"/>
      <c r="H137" s="35"/>
    </row>
    <row r="138">
      <c r="A138" s="35"/>
      <c r="B138" s="35"/>
      <c r="C138" s="35"/>
      <c r="D138" s="35"/>
      <c r="E138" s="35"/>
      <c r="F138" s="35"/>
      <c r="G138" s="35"/>
      <c r="H138" s="35"/>
    </row>
    <row r="139">
      <c r="A139" s="35"/>
      <c r="B139" s="35"/>
      <c r="C139" s="35"/>
      <c r="D139" s="35"/>
      <c r="E139" s="35"/>
      <c r="F139" s="35"/>
      <c r="G139" s="35"/>
      <c r="H139" s="35"/>
    </row>
    <row r="140">
      <c r="A140" s="35"/>
      <c r="B140" s="35"/>
      <c r="C140" s="35"/>
      <c r="D140" s="35"/>
      <c r="E140" s="35"/>
      <c r="F140" s="35"/>
      <c r="G140" s="35"/>
      <c r="H140" s="35"/>
    </row>
    <row r="141">
      <c r="A141" s="35"/>
      <c r="B141" s="35"/>
      <c r="C141" s="35"/>
      <c r="D141" s="35"/>
      <c r="E141" s="35"/>
      <c r="F141" s="35"/>
      <c r="G141" s="35"/>
      <c r="H141" s="35"/>
    </row>
    <row r="142">
      <c r="A142" s="35"/>
      <c r="B142" s="35"/>
      <c r="C142" s="35"/>
      <c r="D142" s="35"/>
      <c r="E142" s="35"/>
      <c r="F142" s="35"/>
      <c r="G142" s="35"/>
      <c r="H142" s="35"/>
    </row>
    <row r="143">
      <c r="A143" s="35"/>
      <c r="B143" s="35"/>
      <c r="C143" s="35"/>
      <c r="D143" s="35"/>
      <c r="E143" s="35"/>
      <c r="F143" s="35"/>
      <c r="G143" s="35"/>
      <c r="H143" s="35"/>
    </row>
    <row r="144">
      <c r="A144" s="35"/>
      <c r="B144" s="35"/>
      <c r="C144" s="35"/>
      <c r="D144" s="35"/>
      <c r="E144" s="35"/>
      <c r="F144" s="35"/>
      <c r="G144" s="35"/>
      <c r="H144" s="35"/>
    </row>
    <row r="145">
      <c r="A145" s="35"/>
      <c r="B145" s="35"/>
      <c r="C145" s="35"/>
      <c r="D145" s="35"/>
      <c r="E145" s="35"/>
      <c r="F145" s="35"/>
      <c r="G145" s="35"/>
      <c r="H145" s="35"/>
    </row>
    <row r="146">
      <c r="A146" s="35"/>
      <c r="B146" s="35"/>
      <c r="C146" s="35"/>
      <c r="D146" s="35"/>
      <c r="E146" s="35"/>
      <c r="F146" s="35"/>
      <c r="G146" s="35"/>
      <c r="H146" s="35"/>
    </row>
    <row r="147">
      <c r="A147" s="35"/>
      <c r="B147" s="35"/>
      <c r="C147" s="35"/>
      <c r="D147" s="35"/>
      <c r="E147" s="35"/>
      <c r="F147" s="35"/>
      <c r="G147" s="35"/>
      <c r="H147" s="35"/>
    </row>
    <row r="148">
      <c r="A148" s="35"/>
      <c r="B148" s="35"/>
      <c r="C148" s="35"/>
      <c r="D148" s="35"/>
      <c r="E148" s="35"/>
      <c r="F148" s="35"/>
      <c r="G148" s="35"/>
      <c r="H148" s="35"/>
    </row>
    <row r="149">
      <c r="A149" s="35"/>
      <c r="B149" s="35"/>
      <c r="C149" s="35"/>
      <c r="D149" s="35"/>
      <c r="E149" s="35"/>
      <c r="F149" s="35"/>
      <c r="G149" s="35"/>
      <c r="H149" s="35"/>
    </row>
    <row r="150">
      <c r="A150" s="35"/>
      <c r="B150" s="35"/>
      <c r="C150" s="35"/>
      <c r="D150" s="35"/>
      <c r="E150" s="35"/>
      <c r="F150" s="35"/>
      <c r="G150" s="35"/>
      <c r="H150" s="35"/>
    </row>
    <row r="151">
      <c r="A151" s="35"/>
      <c r="B151" s="35"/>
      <c r="C151" s="35"/>
      <c r="D151" s="35"/>
      <c r="E151" s="35"/>
      <c r="F151" s="35"/>
      <c r="G151" s="35"/>
      <c r="H151" s="35"/>
    </row>
    <row r="152">
      <c r="A152" s="35"/>
      <c r="B152" s="35"/>
      <c r="C152" s="35"/>
      <c r="D152" s="35"/>
      <c r="E152" s="35"/>
      <c r="F152" s="35"/>
      <c r="G152" s="35"/>
      <c r="H152" s="35"/>
    </row>
    <row r="153">
      <c r="A153" s="35"/>
      <c r="B153" s="35"/>
      <c r="C153" s="35"/>
      <c r="D153" s="35"/>
      <c r="E153" s="35"/>
      <c r="F153" s="35"/>
      <c r="G153" s="35"/>
      <c r="H153" s="35"/>
    </row>
    <row r="154">
      <c r="A154" s="35"/>
      <c r="B154" s="35"/>
      <c r="C154" s="35"/>
      <c r="D154" s="35"/>
      <c r="E154" s="35"/>
      <c r="F154" s="35"/>
      <c r="G154" s="35"/>
      <c r="H154" s="35"/>
    </row>
    <row r="155">
      <c r="A155" s="35"/>
      <c r="B155" s="35"/>
      <c r="C155" s="35"/>
      <c r="D155" s="35"/>
      <c r="E155" s="35"/>
      <c r="F155" s="35"/>
      <c r="G155" s="35"/>
      <c r="H155" s="35"/>
    </row>
    <row r="156">
      <c r="A156" s="35"/>
      <c r="B156" s="35"/>
      <c r="C156" s="35"/>
      <c r="D156" s="35"/>
      <c r="E156" s="35"/>
      <c r="F156" s="35"/>
      <c r="G156" s="35"/>
      <c r="H156" s="35"/>
    </row>
    <row r="157">
      <c r="A157" s="35"/>
      <c r="B157" s="35"/>
      <c r="C157" s="35"/>
      <c r="D157" s="35"/>
      <c r="E157" s="35"/>
      <c r="F157" s="35"/>
      <c r="G157" s="35"/>
      <c r="H157" s="35"/>
    </row>
    <row r="158">
      <c r="A158" s="35"/>
      <c r="B158" s="35"/>
      <c r="C158" s="35"/>
      <c r="D158" s="35"/>
      <c r="E158" s="35"/>
      <c r="F158" s="35"/>
      <c r="G158" s="35"/>
      <c r="H158" s="35"/>
    </row>
    <row r="159">
      <c r="A159" s="35"/>
      <c r="B159" s="35"/>
      <c r="C159" s="35"/>
      <c r="D159" s="35"/>
      <c r="E159" s="35"/>
      <c r="F159" s="35"/>
      <c r="G159" s="35"/>
      <c r="H159" s="35"/>
    </row>
    <row r="160">
      <c r="A160" s="35"/>
      <c r="B160" s="35"/>
      <c r="C160" s="35"/>
      <c r="D160" s="35"/>
      <c r="E160" s="35"/>
      <c r="F160" s="35"/>
      <c r="G160" s="35"/>
      <c r="H160" s="35"/>
    </row>
    <row r="161">
      <c r="A161" s="35"/>
      <c r="B161" s="35"/>
      <c r="C161" s="35"/>
      <c r="D161" s="35"/>
      <c r="E161" s="35"/>
      <c r="F161" s="35"/>
      <c r="G161" s="35"/>
      <c r="H161" s="35"/>
    </row>
    <row r="162">
      <c r="A162" s="35"/>
      <c r="B162" s="35"/>
      <c r="C162" s="35"/>
      <c r="D162" s="35"/>
      <c r="E162" s="35"/>
      <c r="F162" s="35"/>
      <c r="G162" s="35"/>
      <c r="H162" s="35"/>
    </row>
    <row r="163">
      <c r="A163" s="35"/>
      <c r="B163" s="35"/>
      <c r="C163" s="35"/>
      <c r="D163" s="35"/>
      <c r="E163" s="35"/>
      <c r="F163" s="35"/>
      <c r="G163" s="35"/>
      <c r="H163" s="35"/>
    </row>
    <row r="164">
      <c r="A164" s="35"/>
      <c r="B164" s="35"/>
      <c r="C164" s="35"/>
      <c r="D164" s="35"/>
      <c r="E164" s="35"/>
      <c r="F164" s="35"/>
      <c r="G164" s="35"/>
      <c r="H164" s="35"/>
    </row>
    <row r="165">
      <c r="A165" s="35"/>
      <c r="B165" s="35"/>
      <c r="C165" s="35"/>
      <c r="D165" s="35"/>
      <c r="E165" s="35"/>
      <c r="F165" s="35"/>
      <c r="G165" s="35"/>
      <c r="H165" s="35"/>
    </row>
    <row r="166">
      <c r="A166" s="35"/>
      <c r="B166" s="35"/>
      <c r="C166" s="35"/>
      <c r="D166" s="35"/>
      <c r="E166" s="35"/>
      <c r="F166" s="35"/>
      <c r="G166" s="35"/>
      <c r="H166" s="35"/>
    </row>
    <row r="167">
      <c r="A167" s="35"/>
      <c r="B167" s="35"/>
      <c r="C167" s="35"/>
      <c r="D167" s="35"/>
      <c r="E167" s="35"/>
      <c r="F167" s="35"/>
      <c r="G167" s="35"/>
      <c r="H167" s="35"/>
    </row>
    <row r="168">
      <c r="A168" s="35"/>
      <c r="B168" s="35"/>
      <c r="C168" s="35"/>
      <c r="D168" s="35"/>
      <c r="E168" s="35"/>
      <c r="F168" s="35"/>
      <c r="G168" s="35"/>
      <c r="H168" s="35"/>
    </row>
    <row r="169">
      <c r="A169" s="35"/>
      <c r="B169" s="35"/>
      <c r="C169" s="35"/>
      <c r="D169" s="35"/>
      <c r="E169" s="35"/>
      <c r="F169" s="35"/>
      <c r="G169" s="35"/>
      <c r="H169" s="35"/>
    </row>
    <row r="170">
      <c r="A170" s="35"/>
      <c r="B170" s="35"/>
      <c r="C170" s="35"/>
      <c r="D170" s="35"/>
      <c r="E170" s="35"/>
      <c r="F170" s="35"/>
      <c r="G170" s="35"/>
      <c r="H170" s="35"/>
    </row>
    <row r="171">
      <c r="A171" s="35"/>
      <c r="B171" s="35"/>
      <c r="C171" s="35"/>
      <c r="D171" s="35"/>
      <c r="E171" s="35"/>
      <c r="F171" s="35"/>
      <c r="G171" s="35"/>
      <c r="H171" s="35"/>
    </row>
    <row r="172">
      <c r="A172" s="35"/>
      <c r="B172" s="35"/>
      <c r="C172" s="35"/>
      <c r="D172" s="35"/>
      <c r="E172" s="35"/>
      <c r="F172" s="35"/>
      <c r="G172" s="35"/>
      <c r="H172" s="35"/>
    </row>
    <row r="173">
      <c r="A173" s="35"/>
      <c r="B173" s="35"/>
      <c r="C173" s="35"/>
      <c r="D173" s="35"/>
      <c r="E173" s="35"/>
      <c r="F173" s="35"/>
      <c r="G173" s="35"/>
      <c r="H173" s="35"/>
    </row>
    <row r="174">
      <c r="A174" s="35"/>
      <c r="B174" s="35"/>
      <c r="C174" s="35"/>
      <c r="D174" s="35"/>
      <c r="E174" s="35"/>
      <c r="F174" s="35"/>
      <c r="G174" s="35"/>
      <c r="H174" s="35"/>
    </row>
    <row r="175">
      <c r="A175" s="35"/>
      <c r="B175" s="35"/>
      <c r="C175" s="35"/>
      <c r="D175" s="35"/>
      <c r="E175" s="35"/>
      <c r="F175" s="35"/>
      <c r="G175" s="35"/>
      <c r="H175" s="35"/>
    </row>
    <row r="176">
      <c r="A176" s="35"/>
      <c r="B176" s="35"/>
      <c r="C176" s="35"/>
      <c r="D176" s="35"/>
      <c r="E176" s="35"/>
      <c r="F176" s="35"/>
      <c r="G176" s="35"/>
      <c r="H176" s="35"/>
    </row>
    <row r="177">
      <c r="A177" s="35"/>
      <c r="B177" s="35"/>
      <c r="C177" s="35"/>
      <c r="D177" s="35"/>
      <c r="E177" s="35"/>
      <c r="F177" s="35"/>
      <c r="G177" s="35"/>
      <c r="H177" s="35"/>
    </row>
    <row r="178">
      <c r="A178" s="35"/>
      <c r="B178" s="35"/>
      <c r="C178" s="35"/>
      <c r="D178" s="35"/>
      <c r="E178" s="35"/>
      <c r="F178" s="35"/>
      <c r="G178" s="35"/>
      <c r="H178" s="35"/>
    </row>
    <row r="179">
      <c r="A179" s="35"/>
      <c r="B179" s="35"/>
      <c r="C179" s="35"/>
      <c r="D179" s="35"/>
      <c r="E179" s="35"/>
      <c r="F179" s="35"/>
      <c r="G179" s="35"/>
      <c r="H179" s="35"/>
    </row>
    <row r="180">
      <c r="A180" s="35"/>
      <c r="B180" s="35"/>
      <c r="C180" s="35"/>
      <c r="D180" s="35"/>
      <c r="E180" s="35"/>
      <c r="F180" s="35"/>
      <c r="G180" s="35"/>
      <c r="H180" s="35"/>
    </row>
    <row r="181">
      <c r="A181" s="35"/>
      <c r="B181" s="35"/>
      <c r="C181" s="35"/>
      <c r="D181" s="35"/>
      <c r="E181" s="35"/>
      <c r="F181" s="35"/>
      <c r="G181" s="35"/>
      <c r="H181" s="35"/>
    </row>
    <row r="182">
      <c r="A182" s="35"/>
      <c r="B182" s="35"/>
      <c r="C182" s="35"/>
      <c r="D182" s="35"/>
      <c r="E182" s="35"/>
      <c r="F182" s="35"/>
      <c r="G182" s="35"/>
      <c r="H182" s="35"/>
    </row>
    <row r="183">
      <c r="A183" s="35"/>
      <c r="B183" s="35"/>
      <c r="C183" s="35"/>
      <c r="D183" s="35"/>
      <c r="E183" s="35"/>
      <c r="F183" s="35"/>
      <c r="G183" s="35"/>
      <c r="H183" s="35"/>
    </row>
    <row r="184">
      <c r="A184" s="35"/>
      <c r="B184" s="35"/>
      <c r="C184" s="35"/>
      <c r="D184" s="35"/>
      <c r="E184" s="35"/>
      <c r="F184" s="35"/>
      <c r="G184" s="35"/>
      <c r="H184" s="35"/>
    </row>
    <row r="185">
      <c r="A185" s="35"/>
      <c r="B185" s="35"/>
      <c r="C185" s="35"/>
      <c r="D185" s="35"/>
      <c r="E185" s="35"/>
      <c r="F185" s="35"/>
      <c r="G185" s="35"/>
      <c r="H185" s="35"/>
    </row>
    <row r="186">
      <c r="A186" s="35"/>
      <c r="B186" s="35"/>
      <c r="C186" s="35"/>
      <c r="D186" s="35"/>
      <c r="E186" s="35"/>
      <c r="F186" s="35"/>
      <c r="G186" s="35"/>
      <c r="H186" s="35"/>
    </row>
    <row r="187">
      <c r="A187" s="35"/>
      <c r="B187" s="35"/>
      <c r="C187" s="35"/>
      <c r="D187" s="35"/>
      <c r="E187" s="35"/>
      <c r="F187" s="35"/>
      <c r="G187" s="35"/>
      <c r="H187" s="35"/>
    </row>
    <row r="188">
      <c r="A188" s="35"/>
      <c r="B188" s="35"/>
      <c r="C188" s="35"/>
      <c r="D188" s="35"/>
      <c r="E188" s="35"/>
      <c r="F188" s="35"/>
      <c r="G188" s="35"/>
      <c r="H188" s="35"/>
    </row>
    <row r="189">
      <c r="A189" s="35"/>
      <c r="B189" s="35"/>
      <c r="C189" s="35"/>
      <c r="D189" s="35"/>
      <c r="E189" s="35"/>
      <c r="F189" s="35"/>
      <c r="G189" s="35"/>
      <c r="H189" s="35"/>
    </row>
    <row r="190">
      <c r="A190" s="35"/>
      <c r="B190" s="35"/>
      <c r="C190" s="35"/>
      <c r="D190" s="35"/>
      <c r="E190" s="35"/>
      <c r="F190" s="35"/>
      <c r="G190" s="35"/>
      <c r="H190" s="35"/>
    </row>
    <row r="191">
      <c r="A191" s="35"/>
      <c r="B191" s="35"/>
      <c r="C191" s="35"/>
      <c r="D191" s="35"/>
      <c r="E191" s="35"/>
      <c r="F191" s="35"/>
      <c r="G191" s="35"/>
      <c r="H191" s="35"/>
    </row>
    <row r="192">
      <c r="A192" s="35"/>
      <c r="B192" s="35"/>
      <c r="C192" s="35"/>
      <c r="D192" s="35"/>
      <c r="E192" s="35"/>
      <c r="F192" s="35"/>
      <c r="G192" s="35"/>
      <c r="H192" s="35"/>
    </row>
    <row r="193">
      <c r="A193" s="35"/>
      <c r="B193" s="35"/>
      <c r="C193" s="35"/>
      <c r="D193" s="35"/>
      <c r="E193" s="35"/>
      <c r="F193" s="35"/>
      <c r="G193" s="35"/>
      <c r="H193" s="35"/>
    </row>
    <row r="194">
      <c r="A194" s="35"/>
      <c r="B194" s="35"/>
      <c r="C194" s="35"/>
      <c r="D194" s="35"/>
      <c r="E194" s="35"/>
      <c r="F194" s="35"/>
      <c r="G194" s="35"/>
      <c r="H194" s="35"/>
    </row>
    <row r="195">
      <c r="A195" s="35"/>
      <c r="B195" s="35"/>
      <c r="C195" s="35"/>
      <c r="D195" s="35"/>
      <c r="E195" s="35"/>
      <c r="F195" s="35"/>
      <c r="G195" s="35"/>
      <c r="H195" s="35"/>
    </row>
    <row r="196">
      <c r="A196" s="35"/>
      <c r="B196" s="35"/>
      <c r="C196" s="35"/>
      <c r="D196" s="35"/>
      <c r="E196" s="35"/>
      <c r="F196" s="35"/>
      <c r="G196" s="35"/>
      <c r="H196" s="35"/>
    </row>
    <row r="197">
      <c r="A197" s="35"/>
      <c r="B197" s="35"/>
      <c r="C197" s="35"/>
      <c r="D197" s="35"/>
      <c r="E197" s="35"/>
      <c r="F197" s="35"/>
      <c r="G197" s="35"/>
      <c r="H197" s="35"/>
    </row>
    <row r="198">
      <c r="A198" s="35"/>
      <c r="B198" s="35"/>
      <c r="C198" s="35"/>
      <c r="D198" s="35"/>
      <c r="E198" s="35"/>
      <c r="F198" s="35"/>
      <c r="G198" s="35"/>
      <c r="H198" s="35"/>
    </row>
    <row r="199">
      <c r="A199" s="35"/>
      <c r="B199" s="35"/>
      <c r="C199" s="35"/>
      <c r="D199" s="35"/>
      <c r="E199" s="35"/>
      <c r="F199" s="35"/>
      <c r="G199" s="35"/>
      <c r="H199" s="35"/>
    </row>
    <row r="200">
      <c r="A200" s="35"/>
      <c r="B200" s="35"/>
      <c r="C200" s="35"/>
      <c r="D200" s="35"/>
      <c r="E200" s="35"/>
      <c r="F200" s="35"/>
      <c r="G200" s="35"/>
      <c r="H200" s="35"/>
    </row>
    <row r="201">
      <c r="A201" s="35"/>
      <c r="B201" s="35"/>
      <c r="C201" s="35"/>
      <c r="D201" s="35"/>
      <c r="E201" s="35"/>
      <c r="F201" s="35"/>
      <c r="G201" s="35"/>
      <c r="H201" s="35"/>
    </row>
    <row r="202">
      <c r="A202" s="35"/>
      <c r="B202" s="35"/>
      <c r="C202" s="35"/>
      <c r="D202" s="35"/>
      <c r="E202" s="35"/>
      <c r="F202" s="35"/>
      <c r="G202" s="35"/>
      <c r="H202" s="35"/>
    </row>
    <row r="203">
      <c r="A203" s="35"/>
      <c r="B203" s="35"/>
      <c r="C203" s="35"/>
      <c r="D203" s="35"/>
      <c r="E203" s="35"/>
      <c r="F203" s="35"/>
      <c r="G203" s="35"/>
      <c r="H203" s="35"/>
    </row>
    <row r="204">
      <c r="A204" s="35"/>
      <c r="B204" s="35"/>
      <c r="C204" s="35"/>
      <c r="D204" s="35"/>
      <c r="E204" s="35"/>
      <c r="F204" s="35"/>
      <c r="G204" s="35"/>
      <c r="H204" s="35"/>
    </row>
    <row r="205">
      <c r="A205" s="35"/>
      <c r="B205" s="35"/>
      <c r="C205" s="35"/>
      <c r="D205" s="35"/>
      <c r="E205" s="35"/>
      <c r="F205" s="35"/>
      <c r="G205" s="35"/>
      <c r="H205" s="35"/>
    </row>
    <row r="206">
      <c r="A206" s="35"/>
      <c r="B206" s="35"/>
      <c r="C206" s="35"/>
      <c r="D206" s="35"/>
      <c r="E206" s="35"/>
      <c r="F206" s="35"/>
      <c r="G206" s="35"/>
      <c r="H206" s="35"/>
    </row>
    <row r="207">
      <c r="A207" s="35"/>
      <c r="B207" s="35"/>
      <c r="C207" s="35"/>
      <c r="D207" s="35"/>
      <c r="E207" s="35"/>
      <c r="F207" s="35"/>
      <c r="G207" s="35"/>
      <c r="H207" s="35"/>
    </row>
    <row r="208">
      <c r="A208" s="35"/>
      <c r="B208" s="35"/>
      <c r="C208" s="35"/>
      <c r="D208" s="35"/>
      <c r="E208" s="35"/>
      <c r="F208" s="35"/>
      <c r="G208" s="35"/>
      <c r="H208" s="35"/>
    </row>
    <row r="209">
      <c r="A209" s="35"/>
      <c r="B209" s="35"/>
      <c r="C209" s="35"/>
      <c r="D209" s="35"/>
      <c r="E209" s="35"/>
      <c r="F209" s="35"/>
      <c r="G209" s="35"/>
      <c r="H209" s="35"/>
    </row>
    <row r="210">
      <c r="A210" s="35"/>
      <c r="B210" s="35"/>
      <c r="C210" s="35"/>
      <c r="D210" s="35"/>
      <c r="E210" s="35"/>
      <c r="F210" s="35"/>
      <c r="G210" s="35"/>
      <c r="H210" s="35"/>
    </row>
    <row r="211">
      <c r="A211" s="35"/>
      <c r="B211" s="35"/>
      <c r="C211" s="35"/>
      <c r="D211" s="35"/>
      <c r="E211" s="35"/>
      <c r="F211" s="35"/>
      <c r="G211" s="35"/>
      <c r="H211" s="35"/>
    </row>
    <row r="212">
      <c r="A212" s="35"/>
      <c r="B212" s="35"/>
      <c r="C212" s="35"/>
      <c r="D212" s="35"/>
      <c r="E212" s="35"/>
      <c r="F212" s="35"/>
      <c r="G212" s="35"/>
      <c r="H212" s="35"/>
    </row>
    <row r="213">
      <c r="A213" s="35"/>
      <c r="B213" s="35"/>
      <c r="C213" s="35"/>
      <c r="D213" s="35"/>
      <c r="E213" s="35"/>
      <c r="F213" s="35"/>
      <c r="G213" s="35"/>
      <c r="H213" s="35"/>
    </row>
    <row r="214">
      <c r="A214" s="35"/>
      <c r="B214" s="35"/>
      <c r="C214" s="35"/>
      <c r="D214" s="35"/>
      <c r="E214" s="35"/>
      <c r="F214" s="35"/>
      <c r="G214" s="35"/>
      <c r="H214" s="35"/>
    </row>
    <row r="215">
      <c r="A215" s="35"/>
      <c r="B215" s="35"/>
      <c r="C215" s="35"/>
      <c r="D215" s="35"/>
      <c r="E215" s="35"/>
      <c r="F215" s="35"/>
      <c r="G215" s="35"/>
      <c r="H215" s="35"/>
    </row>
    <row r="216">
      <c r="A216" s="35"/>
      <c r="B216" s="35"/>
      <c r="C216" s="35"/>
      <c r="D216" s="35"/>
      <c r="E216" s="35"/>
      <c r="F216" s="35"/>
      <c r="G216" s="35"/>
      <c r="H216" s="35"/>
    </row>
    <row r="217">
      <c r="A217" s="35"/>
      <c r="B217" s="35"/>
      <c r="C217" s="35"/>
      <c r="D217" s="35"/>
      <c r="E217" s="35"/>
      <c r="F217" s="35"/>
      <c r="G217" s="35"/>
      <c r="H217" s="35"/>
    </row>
    <row r="218">
      <c r="A218" s="35"/>
      <c r="B218" s="35"/>
      <c r="C218" s="35"/>
      <c r="D218" s="35"/>
      <c r="E218" s="35"/>
      <c r="F218" s="35"/>
      <c r="G218" s="35"/>
      <c r="H218" s="35"/>
    </row>
    <row r="219">
      <c r="A219" s="35"/>
      <c r="B219" s="35"/>
      <c r="C219" s="35"/>
      <c r="D219" s="35"/>
      <c r="E219" s="35"/>
      <c r="F219" s="35"/>
      <c r="G219" s="35"/>
      <c r="H219" s="35"/>
    </row>
    <row r="220">
      <c r="A220" s="35"/>
      <c r="B220" s="35"/>
      <c r="C220" s="35"/>
      <c r="D220" s="35"/>
      <c r="E220" s="35"/>
      <c r="F220" s="35"/>
      <c r="G220" s="35"/>
      <c r="H220" s="35"/>
    </row>
    <row r="221">
      <c r="A221" s="35"/>
      <c r="B221" s="35"/>
      <c r="C221" s="35"/>
      <c r="D221" s="35"/>
      <c r="E221" s="35"/>
      <c r="F221" s="35"/>
      <c r="G221" s="35"/>
      <c r="H221" s="35"/>
    </row>
    <row r="222">
      <c r="A222" s="35"/>
      <c r="B222" s="35"/>
      <c r="C222" s="35"/>
      <c r="D222" s="35"/>
      <c r="E222" s="35"/>
      <c r="F222" s="35"/>
      <c r="G222" s="35"/>
      <c r="H222" s="35"/>
    </row>
    <row r="223">
      <c r="A223" s="35"/>
      <c r="B223" s="35"/>
      <c r="C223" s="35"/>
      <c r="D223" s="35"/>
      <c r="E223" s="35"/>
      <c r="F223" s="35"/>
      <c r="G223" s="35"/>
      <c r="H223" s="35"/>
    </row>
    <row r="224">
      <c r="A224" s="35"/>
      <c r="B224" s="35"/>
      <c r="C224" s="35"/>
      <c r="D224" s="35"/>
      <c r="E224" s="35"/>
      <c r="F224" s="35"/>
      <c r="G224" s="35"/>
      <c r="H224" s="35"/>
    </row>
    <row r="225">
      <c r="A225" s="35"/>
      <c r="B225" s="35"/>
      <c r="C225" s="35"/>
      <c r="D225" s="35"/>
      <c r="E225" s="35"/>
      <c r="F225" s="35"/>
      <c r="G225" s="35"/>
      <c r="H225" s="35"/>
    </row>
    <row r="226">
      <c r="A226" s="35"/>
      <c r="B226" s="35"/>
      <c r="C226" s="35"/>
      <c r="D226" s="35"/>
      <c r="E226" s="35"/>
      <c r="F226" s="35"/>
      <c r="G226" s="35"/>
      <c r="H226" s="35"/>
    </row>
    <row r="227">
      <c r="A227" s="35"/>
      <c r="B227" s="35"/>
      <c r="C227" s="35"/>
      <c r="D227" s="35"/>
      <c r="E227" s="35"/>
      <c r="F227" s="35"/>
      <c r="G227" s="35"/>
      <c r="H227" s="35"/>
    </row>
    <row r="228">
      <c r="A228" s="35"/>
      <c r="B228" s="35"/>
      <c r="C228" s="35"/>
      <c r="D228" s="35"/>
      <c r="E228" s="35"/>
      <c r="F228" s="35"/>
      <c r="G228" s="35"/>
      <c r="H228" s="35"/>
    </row>
    <row r="229">
      <c r="A229" s="35"/>
      <c r="B229" s="35"/>
      <c r="C229" s="35"/>
      <c r="D229" s="35"/>
      <c r="E229" s="35"/>
      <c r="F229" s="35"/>
      <c r="G229" s="35"/>
      <c r="H229" s="35"/>
    </row>
    <row r="230">
      <c r="A230" s="35"/>
      <c r="B230" s="35"/>
      <c r="C230" s="35"/>
      <c r="D230" s="35"/>
      <c r="E230" s="35"/>
      <c r="F230" s="35"/>
      <c r="G230" s="35"/>
      <c r="H230" s="35"/>
    </row>
    <row r="231">
      <c r="A231" s="35"/>
      <c r="B231" s="35"/>
      <c r="C231" s="35"/>
      <c r="D231" s="35"/>
      <c r="E231" s="35"/>
      <c r="F231" s="35"/>
      <c r="G231" s="35"/>
      <c r="H231" s="35"/>
    </row>
    <row r="232">
      <c r="A232" s="35"/>
      <c r="B232" s="35"/>
      <c r="C232" s="35"/>
      <c r="D232" s="35"/>
      <c r="E232" s="35"/>
      <c r="F232" s="35"/>
      <c r="G232" s="35"/>
      <c r="H232" s="35"/>
    </row>
    <row r="233">
      <c r="A233" s="35"/>
      <c r="B233" s="35"/>
      <c r="C233" s="35"/>
      <c r="D233" s="35"/>
      <c r="E233" s="35"/>
      <c r="F233" s="35"/>
      <c r="G233" s="35"/>
      <c r="H233" s="35"/>
    </row>
    <row r="234">
      <c r="A234" s="35"/>
      <c r="B234" s="35"/>
      <c r="C234" s="35"/>
      <c r="D234" s="35"/>
      <c r="E234" s="35"/>
      <c r="F234" s="35"/>
      <c r="G234" s="35"/>
      <c r="H234" s="35"/>
    </row>
    <row r="235">
      <c r="A235" s="35"/>
      <c r="B235" s="35"/>
      <c r="C235" s="35"/>
      <c r="D235" s="35"/>
      <c r="E235" s="35"/>
      <c r="F235" s="35"/>
      <c r="G235" s="35"/>
      <c r="H235" s="35"/>
    </row>
    <row r="236">
      <c r="A236" s="35"/>
      <c r="B236" s="35"/>
      <c r="C236" s="35"/>
      <c r="D236" s="35"/>
      <c r="E236" s="35"/>
      <c r="F236" s="35"/>
      <c r="G236" s="35"/>
      <c r="H236" s="35"/>
    </row>
    <row r="237">
      <c r="A237" s="35"/>
      <c r="B237" s="35"/>
      <c r="C237" s="35"/>
      <c r="D237" s="35"/>
      <c r="E237" s="35"/>
      <c r="F237" s="35"/>
      <c r="G237" s="35"/>
      <c r="H237" s="35"/>
    </row>
    <row r="238">
      <c r="A238" s="35"/>
      <c r="B238" s="35"/>
      <c r="C238" s="35"/>
      <c r="D238" s="35"/>
      <c r="E238" s="35"/>
      <c r="F238" s="35"/>
      <c r="G238" s="35"/>
      <c r="H238" s="35"/>
    </row>
    <row r="239">
      <c r="A239" s="35"/>
      <c r="B239" s="35"/>
      <c r="C239" s="35"/>
      <c r="D239" s="35"/>
      <c r="E239" s="35"/>
      <c r="F239" s="35"/>
      <c r="G239" s="35"/>
      <c r="H239" s="35"/>
    </row>
    <row r="240">
      <c r="A240" s="35"/>
      <c r="B240" s="35"/>
      <c r="C240" s="35"/>
      <c r="D240" s="35"/>
      <c r="E240" s="35"/>
      <c r="F240" s="35"/>
      <c r="G240" s="35"/>
      <c r="H240" s="35"/>
    </row>
    <row r="241">
      <c r="A241" s="35"/>
      <c r="B241" s="35"/>
      <c r="C241" s="35"/>
      <c r="D241" s="35"/>
      <c r="E241" s="35"/>
      <c r="F241" s="35"/>
      <c r="G241" s="35"/>
      <c r="H241" s="35"/>
    </row>
    <row r="242">
      <c r="A242" s="35"/>
      <c r="B242" s="35"/>
      <c r="C242" s="35"/>
      <c r="D242" s="35"/>
      <c r="E242" s="35"/>
      <c r="F242" s="35"/>
      <c r="G242" s="35"/>
      <c r="H242" s="35"/>
    </row>
    <row r="243">
      <c r="A243" s="35"/>
      <c r="B243" s="35"/>
      <c r="C243" s="35"/>
      <c r="D243" s="35"/>
      <c r="E243" s="35"/>
      <c r="F243" s="35"/>
      <c r="G243" s="35"/>
      <c r="H243" s="35"/>
    </row>
    <row r="244">
      <c r="A244" s="35"/>
      <c r="B244" s="35"/>
      <c r="C244" s="35"/>
      <c r="D244" s="35"/>
      <c r="E244" s="35"/>
      <c r="F244" s="35"/>
      <c r="G244" s="35"/>
      <c r="H244" s="35"/>
    </row>
    <row r="245">
      <c r="A245" s="35"/>
      <c r="B245" s="35"/>
      <c r="C245" s="35"/>
      <c r="D245" s="35"/>
      <c r="E245" s="35"/>
      <c r="F245" s="35"/>
      <c r="G245" s="35"/>
      <c r="H245" s="35"/>
    </row>
    <row r="246">
      <c r="A246" s="35"/>
      <c r="B246" s="35"/>
      <c r="C246" s="35"/>
      <c r="D246" s="35"/>
      <c r="E246" s="35"/>
      <c r="F246" s="35"/>
      <c r="G246" s="35"/>
      <c r="H246" s="35"/>
    </row>
    <row r="247">
      <c r="A247" s="35"/>
      <c r="B247" s="35"/>
      <c r="C247" s="35"/>
      <c r="D247" s="35"/>
      <c r="E247" s="35"/>
      <c r="F247" s="35"/>
      <c r="G247" s="35"/>
      <c r="H247" s="35"/>
    </row>
    <row r="248">
      <c r="A248" s="35"/>
      <c r="B248" s="35"/>
      <c r="C248" s="35"/>
      <c r="D248" s="35"/>
      <c r="E248" s="35"/>
      <c r="F248" s="35"/>
      <c r="G248" s="35"/>
      <c r="H248" s="35"/>
    </row>
    <row r="249">
      <c r="A249" s="35"/>
      <c r="B249" s="35"/>
      <c r="C249" s="35"/>
      <c r="D249" s="35"/>
      <c r="E249" s="35"/>
      <c r="F249" s="35"/>
      <c r="G249" s="35"/>
      <c r="H249" s="35"/>
    </row>
    <row r="250">
      <c r="A250" s="35"/>
      <c r="B250" s="35"/>
      <c r="C250" s="35"/>
      <c r="D250" s="35"/>
      <c r="E250" s="35"/>
      <c r="F250" s="35"/>
      <c r="G250" s="35"/>
      <c r="H250" s="35"/>
    </row>
    <row r="251">
      <c r="A251" s="35"/>
      <c r="B251" s="35"/>
      <c r="C251" s="35"/>
      <c r="D251" s="35"/>
      <c r="E251" s="35"/>
      <c r="F251" s="35"/>
      <c r="G251" s="35"/>
      <c r="H251" s="35"/>
    </row>
    <row r="252">
      <c r="A252" s="35"/>
      <c r="B252" s="35"/>
      <c r="C252" s="35"/>
      <c r="D252" s="35"/>
      <c r="E252" s="35"/>
      <c r="F252" s="35"/>
      <c r="G252" s="35"/>
      <c r="H252" s="35"/>
    </row>
    <row r="253">
      <c r="A253" s="35"/>
      <c r="B253" s="35"/>
      <c r="C253" s="35"/>
      <c r="D253" s="35"/>
      <c r="E253" s="35"/>
      <c r="F253" s="35"/>
      <c r="G253" s="35"/>
      <c r="H253" s="35"/>
    </row>
    <row r="254">
      <c r="A254" s="35"/>
      <c r="B254" s="35"/>
      <c r="C254" s="35"/>
      <c r="D254" s="35"/>
      <c r="E254" s="35"/>
      <c r="F254" s="35"/>
      <c r="G254" s="35"/>
      <c r="H254" s="35"/>
    </row>
    <row r="255">
      <c r="A255" s="35"/>
      <c r="B255" s="35"/>
      <c r="C255" s="35"/>
      <c r="D255" s="35"/>
      <c r="E255" s="35"/>
      <c r="F255" s="35"/>
      <c r="G255" s="35"/>
      <c r="H255" s="35"/>
    </row>
    <row r="256">
      <c r="A256" s="35"/>
      <c r="B256" s="35"/>
      <c r="C256" s="35"/>
      <c r="D256" s="35"/>
      <c r="E256" s="35"/>
      <c r="F256" s="35"/>
      <c r="G256" s="35"/>
      <c r="H256" s="35"/>
    </row>
    <row r="257">
      <c r="A257" s="35"/>
      <c r="B257" s="35"/>
      <c r="C257" s="35"/>
      <c r="D257" s="35"/>
      <c r="E257" s="35"/>
      <c r="F257" s="35"/>
      <c r="G257" s="35"/>
      <c r="H257" s="35"/>
    </row>
    <row r="258">
      <c r="A258" s="35"/>
      <c r="B258" s="35"/>
      <c r="C258" s="35"/>
      <c r="D258" s="35"/>
      <c r="E258" s="35"/>
      <c r="F258" s="35"/>
      <c r="G258" s="35"/>
      <c r="H258" s="35"/>
    </row>
    <row r="259">
      <c r="A259" s="35"/>
      <c r="B259" s="35"/>
      <c r="C259" s="35"/>
      <c r="D259" s="35"/>
      <c r="E259" s="35"/>
      <c r="F259" s="35"/>
      <c r="G259" s="35"/>
      <c r="H259" s="35"/>
    </row>
    <row r="260">
      <c r="A260" s="35"/>
      <c r="B260" s="35"/>
      <c r="C260" s="35"/>
      <c r="D260" s="35"/>
      <c r="E260" s="35"/>
      <c r="F260" s="35"/>
      <c r="G260" s="35"/>
      <c r="H260" s="35"/>
    </row>
    <row r="261">
      <c r="A261" s="35"/>
      <c r="B261" s="35"/>
      <c r="C261" s="35"/>
      <c r="D261" s="35"/>
      <c r="E261" s="35"/>
      <c r="F261" s="35"/>
      <c r="G261" s="35"/>
      <c r="H261" s="35"/>
    </row>
    <row r="262">
      <c r="A262" s="35"/>
      <c r="B262" s="35"/>
      <c r="C262" s="35"/>
      <c r="D262" s="35"/>
      <c r="E262" s="35"/>
      <c r="F262" s="35"/>
      <c r="G262" s="35"/>
      <c r="H262" s="35"/>
    </row>
    <row r="263">
      <c r="A263" s="35"/>
      <c r="B263" s="35"/>
      <c r="C263" s="35"/>
      <c r="D263" s="35"/>
      <c r="E263" s="35"/>
      <c r="F263" s="35"/>
      <c r="G263" s="35"/>
      <c r="H263" s="35"/>
    </row>
    <row r="264">
      <c r="A264" s="35"/>
      <c r="B264" s="35"/>
      <c r="C264" s="35"/>
      <c r="D264" s="35"/>
      <c r="E264" s="35"/>
      <c r="F264" s="35"/>
      <c r="G264" s="35"/>
      <c r="H264" s="35"/>
    </row>
    <row r="265">
      <c r="A265" s="35"/>
      <c r="B265" s="35"/>
      <c r="C265" s="35"/>
      <c r="D265" s="35"/>
      <c r="E265" s="35"/>
      <c r="F265" s="35"/>
      <c r="G265" s="35"/>
      <c r="H265" s="35"/>
    </row>
    <row r="266">
      <c r="A266" s="35"/>
      <c r="B266" s="35"/>
      <c r="C266" s="35"/>
      <c r="D266" s="35"/>
      <c r="E266" s="35"/>
      <c r="F266" s="35"/>
      <c r="G266" s="35"/>
      <c r="H266" s="35"/>
    </row>
    <row r="267">
      <c r="A267" s="35"/>
      <c r="B267" s="35"/>
      <c r="C267" s="35"/>
      <c r="D267" s="35"/>
      <c r="E267" s="35"/>
      <c r="F267" s="35"/>
      <c r="G267" s="35"/>
      <c r="H267" s="35"/>
    </row>
    <row r="268">
      <c r="A268" s="35"/>
      <c r="B268" s="35"/>
      <c r="C268" s="35"/>
      <c r="D268" s="35"/>
      <c r="E268" s="35"/>
      <c r="F268" s="35"/>
      <c r="G268" s="35"/>
      <c r="H268" s="35"/>
    </row>
    <row r="269">
      <c r="A269" s="35"/>
      <c r="B269" s="35"/>
      <c r="C269" s="35"/>
      <c r="D269" s="35"/>
      <c r="E269" s="35"/>
      <c r="F269" s="35"/>
      <c r="G269" s="35"/>
      <c r="H269" s="35"/>
    </row>
    <row r="270">
      <c r="A270" s="35"/>
      <c r="B270" s="35"/>
      <c r="C270" s="35"/>
      <c r="D270" s="35"/>
      <c r="E270" s="35"/>
      <c r="F270" s="35"/>
      <c r="G270" s="35"/>
      <c r="H270" s="35"/>
    </row>
    <row r="271">
      <c r="A271" s="35"/>
      <c r="B271" s="35"/>
      <c r="C271" s="35"/>
      <c r="D271" s="35"/>
      <c r="E271" s="35"/>
      <c r="F271" s="35"/>
      <c r="G271" s="35"/>
      <c r="H271" s="35"/>
    </row>
    <row r="272">
      <c r="A272" s="35"/>
      <c r="B272" s="35"/>
      <c r="C272" s="35"/>
      <c r="D272" s="35"/>
      <c r="E272" s="35"/>
      <c r="F272" s="35"/>
      <c r="G272" s="35"/>
      <c r="H272" s="35"/>
    </row>
    <row r="273">
      <c r="A273" s="35"/>
      <c r="B273" s="35"/>
      <c r="C273" s="35"/>
      <c r="D273" s="35"/>
      <c r="E273" s="35"/>
      <c r="F273" s="35"/>
      <c r="G273" s="35"/>
      <c r="H273" s="35"/>
    </row>
    <row r="274">
      <c r="A274" s="35"/>
      <c r="B274" s="35"/>
      <c r="C274" s="35"/>
      <c r="D274" s="35"/>
      <c r="E274" s="35"/>
      <c r="F274" s="35"/>
      <c r="G274" s="35"/>
      <c r="H274" s="35"/>
    </row>
    <row r="275">
      <c r="A275" s="35"/>
      <c r="B275" s="35"/>
      <c r="C275" s="35"/>
      <c r="D275" s="35"/>
      <c r="E275" s="35"/>
      <c r="F275" s="35"/>
      <c r="G275" s="35"/>
      <c r="H275" s="35"/>
    </row>
    <row r="276">
      <c r="A276" s="35"/>
      <c r="B276" s="35"/>
      <c r="C276" s="35"/>
      <c r="D276" s="35"/>
      <c r="E276" s="35"/>
      <c r="F276" s="35"/>
      <c r="G276" s="35"/>
      <c r="H276" s="35"/>
    </row>
    <row r="277">
      <c r="A277" s="35"/>
      <c r="B277" s="35"/>
      <c r="C277" s="35"/>
      <c r="D277" s="35"/>
      <c r="E277" s="35"/>
      <c r="F277" s="35"/>
      <c r="G277" s="35"/>
      <c r="H277" s="35"/>
    </row>
    <row r="278">
      <c r="A278" s="35"/>
      <c r="B278" s="35"/>
      <c r="C278" s="35"/>
      <c r="D278" s="35"/>
      <c r="E278" s="35"/>
      <c r="F278" s="35"/>
      <c r="G278" s="35"/>
      <c r="H278" s="35"/>
    </row>
    <row r="279">
      <c r="A279" s="35"/>
      <c r="B279" s="35"/>
      <c r="C279" s="35"/>
      <c r="D279" s="35"/>
      <c r="E279" s="35"/>
      <c r="F279" s="35"/>
      <c r="G279" s="35"/>
      <c r="H279" s="35"/>
    </row>
    <row r="280">
      <c r="A280" s="35"/>
      <c r="B280" s="35"/>
      <c r="C280" s="35"/>
      <c r="D280" s="35"/>
      <c r="E280" s="35"/>
      <c r="F280" s="35"/>
      <c r="G280" s="35"/>
      <c r="H280" s="35"/>
    </row>
    <row r="281">
      <c r="A281" s="35"/>
      <c r="B281" s="35"/>
      <c r="C281" s="35"/>
      <c r="D281" s="35"/>
      <c r="E281" s="35"/>
      <c r="F281" s="35"/>
      <c r="G281" s="35"/>
      <c r="H281" s="35"/>
    </row>
    <row r="282">
      <c r="A282" s="35"/>
      <c r="B282" s="35"/>
      <c r="C282" s="35"/>
      <c r="D282" s="35"/>
      <c r="E282" s="35"/>
      <c r="F282" s="35"/>
      <c r="G282" s="35"/>
      <c r="H282" s="35"/>
    </row>
    <row r="283">
      <c r="A283" s="35"/>
      <c r="B283" s="35"/>
      <c r="C283" s="35"/>
      <c r="D283" s="35"/>
      <c r="E283" s="35"/>
      <c r="F283" s="35"/>
      <c r="G283" s="35"/>
      <c r="H283" s="35"/>
    </row>
    <row r="284">
      <c r="A284" s="35"/>
      <c r="B284" s="35"/>
      <c r="C284" s="35"/>
      <c r="D284" s="35"/>
      <c r="E284" s="35"/>
      <c r="F284" s="35"/>
      <c r="G284" s="35"/>
      <c r="H284" s="35"/>
    </row>
    <row r="285">
      <c r="A285" s="35"/>
      <c r="B285" s="35"/>
      <c r="C285" s="35"/>
      <c r="D285" s="35"/>
      <c r="E285" s="35"/>
      <c r="F285" s="35"/>
      <c r="G285" s="35"/>
      <c r="H285" s="35"/>
    </row>
    <row r="286">
      <c r="A286" s="35"/>
      <c r="B286" s="35"/>
      <c r="C286" s="35"/>
      <c r="D286" s="35"/>
      <c r="E286" s="35"/>
      <c r="F286" s="35"/>
      <c r="G286" s="35"/>
      <c r="H286" s="35"/>
    </row>
    <row r="287">
      <c r="A287" s="35"/>
      <c r="B287" s="35"/>
      <c r="C287" s="35"/>
      <c r="D287" s="35"/>
      <c r="E287" s="35"/>
      <c r="F287" s="35"/>
      <c r="G287" s="35"/>
      <c r="H287" s="35"/>
    </row>
    <row r="288">
      <c r="A288" s="35"/>
      <c r="B288" s="35"/>
      <c r="C288" s="35"/>
      <c r="D288" s="35"/>
      <c r="E288" s="35"/>
      <c r="F288" s="35"/>
      <c r="G288" s="35"/>
      <c r="H288" s="35"/>
    </row>
    <row r="289">
      <c r="A289" s="35"/>
      <c r="B289" s="35"/>
      <c r="C289" s="35"/>
      <c r="D289" s="35"/>
      <c r="E289" s="35"/>
      <c r="F289" s="35"/>
      <c r="G289" s="35"/>
      <c r="H289" s="35"/>
    </row>
    <row r="290">
      <c r="A290" s="35"/>
      <c r="B290" s="35"/>
      <c r="C290" s="35"/>
      <c r="D290" s="35"/>
      <c r="E290" s="35"/>
      <c r="F290" s="35"/>
      <c r="G290" s="35"/>
      <c r="H290" s="35"/>
    </row>
    <row r="291">
      <c r="A291" s="35"/>
      <c r="B291" s="35"/>
      <c r="C291" s="35"/>
      <c r="D291" s="35"/>
      <c r="E291" s="35"/>
      <c r="F291" s="35"/>
      <c r="G291" s="35"/>
      <c r="H291" s="35"/>
    </row>
    <row r="292">
      <c r="A292" s="35"/>
      <c r="B292" s="35"/>
      <c r="C292" s="35"/>
      <c r="D292" s="35"/>
      <c r="E292" s="35"/>
      <c r="F292" s="35"/>
      <c r="G292" s="35"/>
      <c r="H292" s="35"/>
    </row>
    <row r="293">
      <c r="A293" s="35"/>
      <c r="B293" s="35"/>
      <c r="C293" s="35"/>
      <c r="D293" s="35"/>
      <c r="E293" s="35"/>
      <c r="F293" s="35"/>
      <c r="G293" s="35"/>
      <c r="H293" s="35"/>
    </row>
    <row r="294">
      <c r="A294" s="35"/>
      <c r="B294" s="35"/>
      <c r="C294" s="35"/>
      <c r="D294" s="35"/>
      <c r="E294" s="35"/>
      <c r="F294" s="35"/>
      <c r="G294" s="35"/>
      <c r="H294" s="35"/>
    </row>
    <row r="295">
      <c r="A295" s="35"/>
      <c r="B295" s="35"/>
      <c r="C295" s="35"/>
      <c r="D295" s="35"/>
      <c r="E295" s="35"/>
      <c r="F295" s="35"/>
      <c r="G295" s="35"/>
      <c r="H295" s="35"/>
    </row>
    <row r="296">
      <c r="A296" s="35"/>
      <c r="B296" s="35"/>
      <c r="C296" s="35"/>
      <c r="D296" s="35"/>
      <c r="E296" s="35"/>
      <c r="F296" s="35"/>
      <c r="G296" s="35"/>
      <c r="H296" s="35"/>
    </row>
    <row r="297">
      <c r="A297" s="35"/>
      <c r="B297" s="35"/>
      <c r="C297" s="35"/>
      <c r="D297" s="35"/>
      <c r="E297" s="35"/>
      <c r="F297" s="35"/>
      <c r="G297" s="35"/>
      <c r="H297" s="35"/>
    </row>
    <row r="298">
      <c r="A298" s="35"/>
      <c r="B298" s="35"/>
      <c r="C298" s="35"/>
      <c r="D298" s="35"/>
      <c r="E298" s="35"/>
      <c r="F298" s="35"/>
      <c r="G298" s="35"/>
      <c r="H298" s="35"/>
    </row>
    <row r="299">
      <c r="A299" s="35"/>
      <c r="B299" s="35"/>
      <c r="C299" s="35"/>
      <c r="D299" s="35"/>
      <c r="E299" s="35"/>
      <c r="F299" s="35"/>
      <c r="G299" s="35"/>
      <c r="H299" s="35"/>
    </row>
    <row r="300">
      <c r="A300" s="35"/>
      <c r="B300" s="35"/>
      <c r="C300" s="35"/>
      <c r="D300" s="35"/>
      <c r="E300" s="35"/>
      <c r="F300" s="35"/>
      <c r="G300" s="35"/>
      <c r="H300" s="35"/>
    </row>
    <row r="301">
      <c r="A301" s="35"/>
      <c r="B301" s="35"/>
      <c r="C301" s="35"/>
      <c r="D301" s="35"/>
      <c r="E301" s="35"/>
      <c r="F301" s="35"/>
      <c r="G301" s="35"/>
      <c r="H301" s="35"/>
    </row>
    <row r="302">
      <c r="A302" s="35"/>
      <c r="B302" s="35"/>
      <c r="C302" s="35"/>
      <c r="D302" s="35"/>
      <c r="E302" s="35"/>
      <c r="F302" s="35"/>
      <c r="G302" s="35"/>
      <c r="H302" s="35"/>
    </row>
    <row r="303">
      <c r="A303" s="35"/>
      <c r="B303" s="35"/>
      <c r="C303" s="35"/>
      <c r="D303" s="35"/>
      <c r="E303" s="35"/>
      <c r="F303" s="35"/>
      <c r="G303" s="35"/>
      <c r="H303" s="35"/>
    </row>
    <row r="304">
      <c r="A304" s="35"/>
      <c r="B304" s="35"/>
      <c r="C304" s="35"/>
      <c r="D304" s="35"/>
      <c r="E304" s="35"/>
      <c r="F304" s="35"/>
      <c r="G304" s="35"/>
      <c r="H304" s="35"/>
    </row>
    <row r="305">
      <c r="A305" s="35"/>
      <c r="B305" s="35"/>
      <c r="C305" s="35"/>
      <c r="D305" s="35"/>
      <c r="E305" s="35"/>
      <c r="F305" s="35"/>
      <c r="G305" s="35"/>
      <c r="H305" s="35"/>
    </row>
    <row r="306">
      <c r="A306" s="35"/>
      <c r="B306" s="35"/>
      <c r="C306" s="35"/>
      <c r="D306" s="35"/>
      <c r="E306" s="35"/>
      <c r="F306" s="35"/>
      <c r="G306" s="35"/>
      <c r="H306" s="35"/>
    </row>
    <row r="307">
      <c r="A307" s="35"/>
      <c r="B307" s="35"/>
      <c r="C307" s="35"/>
      <c r="D307" s="35"/>
      <c r="E307" s="35"/>
      <c r="F307" s="35"/>
      <c r="G307" s="35"/>
      <c r="H307" s="35"/>
    </row>
    <row r="308">
      <c r="A308" s="35"/>
      <c r="B308" s="35"/>
      <c r="C308" s="35"/>
      <c r="D308" s="35"/>
      <c r="E308" s="35"/>
      <c r="F308" s="35"/>
      <c r="G308" s="35"/>
      <c r="H308" s="35"/>
    </row>
    <row r="309">
      <c r="A309" s="35"/>
      <c r="B309" s="35"/>
      <c r="C309" s="35"/>
      <c r="D309" s="35"/>
      <c r="E309" s="35"/>
      <c r="F309" s="35"/>
      <c r="G309" s="35"/>
      <c r="H309" s="35"/>
    </row>
    <row r="310">
      <c r="A310" s="35"/>
      <c r="B310" s="35"/>
      <c r="C310" s="35"/>
      <c r="D310" s="35"/>
      <c r="E310" s="35"/>
      <c r="F310" s="35"/>
      <c r="G310" s="35"/>
      <c r="H310" s="35"/>
    </row>
    <row r="311">
      <c r="A311" s="35"/>
      <c r="B311" s="35"/>
      <c r="C311" s="35"/>
      <c r="D311" s="35"/>
      <c r="E311" s="35"/>
      <c r="F311" s="35"/>
      <c r="G311" s="35"/>
      <c r="H311" s="35"/>
    </row>
    <row r="312">
      <c r="A312" s="35"/>
      <c r="B312" s="35"/>
      <c r="C312" s="35"/>
      <c r="D312" s="35"/>
      <c r="E312" s="35"/>
      <c r="F312" s="35"/>
      <c r="G312" s="35"/>
      <c r="H312" s="35"/>
    </row>
    <row r="313">
      <c r="A313" s="35"/>
      <c r="B313" s="35"/>
      <c r="C313" s="35"/>
      <c r="D313" s="35"/>
      <c r="E313" s="35"/>
      <c r="F313" s="35"/>
      <c r="G313" s="35"/>
      <c r="H313" s="35"/>
    </row>
    <row r="314">
      <c r="A314" s="35"/>
      <c r="B314" s="35"/>
      <c r="C314" s="35"/>
      <c r="D314" s="35"/>
      <c r="E314" s="35"/>
      <c r="F314" s="35"/>
      <c r="G314" s="35"/>
      <c r="H314" s="35"/>
    </row>
    <row r="315">
      <c r="A315" s="35"/>
      <c r="B315" s="35"/>
      <c r="C315" s="35"/>
      <c r="D315" s="35"/>
      <c r="E315" s="35"/>
      <c r="F315" s="35"/>
      <c r="G315" s="35"/>
      <c r="H315" s="35"/>
    </row>
    <row r="316">
      <c r="A316" s="35"/>
      <c r="B316" s="35"/>
      <c r="C316" s="35"/>
      <c r="D316" s="35"/>
      <c r="E316" s="35"/>
      <c r="F316" s="35"/>
      <c r="G316" s="35"/>
      <c r="H316" s="35"/>
    </row>
    <row r="317">
      <c r="A317" s="35"/>
      <c r="B317" s="35"/>
      <c r="C317" s="35"/>
      <c r="D317" s="35"/>
      <c r="E317" s="35"/>
      <c r="F317" s="35"/>
      <c r="G317" s="35"/>
      <c r="H317" s="35"/>
    </row>
    <row r="318">
      <c r="A318" s="35"/>
      <c r="B318" s="35"/>
      <c r="C318" s="35"/>
      <c r="D318" s="35"/>
      <c r="E318" s="35"/>
      <c r="F318" s="35"/>
      <c r="G318" s="35"/>
      <c r="H318" s="35"/>
    </row>
    <row r="319">
      <c r="A319" s="35"/>
      <c r="B319" s="35"/>
      <c r="C319" s="35"/>
      <c r="D319" s="35"/>
      <c r="E319" s="35"/>
      <c r="F319" s="35"/>
      <c r="G319" s="35"/>
      <c r="H319" s="35"/>
    </row>
    <row r="320">
      <c r="A320" s="35"/>
      <c r="B320" s="35"/>
      <c r="C320" s="35"/>
      <c r="D320" s="35"/>
      <c r="E320" s="35"/>
      <c r="F320" s="35"/>
      <c r="G320" s="35"/>
      <c r="H320" s="35"/>
    </row>
    <row r="321">
      <c r="A321" s="35"/>
      <c r="B321" s="35"/>
      <c r="C321" s="35"/>
      <c r="D321" s="35"/>
      <c r="E321" s="35"/>
      <c r="F321" s="35"/>
      <c r="G321" s="35"/>
      <c r="H321" s="35"/>
    </row>
    <row r="322">
      <c r="A322" s="35"/>
      <c r="B322" s="35"/>
      <c r="C322" s="35"/>
      <c r="D322" s="35"/>
      <c r="E322" s="35"/>
      <c r="F322" s="35"/>
      <c r="G322" s="35"/>
      <c r="H322" s="35"/>
    </row>
    <row r="323">
      <c r="A323" s="35"/>
      <c r="B323" s="35"/>
      <c r="C323" s="35"/>
      <c r="D323" s="35"/>
      <c r="E323" s="35"/>
      <c r="F323" s="35"/>
      <c r="G323" s="35"/>
      <c r="H323" s="35"/>
    </row>
    <row r="324">
      <c r="A324" s="35"/>
      <c r="B324" s="35"/>
      <c r="C324" s="35"/>
      <c r="D324" s="35"/>
      <c r="E324" s="35"/>
      <c r="F324" s="35"/>
      <c r="G324" s="35"/>
      <c r="H324" s="35"/>
    </row>
    <row r="325">
      <c r="A325" s="35"/>
      <c r="B325" s="35"/>
      <c r="C325" s="35"/>
      <c r="D325" s="35"/>
      <c r="E325" s="35"/>
      <c r="F325" s="35"/>
      <c r="G325" s="35"/>
      <c r="H325" s="35"/>
    </row>
    <row r="326">
      <c r="A326" s="35"/>
      <c r="B326" s="35"/>
      <c r="C326" s="35"/>
      <c r="D326" s="35"/>
      <c r="E326" s="35"/>
      <c r="F326" s="35"/>
      <c r="G326" s="35"/>
      <c r="H326" s="35"/>
    </row>
    <row r="327">
      <c r="A327" s="35"/>
      <c r="B327" s="35"/>
      <c r="C327" s="35"/>
      <c r="D327" s="35"/>
      <c r="E327" s="35"/>
      <c r="F327" s="35"/>
      <c r="G327" s="35"/>
      <c r="H327" s="35"/>
    </row>
    <row r="328">
      <c r="A328" s="35"/>
      <c r="B328" s="35"/>
      <c r="C328" s="35"/>
      <c r="D328" s="35"/>
      <c r="E328" s="35"/>
      <c r="F328" s="35"/>
      <c r="G328" s="35"/>
      <c r="H328" s="35"/>
    </row>
    <row r="329">
      <c r="A329" s="35"/>
      <c r="B329" s="35"/>
      <c r="C329" s="35"/>
      <c r="D329" s="35"/>
      <c r="E329" s="35"/>
      <c r="F329" s="35"/>
      <c r="G329" s="35"/>
      <c r="H329" s="35"/>
    </row>
    <row r="330">
      <c r="A330" s="35"/>
      <c r="B330" s="35"/>
      <c r="C330" s="35"/>
      <c r="D330" s="35"/>
      <c r="E330" s="35"/>
      <c r="F330" s="35"/>
      <c r="G330" s="35"/>
      <c r="H330" s="35"/>
    </row>
    <row r="331">
      <c r="A331" s="35"/>
      <c r="B331" s="35"/>
      <c r="C331" s="35"/>
      <c r="D331" s="35"/>
      <c r="E331" s="35"/>
      <c r="F331" s="35"/>
      <c r="G331" s="35"/>
      <c r="H331" s="35"/>
    </row>
    <row r="332">
      <c r="A332" s="35"/>
      <c r="B332" s="35"/>
      <c r="C332" s="35"/>
      <c r="D332" s="35"/>
      <c r="E332" s="35"/>
      <c r="F332" s="35"/>
      <c r="G332" s="35"/>
      <c r="H332" s="35"/>
    </row>
    <row r="333">
      <c r="A333" s="35"/>
      <c r="B333" s="35"/>
      <c r="C333" s="35"/>
      <c r="D333" s="35"/>
      <c r="E333" s="35"/>
      <c r="F333" s="35"/>
      <c r="G333" s="35"/>
      <c r="H333" s="35"/>
    </row>
    <row r="334">
      <c r="A334" s="35"/>
      <c r="B334" s="35"/>
      <c r="C334" s="35"/>
      <c r="D334" s="35"/>
      <c r="E334" s="35"/>
      <c r="F334" s="35"/>
      <c r="G334" s="35"/>
      <c r="H334" s="35"/>
    </row>
    <row r="335">
      <c r="A335" s="35"/>
      <c r="B335" s="35"/>
      <c r="C335" s="35"/>
      <c r="D335" s="35"/>
      <c r="E335" s="35"/>
      <c r="F335" s="35"/>
      <c r="G335" s="35"/>
      <c r="H335" s="35"/>
    </row>
    <row r="336">
      <c r="A336" s="35"/>
      <c r="B336" s="35"/>
      <c r="C336" s="35"/>
      <c r="D336" s="35"/>
      <c r="E336" s="35"/>
      <c r="F336" s="35"/>
      <c r="G336" s="35"/>
      <c r="H336" s="35"/>
    </row>
    <row r="337">
      <c r="A337" s="35"/>
      <c r="B337" s="35"/>
      <c r="C337" s="35"/>
      <c r="D337" s="35"/>
      <c r="E337" s="35"/>
      <c r="F337" s="35"/>
      <c r="G337" s="35"/>
      <c r="H337" s="35"/>
    </row>
    <row r="338">
      <c r="A338" s="35"/>
      <c r="B338" s="35"/>
      <c r="C338" s="35"/>
      <c r="D338" s="35"/>
      <c r="E338" s="35"/>
      <c r="F338" s="35"/>
      <c r="G338" s="35"/>
      <c r="H338" s="35"/>
    </row>
    <row r="339">
      <c r="A339" s="35"/>
      <c r="B339" s="35"/>
      <c r="C339" s="35"/>
      <c r="D339" s="35"/>
      <c r="E339" s="35"/>
      <c r="F339" s="35"/>
      <c r="G339" s="35"/>
      <c r="H339" s="35"/>
    </row>
    <row r="340">
      <c r="A340" s="35"/>
      <c r="B340" s="35"/>
      <c r="C340" s="35"/>
      <c r="D340" s="35"/>
      <c r="E340" s="35"/>
      <c r="F340" s="35"/>
      <c r="G340" s="35"/>
      <c r="H340" s="35"/>
    </row>
    <row r="341">
      <c r="A341" s="35"/>
      <c r="B341" s="35"/>
      <c r="C341" s="35"/>
      <c r="D341" s="35"/>
      <c r="E341" s="35"/>
      <c r="F341" s="35"/>
      <c r="G341" s="35"/>
      <c r="H341" s="35"/>
    </row>
    <row r="342">
      <c r="A342" s="35"/>
      <c r="B342" s="35"/>
      <c r="C342" s="35"/>
      <c r="D342" s="35"/>
      <c r="E342" s="35"/>
      <c r="F342" s="35"/>
      <c r="G342" s="35"/>
      <c r="H342" s="35"/>
    </row>
    <row r="343">
      <c r="A343" s="35"/>
      <c r="B343" s="35"/>
      <c r="C343" s="35"/>
      <c r="D343" s="35"/>
      <c r="E343" s="35"/>
      <c r="F343" s="35"/>
      <c r="G343" s="35"/>
      <c r="H343" s="35"/>
    </row>
    <row r="344">
      <c r="A344" s="35"/>
      <c r="B344" s="35"/>
      <c r="C344" s="35"/>
      <c r="D344" s="35"/>
      <c r="E344" s="35"/>
      <c r="F344" s="35"/>
      <c r="G344" s="35"/>
      <c r="H344" s="35"/>
    </row>
    <row r="345">
      <c r="A345" s="35"/>
      <c r="B345" s="35"/>
      <c r="C345" s="35"/>
      <c r="D345" s="35"/>
      <c r="E345" s="35"/>
      <c r="F345" s="35"/>
      <c r="G345" s="35"/>
      <c r="H345" s="35"/>
    </row>
    <row r="346">
      <c r="A346" s="35"/>
      <c r="B346" s="35"/>
      <c r="C346" s="35"/>
      <c r="D346" s="35"/>
      <c r="E346" s="35"/>
      <c r="F346" s="35"/>
      <c r="G346" s="35"/>
      <c r="H346" s="35"/>
    </row>
    <row r="347">
      <c r="A347" s="35"/>
      <c r="B347" s="35"/>
      <c r="C347" s="35"/>
      <c r="D347" s="35"/>
      <c r="E347" s="35"/>
      <c r="F347" s="35"/>
      <c r="G347" s="35"/>
      <c r="H347" s="35"/>
    </row>
    <row r="348">
      <c r="A348" s="35"/>
      <c r="B348" s="35"/>
      <c r="C348" s="35"/>
      <c r="D348" s="35"/>
      <c r="E348" s="35"/>
      <c r="F348" s="35"/>
      <c r="G348" s="35"/>
      <c r="H348" s="35"/>
    </row>
    <row r="349">
      <c r="A349" s="35"/>
      <c r="B349" s="35"/>
      <c r="C349" s="35"/>
      <c r="D349" s="35"/>
      <c r="E349" s="35"/>
      <c r="F349" s="35"/>
      <c r="G349" s="35"/>
      <c r="H349" s="35"/>
    </row>
    <row r="350">
      <c r="A350" s="35"/>
      <c r="B350" s="35"/>
      <c r="C350" s="35"/>
      <c r="D350" s="35"/>
      <c r="E350" s="35"/>
      <c r="F350" s="35"/>
      <c r="G350" s="35"/>
      <c r="H350" s="35"/>
    </row>
    <row r="351">
      <c r="A351" s="35"/>
      <c r="B351" s="35"/>
      <c r="C351" s="35"/>
      <c r="D351" s="35"/>
      <c r="E351" s="35"/>
      <c r="F351" s="35"/>
      <c r="G351" s="35"/>
      <c r="H351" s="35"/>
    </row>
    <row r="352">
      <c r="A352" s="35"/>
      <c r="B352" s="35"/>
      <c r="C352" s="35"/>
      <c r="D352" s="35"/>
      <c r="E352" s="35"/>
      <c r="F352" s="35"/>
      <c r="G352" s="35"/>
      <c r="H352" s="35"/>
    </row>
    <row r="353">
      <c r="A353" s="35"/>
      <c r="B353" s="35"/>
      <c r="C353" s="35"/>
      <c r="D353" s="35"/>
      <c r="E353" s="35"/>
      <c r="F353" s="35"/>
      <c r="G353" s="35"/>
      <c r="H353" s="35"/>
    </row>
    <row r="354">
      <c r="A354" s="35"/>
      <c r="B354" s="35"/>
      <c r="C354" s="35"/>
      <c r="D354" s="35"/>
      <c r="E354" s="35"/>
      <c r="F354" s="35"/>
      <c r="G354" s="35"/>
      <c r="H354" s="35"/>
    </row>
    <row r="355">
      <c r="A355" s="35"/>
      <c r="B355" s="35"/>
      <c r="C355" s="35"/>
      <c r="D355" s="35"/>
      <c r="E355" s="35"/>
      <c r="F355" s="35"/>
      <c r="G355" s="35"/>
      <c r="H355" s="35"/>
    </row>
    <row r="356">
      <c r="A356" s="35"/>
      <c r="B356" s="35"/>
      <c r="C356" s="35"/>
      <c r="D356" s="35"/>
      <c r="E356" s="35"/>
      <c r="F356" s="35"/>
      <c r="G356" s="35"/>
      <c r="H356" s="35"/>
    </row>
    <row r="357">
      <c r="A357" s="35"/>
      <c r="B357" s="35"/>
      <c r="C357" s="35"/>
      <c r="D357" s="35"/>
      <c r="E357" s="35"/>
      <c r="F357" s="35"/>
      <c r="G357" s="35"/>
      <c r="H357" s="35"/>
    </row>
    <row r="358">
      <c r="A358" s="35"/>
      <c r="B358" s="35"/>
      <c r="C358" s="35"/>
      <c r="D358" s="35"/>
      <c r="E358" s="35"/>
      <c r="F358" s="35"/>
      <c r="G358" s="35"/>
      <c r="H358" s="35"/>
    </row>
    <row r="359">
      <c r="A359" s="35"/>
      <c r="B359" s="35"/>
      <c r="C359" s="35"/>
      <c r="D359" s="35"/>
      <c r="E359" s="35"/>
      <c r="F359" s="35"/>
      <c r="G359" s="35"/>
      <c r="H359" s="35"/>
    </row>
    <row r="360">
      <c r="A360" s="35"/>
      <c r="B360" s="35"/>
      <c r="C360" s="35"/>
      <c r="D360" s="35"/>
      <c r="E360" s="35"/>
      <c r="F360" s="35"/>
      <c r="G360" s="35"/>
      <c r="H360" s="35"/>
    </row>
    <row r="361">
      <c r="A361" s="35"/>
      <c r="B361" s="35"/>
      <c r="C361" s="35"/>
      <c r="D361" s="35"/>
      <c r="E361" s="35"/>
      <c r="F361" s="35"/>
      <c r="G361" s="35"/>
      <c r="H361" s="35"/>
    </row>
    <row r="362">
      <c r="A362" s="35"/>
      <c r="B362" s="35"/>
      <c r="C362" s="35"/>
      <c r="D362" s="35"/>
      <c r="E362" s="35"/>
      <c r="F362" s="35"/>
      <c r="G362" s="35"/>
      <c r="H362" s="35"/>
    </row>
    <row r="363">
      <c r="A363" s="35"/>
      <c r="B363" s="35"/>
      <c r="C363" s="35"/>
      <c r="D363" s="35"/>
      <c r="E363" s="35"/>
      <c r="F363" s="35"/>
      <c r="G363" s="35"/>
      <c r="H363" s="35"/>
    </row>
    <row r="364">
      <c r="A364" s="35"/>
      <c r="B364" s="35"/>
      <c r="C364" s="35"/>
      <c r="D364" s="35"/>
      <c r="E364" s="35"/>
      <c r="F364" s="35"/>
      <c r="G364" s="35"/>
      <c r="H364" s="35"/>
    </row>
    <row r="365">
      <c r="A365" s="35"/>
      <c r="B365" s="35"/>
      <c r="C365" s="35"/>
      <c r="D365" s="35"/>
      <c r="E365" s="35"/>
      <c r="F365" s="35"/>
      <c r="G365" s="35"/>
      <c r="H365" s="35"/>
    </row>
    <row r="366">
      <c r="A366" s="35"/>
      <c r="B366" s="35"/>
      <c r="C366" s="35"/>
      <c r="D366" s="35"/>
      <c r="E366" s="35"/>
      <c r="F366" s="35"/>
      <c r="G366" s="35"/>
      <c r="H366" s="35"/>
    </row>
    <row r="367">
      <c r="A367" s="35"/>
      <c r="B367" s="35"/>
      <c r="C367" s="35"/>
      <c r="D367" s="35"/>
      <c r="E367" s="35"/>
      <c r="F367" s="35"/>
      <c r="G367" s="35"/>
      <c r="H367" s="35"/>
    </row>
    <row r="368">
      <c r="A368" s="35"/>
      <c r="B368" s="35"/>
      <c r="C368" s="35"/>
      <c r="D368" s="35"/>
      <c r="E368" s="35"/>
      <c r="F368" s="35"/>
      <c r="G368" s="35"/>
      <c r="H368" s="35"/>
    </row>
    <row r="369">
      <c r="A369" s="35"/>
      <c r="B369" s="35"/>
      <c r="C369" s="35"/>
      <c r="D369" s="35"/>
      <c r="E369" s="35"/>
      <c r="F369" s="35"/>
      <c r="G369" s="35"/>
      <c r="H369" s="35"/>
    </row>
    <row r="370">
      <c r="A370" s="35"/>
      <c r="B370" s="35"/>
      <c r="C370" s="35"/>
      <c r="D370" s="35"/>
      <c r="E370" s="35"/>
      <c r="F370" s="35"/>
      <c r="G370" s="35"/>
      <c r="H370" s="35"/>
    </row>
    <row r="371">
      <c r="A371" s="35"/>
      <c r="B371" s="35"/>
      <c r="C371" s="35"/>
      <c r="D371" s="35"/>
      <c r="E371" s="35"/>
      <c r="F371" s="35"/>
      <c r="G371" s="35"/>
      <c r="H371" s="35"/>
    </row>
    <row r="372">
      <c r="A372" s="35"/>
      <c r="B372" s="35"/>
      <c r="C372" s="35"/>
      <c r="D372" s="35"/>
      <c r="E372" s="35"/>
      <c r="F372" s="35"/>
      <c r="G372" s="35"/>
      <c r="H372" s="35"/>
    </row>
    <row r="373">
      <c r="A373" s="35"/>
      <c r="B373" s="35"/>
      <c r="C373" s="35"/>
      <c r="D373" s="35"/>
      <c r="E373" s="35"/>
      <c r="F373" s="35"/>
      <c r="G373" s="35"/>
      <c r="H373" s="35"/>
    </row>
    <row r="374">
      <c r="A374" s="35"/>
      <c r="B374" s="35"/>
      <c r="C374" s="35"/>
      <c r="D374" s="35"/>
      <c r="E374" s="35"/>
      <c r="F374" s="35"/>
      <c r="G374" s="35"/>
      <c r="H374" s="35"/>
    </row>
    <row r="375">
      <c r="A375" s="35"/>
      <c r="B375" s="35"/>
      <c r="C375" s="35"/>
      <c r="D375" s="35"/>
      <c r="E375" s="35"/>
      <c r="F375" s="35"/>
      <c r="G375" s="35"/>
      <c r="H375" s="35"/>
    </row>
    <row r="376">
      <c r="A376" s="35"/>
      <c r="B376" s="35"/>
      <c r="C376" s="35"/>
      <c r="D376" s="35"/>
      <c r="E376" s="35"/>
      <c r="F376" s="35"/>
      <c r="G376" s="35"/>
      <c r="H376" s="35"/>
    </row>
    <row r="377">
      <c r="A377" s="35"/>
      <c r="B377" s="35"/>
      <c r="C377" s="35"/>
      <c r="D377" s="35"/>
      <c r="E377" s="35"/>
      <c r="F377" s="35"/>
      <c r="G377" s="35"/>
      <c r="H377" s="35"/>
    </row>
    <row r="378">
      <c r="A378" s="35"/>
      <c r="B378" s="35"/>
      <c r="C378" s="35"/>
      <c r="D378" s="35"/>
      <c r="E378" s="35"/>
      <c r="F378" s="35"/>
      <c r="G378" s="35"/>
      <c r="H378" s="35"/>
    </row>
    <row r="379">
      <c r="A379" s="35"/>
      <c r="B379" s="35"/>
      <c r="C379" s="35"/>
      <c r="D379" s="35"/>
      <c r="E379" s="35"/>
      <c r="F379" s="35"/>
      <c r="G379" s="35"/>
      <c r="H379" s="35"/>
    </row>
    <row r="380">
      <c r="A380" s="35"/>
      <c r="B380" s="35"/>
      <c r="C380" s="35"/>
      <c r="D380" s="35"/>
      <c r="E380" s="35"/>
      <c r="F380" s="35"/>
      <c r="G380" s="35"/>
      <c r="H380" s="35"/>
    </row>
    <row r="381">
      <c r="A381" s="35"/>
      <c r="B381" s="35"/>
      <c r="C381" s="35"/>
      <c r="D381" s="35"/>
      <c r="E381" s="35"/>
      <c r="F381" s="35"/>
      <c r="G381" s="35"/>
      <c r="H381" s="35"/>
    </row>
    <row r="382">
      <c r="A382" s="35"/>
      <c r="B382" s="35"/>
      <c r="C382" s="35"/>
      <c r="D382" s="35"/>
      <c r="E382" s="35"/>
      <c r="F382" s="35"/>
      <c r="G382" s="35"/>
      <c r="H382" s="35"/>
    </row>
    <row r="383">
      <c r="A383" s="35"/>
      <c r="B383" s="35"/>
      <c r="C383" s="35"/>
      <c r="D383" s="35"/>
      <c r="E383" s="35"/>
      <c r="F383" s="35"/>
      <c r="G383" s="35"/>
      <c r="H383" s="35"/>
    </row>
    <row r="384">
      <c r="A384" s="35"/>
      <c r="B384" s="35"/>
      <c r="C384" s="35"/>
      <c r="D384" s="35"/>
      <c r="E384" s="35"/>
      <c r="F384" s="35"/>
      <c r="G384" s="35"/>
      <c r="H384" s="35"/>
    </row>
    <row r="385">
      <c r="A385" s="35"/>
      <c r="B385" s="35"/>
      <c r="C385" s="35"/>
      <c r="D385" s="35"/>
      <c r="E385" s="35"/>
      <c r="F385" s="35"/>
      <c r="G385" s="35"/>
      <c r="H385" s="35"/>
    </row>
    <row r="386">
      <c r="A386" s="35"/>
      <c r="B386" s="35"/>
      <c r="C386" s="35"/>
      <c r="D386" s="35"/>
      <c r="E386" s="35"/>
      <c r="F386" s="35"/>
      <c r="G386" s="35"/>
      <c r="H386" s="35"/>
    </row>
    <row r="387">
      <c r="A387" s="35"/>
      <c r="B387" s="35"/>
      <c r="C387" s="35"/>
      <c r="D387" s="35"/>
      <c r="E387" s="35"/>
      <c r="F387" s="35"/>
      <c r="G387" s="35"/>
      <c r="H387" s="35"/>
    </row>
    <row r="388">
      <c r="A388" s="35"/>
      <c r="B388" s="35"/>
      <c r="C388" s="35"/>
      <c r="D388" s="35"/>
      <c r="E388" s="35"/>
      <c r="F388" s="35"/>
      <c r="G388" s="35"/>
      <c r="H388" s="35"/>
    </row>
    <row r="389">
      <c r="A389" s="35"/>
      <c r="B389" s="35"/>
      <c r="C389" s="35"/>
      <c r="D389" s="35"/>
      <c r="E389" s="35"/>
      <c r="F389" s="35"/>
      <c r="G389" s="35"/>
      <c r="H389" s="35"/>
    </row>
    <row r="390">
      <c r="A390" s="35"/>
      <c r="B390" s="35"/>
      <c r="C390" s="35"/>
      <c r="D390" s="35"/>
      <c r="E390" s="35"/>
      <c r="F390" s="35"/>
      <c r="G390" s="35"/>
      <c r="H390" s="35"/>
    </row>
    <row r="391">
      <c r="A391" s="35"/>
      <c r="B391" s="35"/>
      <c r="C391" s="35"/>
      <c r="D391" s="35"/>
      <c r="E391" s="35"/>
      <c r="F391" s="35"/>
      <c r="G391" s="35"/>
      <c r="H391" s="35"/>
    </row>
    <row r="392">
      <c r="A392" s="35"/>
      <c r="B392" s="35"/>
      <c r="C392" s="35"/>
      <c r="D392" s="35"/>
      <c r="E392" s="35"/>
      <c r="F392" s="35"/>
      <c r="G392" s="35"/>
      <c r="H392" s="35"/>
    </row>
    <row r="393">
      <c r="A393" s="35"/>
      <c r="B393" s="35"/>
      <c r="C393" s="35"/>
      <c r="D393" s="35"/>
      <c r="E393" s="35"/>
      <c r="F393" s="35"/>
      <c r="G393" s="35"/>
      <c r="H393" s="35"/>
    </row>
    <row r="394">
      <c r="A394" s="35"/>
      <c r="B394" s="35"/>
      <c r="C394" s="35"/>
      <c r="D394" s="35"/>
      <c r="E394" s="35"/>
      <c r="F394" s="35"/>
      <c r="G394" s="35"/>
      <c r="H394" s="35"/>
    </row>
    <row r="395">
      <c r="A395" s="35"/>
      <c r="B395" s="35"/>
      <c r="C395" s="35"/>
      <c r="D395" s="35"/>
      <c r="E395" s="35"/>
      <c r="F395" s="35"/>
      <c r="G395" s="35"/>
      <c r="H395" s="35"/>
    </row>
    <row r="396">
      <c r="A396" s="35"/>
      <c r="B396" s="35"/>
      <c r="C396" s="35"/>
      <c r="D396" s="35"/>
      <c r="E396" s="35"/>
      <c r="F396" s="35"/>
      <c r="G396" s="35"/>
      <c r="H396" s="35"/>
    </row>
    <row r="397">
      <c r="A397" s="35"/>
      <c r="B397" s="35"/>
      <c r="C397" s="35"/>
      <c r="D397" s="35"/>
      <c r="E397" s="35"/>
      <c r="F397" s="35"/>
      <c r="G397" s="35"/>
      <c r="H397" s="35"/>
    </row>
    <row r="398">
      <c r="A398" s="35"/>
      <c r="B398" s="35"/>
      <c r="C398" s="35"/>
      <c r="D398" s="35"/>
      <c r="E398" s="35"/>
      <c r="F398" s="35"/>
      <c r="G398" s="35"/>
      <c r="H398" s="35"/>
    </row>
    <row r="399">
      <c r="A399" s="35"/>
      <c r="B399" s="35"/>
      <c r="C399" s="35"/>
      <c r="D399" s="35"/>
      <c r="E399" s="35"/>
      <c r="F399" s="35"/>
      <c r="G399" s="35"/>
      <c r="H399" s="35"/>
    </row>
    <row r="400">
      <c r="A400" s="35"/>
      <c r="B400" s="35"/>
      <c r="C400" s="35"/>
      <c r="D400" s="35"/>
      <c r="E400" s="35"/>
      <c r="F400" s="35"/>
      <c r="G400" s="35"/>
      <c r="H400" s="35"/>
    </row>
    <row r="401">
      <c r="A401" s="35"/>
      <c r="B401" s="35"/>
      <c r="C401" s="35"/>
      <c r="D401" s="35"/>
      <c r="E401" s="35"/>
      <c r="F401" s="35"/>
      <c r="G401" s="35"/>
      <c r="H401" s="35"/>
    </row>
    <row r="402">
      <c r="A402" s="35"/>
      <c r="B402" s="35"/>
      <c r="C402" s="35"/>
      <c r="D402" s="35"/>
      <c r="E402" s="35"/>
      <c r="F402" s="35"/>
      <c r="G402" s="35"/>
      <c r="H402" s="35"/>
    </row>
    <row r="403">
      <c r="A403" s="35"/>
      <c r="B403" s="35"/>
      <c r="C403" s="35"/>
      <c r="D403" s="35"/>
      <c r="E403" s="35"/>
      <c r="F403" s="35"/>
      <c r="G403" s="35"/>
      <c r="H403" s="35"/>
    </row>
    <row r="404">
      <c r="A404" s="35"/>
      <c r="B404" s="35"/>
      <c r="C404" s="35"/>
      <c r="D404" s="35"/>
      <c r="E404" s="35"/>
      <c r="F404" s="35"/>
      <c r="G404" s="35"/>
      <c r="H404" s="35"/>
    </row>
    <row r="405">
      <c r="A405" s="35"/>
      <c r="B405" s="35"/>
      <c r="C405" s="35"/>
      <c r="D405" s="35"/>
      <c r="E405" s="35"/>
      <c r="F405" s="35"/>
      <c r="G405" s="35"/>
      <c r="H405" s="35"/>
    </row>
    <row r="406">
      <c r="A406" s="35"/>
      <c r="B406" s="35"/>
      <c r="C406" s="35"/>
      <c r="D406" s="35"/>
      <c r="E406" s="35"/>
      <c r="F406" s="35"/>
      <c r="G406" s="35"/>
      <c r="H406" s="35"/>
    </row>
    <row r="407">
      <c r="A407" s="35"/>
      <c r="B407" s="35"/>
      <c r="C407" s="35"/>
      <c r="D407" s="35"/>
      <c r="E407" s="35"/>
      <c r="F407" s="35"/>
      <c r="G407" s="35"/>
      <c r="H407" s="35"/>
    </row>
    <row r="408">
      <c r="A408" s="35"/>
      <c r="B408" s="35"/>
      <c r="C408" s="35"/>
      <c r="D408" s="35"/>
      <c r="E408" s="35"/>
      <c r="F408" s="35"/>
      <c r="G408" s="35"/>
      <c r="H408" s="35"/>
    </row>
    <row r="409">
      <c r="A409" s="35"/>
      <c r="B409" s="35"/>
      <c r="C409" s="35"/>
      <c r="D409" s="35"/>
      <c r="E409" s="35"/>
      <c r="F409" s="35"/>
      <c r="G409" s="35"/>
      <c r="H409" s="35"/>
    </row>
    <row r="410">
      <c r="A410" s="35"/>
      <c r="B410" s="35"/>
      <c r="C410" s="35"/>
      <c r="D410" s="35"/>
      <c r="E410" s="35"/>
      <c r="F410" s="35"/>
      <c r="G410" s="35"/>
      <c r="H410" s="35"/>
    </row>
    <row r="411">
      <c r="A411" s="35"/>
      <c r="B411" s="35"/>
      <c r="C411" s="35"/>
      <c r="D411" s="35"/>
      <c r="E411" s="35"/>
      <c r="F411" s="35"/>
      <c r="G411" s="35"/>
      <c r="H411" s="35"/>
    </row>
    <row r="412">
      <c r="A412" s="35"/>
      <c r="B412" s="35"/>
      <c r="C412" s="35"/>
      <c r="D412" s="35"/>
      <c r="E412" s="35"/>
      <c r="F412" s="35"/>
      <c r="G412" s="35"/>
      <c r="H412" s="35"/>
    </row>
    <row r="413">
      <c r="A413" s="35"/>
      <c r="B413" s="35"/>
      <c r="C413" s="35"/>
      <c r="D413" s="35"/>
      <c r="E413" s="35"/>
      <c r="F413" s="35"/>
      <c r="G413" s="35"/>
      <c r="H413" s="35"/>
    </row>
    <row r="414">
      <c r="A414" s="35"/>
      <c r="B414" s="35"/>
      <c r="C414" s="35"/>
      <c r="D414" s="35"/>
      <c r="E414" s="35"/>
      <c r="F414" s="35"/>
      <c r="G414" s="35"/>
      <c r="H414" s="35"/>
    </row>
    <row r="415">
      <c r="A415" s="35"/>
      <c r="B415" s="35"/>
      <c r="C415" s="35"/>
      <c r="D415" s="35"/>
      <c r="E415" s="35"/>
      <c r="F415" s="35"/>
      <c r="G415" s="35"/>
      <c r="H415" s="35"/>
    </row>
    <row r="416">
      <c r="A416" s="35"/>
      <c r="B416" s="35"/>
      <c r="C416" s="35"/>
      <c r="D416" s="35"/>
      <c r="E416" s="35"/>
      <c r="F416" s="35"/>
      <c r="G416" s="35"/>
      <c r="H416" s="35"/>
    </row>
    <row r="417">
      <c r="A417" s="35"/>
      <c r="B417" s="35"/>
      <c r="C417" s="35"/>
      <c r="D417" s="35"/>
      <c r="E417" s="35"/>
      <c r="F417" s="35"/>
      <c r="G417" s="35"/>
      <c r="H417" s="35"/>
    </row>
    <row r="418">
      <c r="A418" s="35"/>
      <c r="B418" s="35"/>
      <c r="C418" s="35"/>
      <c r="D418" s="35"/>
      <c r="E418" s="35"/>
      <c r="F418" s="35"/>
      <c r="G418" s="35"/>
      <c r="H418" s="35"/>
    </row>
    <row r="419">
      <c r="A419" s="35"/>
      <c r="B419" s="35"/>
      <c r="C419" s="35"/>
      <c r="D419" s="35"/>
      <c r="E419" s="35"/>
      <c r="F419" s="35"/>
      <c r="G419" s="35"/>
      <c r="H419" s="35"/>
    </row>
    <row r="420">
      <c r="A420" s="35"/>
      <c r="B420" s="35"/>
      <c r="C420" s="35"/>
      <c r="D420" s="35"/>
      <c r="E420" s="35"/>
      <c r="F420" s="35"/>
      <c r="G420" s="35"/>
      <c r="H420" s="35"/>
    </row>
    <row r="421">
      <c r="A421" s="35"/>
      <c r="B421" s="35"/>
      <c r="C421" s="35"/>
      <c r="D421" s="35"/>
      <c r="E421" s="35"/>
      <c r="F421" s="35"/>
      <c r="G421" s="35"/>
      <c r="H421" s="35"/>
    </row>
    <row r="422">
      <c r="A422" s="35"/>
      <c r="B422" s="35"/>
      <c r="C422" s="35"/>
      <c r="D422" s="35"/>
      <c r="E422" s="35"/>
      <c r="F422" s="35"/>
      <c r="G422" s="35"/>
      <c r="H422" s="35"/>
    </row>
    <row r="423">
      <c r="A423" s="35"/>
      <c r="B423" s="35"/>
      <c r="C423" s="35"/>
      <c r="D423" s="35"/>
      <c r="E423" s="35"/>
      <c r="F423" s="35"/>
      <c r="G423" s="35"/>
      <c r="H423" s="35"/>
    </row>
    <row r="424">
      <c r="A424" s="35"/>
      <c r="B424" s="35"/>
      <c r="C424" s="35"/>
      <c r="D424" s="35"/>
      <c r="E424" s="35"/>
      <c r="F424" s="35"/>
      <c r="G424" s="35"/>
      <c r="H424" s="35"/>
    </row>
    <row r="425">
      <c r="A425" s="35"/>
      <c r="B425" s="35"/>
      <c r="C425" s="35"/>
      <c r="D425" s="35"/>
      <c r="E425" s="35"/>
      <c r="F425" s="35"/>
      <c r="G425" s="35"/>
      <c r="H425" s="35"/>
    </row>
    <row r="426">
      <c r="A426" s="35"/>
      <c r="B426" s="35"/>
      <c r="C426" s="35"/>
      <c r="D426" s="35"/>
      <c r="E426" s="35"/>
      <c r="F426" s="35"/>
      <c r="G426" s="35"/>
      <c r="H426" s="35"/>
    </row>
    <row r="427">
      <c r="A427" s="35"/>
      <c r="B427" s="35"/>
      <c r="C427" s="35"/>
      <c r="D427" s="35"/>
      <c r="E427" s="35"/>
      <c r="F427" s="35"/>
      <c r="G427" s="35"/>
      <c r="H427" s="35"/>
    </row>
    <row r="428">
      <c r="A428" s="35"/>
      <c r="B428" s="35"/>
      <c r="C428" s="35"/>
      <c r="D428" s="35"/>
      <c r="E428" s="35"/>
      <c r="F428" s="35"/>
      <c r="G428" s="35"/>
      <c r="H428" s="35"/>
    </row>
    <row r="429">
      <c r="A429" s="35"/>
      <c r="B429" s="35"/>
      <c r="C429" s="35"/>
      <c r="D429" s="35"/>
      <c r="E429" s="35"/>
      <c r="F429" s="35"/>
      <c r="G429" s="35"/>
      <c r="H429" s="35"/>
    </row>
    <row r="430">
      <c r="A430" s="35"/>
      <c r="B430" s="35"/>
      <c r="C430" s="35"/>
      <c r="D430" s="35"/>
      <c r="E430" s="35"/>
      <c r="F430" s="35"/>
      <c r="G430" s="35"/>
      <c r="H430" s="35"/>
    </row>
    <row r="431">
      <c r="A431" s="35"/>
      <c r="B431" s="35"/>
      <c r="C431" s="35"/>
      <c r="D431" s="35"/>
      <c r="E431" s="35"/>
      <c r="F431" s="35"/>
      <c r="G431" s="35"/>
      <c r="H431" s="35"/>
    </row>
    <row r="432">
      <c r="A432" s="35"/>
      <c r="B432" s="35"/>
      <c r="C432" s="35"/>
      <c r="D432" s="35"/>
      <c r="E432" s="35"/>
      <c r="F432" s="35"/>
      <c r="G432" s="35"/>
      <c r="H432" s="35"/>
    </row>
    <row r="433">
      <c r="A433" s="35"/>
      <c r="B433" s="35"/>
      <c r="C433" s="35"/>
      <c r="D433" s="35"/>
      <c r="E433" s="35"/>
      <c r="F433" s="35"/>
      <c r="G433" s="35"/>
      <c r="H433" s="35"/>
    </row>
    <row r="434">
      <c r="A434" s="35"/>
      <c r="B434" s="35"/>
      <c r="C434" s="35"/>
      <c r="D434" s="35"/>
      <c r="E434" s="35"/>
      <c r="F434" s="35"/>
      <c r="G434" s="35"/>
      <c r="H434" s="35"/>
    </row>
    <row r="435">
      <c r="A435" s="35"/>
      <c r="B435" s="35"/>
      <c r="C435" s="35"/>
      <c r="D435" s="35"/>
      <c r="E435" s="35"/>
      <c r="F435" s="35"/>
      <c r="G435" s="35"/>
      <c r="H435" s="35"/>
    </row>
    <row r="436">
      <c r="A436" s="35"/>
      <c r="B436" s="35"/>
      <c r="C436" s="35"/>
      <c r="D436" s="35"/>
      <c r="E436" s="35"/>
      <c r="F436" s="35"/>
      <c r="G436" s="35"/>
      <c r="H436" s="35"/>
    </row>
    <row r="437">
      <c r="A437" s="35"/>
      <c r="B437" s="35"/>
      <c r="C437" s="35"/>
      <c r="D437" s="35"/>
      <c r="E437" s="35"/>
      <c r="F437" s="35"/>
      <c r="G437" s="35"/>
      <c r="H437" s="35"/>
    </row>
    <row r="438">
      <c r="A438" s="35"/>
      <c r="B438" s="35"/>
      <c r="C438" s="35"/>
      <c r="D438" s="35"/>
      <c r="E438" s="35"/>
      <c r="F438" s="35"/>
      <c r="G438" s="35"/>
      <c r="H438" s="35"/>
    </row>
    <row r="439">
      <c r="A439" s="35"/>
      <c r="B439" s="35"/>
      <c r="C439" s="35"/>
      <c r="D439" s="35"/>
      <c r="E439" s="35"/>
      <c r="F439" s="35"/>
      <c r="G439" s="35"/>
      <c r="H439" s="35"/>
    </row>
    <row r="440">
      <c r="A440" s="35"/>
      <c r="B440" s="35"/>
      <c r="C440" s="35"/>
      <c r="D440" s="35"/>
      <c r="E440" s="35"/>
      <c r="F440" s="35"/>
      <c r="G440" s="35"/>
      <c r="H440" s="35"/>
    </row>
    <row r="441">
      <c r="A441" s="35"/>
      <c r="B441" s="35"/>
      <c r="C441" s="35"/>
      <c r="D441" s="35"/>
      <c r="E441" s="35"/>
      <c r="F441" s="35"/>
      <c r="G441" s="35"/>
      <c r="H441" s="35"/>
    </row>
    <row r="442">
      <c r="A442" s="35"/>
      <c r="B442" s="35"/>
      <c r="C442" s="35"/>
      <c r="D442" s="35"/>
      <c r="E442" s="35"/>
      <c r="F442" s="35"/>
      <c r="G442" s="35"/>
      <c r="H442" s="35"/>
    </row>
    <row r="443">
      <c r="A443" s="35"/>
      <c r="B443" s="35"/>
      <c r="C443" s="35"/>
      <c r="D443" s="35"/>
      <c r="E443" s="35"/>
      <c r="F443" s="35"/>
      <c r="G443" s="35"/>
      <c r="H443" s="35"/>
    </row>
    <row r="444">
      <c r="A444" s="35"/>
      <c r="B444" s="35"/>
      <c r="C444" s="35"/>
      <c r="D444" s="35"/>
      <c r="E444" s="35"/>
      <c r="F444" s="35"/>
      <c r="G444" s="35"/>
      <c r="H444" s="35"/>
    </row>
    <row r="445">
      <c r="A445" s="35"/>
      <c r="B445" s="35"/>
      <c r="C445" s="35"/>
      <c r="D445" s="35"/>
      <c r="E445" s="35"/>
      <c r="F445" s="35"/>
      <c r="G445" s="35"/>
      <c r="H445" s="35"/>
    </row>
    <row r="446">
      <c r="A446" s="35"/>
      <c r="B446" s="35"/>
      <c r="C446" s="35"/>
      <c r="D446" s="35"/>
      <c r="E446" s="35"/>
      <c r="F446" s="35"/>
      <c r="G446" s="35"/>
      <c r="H446" s="35"/>
    </row>
    <row r="447">
      <c r="A447" s="35"/>
      <c r="B447" s="35"/>
      <c r="C447" s="35"/>
      <c r="D447" s="35"/>
      <c r="E447" s="35"/>
      <c r="F447" s="35"/>
      <c r="G447" s="35"/>
      <c r="H447" s="35"/>
    </row>
    <row r="448">
      <c r="A448" s="35"/>
      <c r="B448" s="35"/>
      <c r="C448" s="35"/>
      <c r="D448" s="35"/>
      <c r="E448" s="35"/>
      <c r="F448" s="35"/>
      <c r="G448" s="35"/>
      <c r="H448" s="35"/>
    </row>
    <row r="449">
      <c r="A449" s="35"/>
      <c r="B449" s="35"/>
      <c r="C449" s="35"/>
      <c r="D449" s="35"/>
      <c r="E449" s="35"/>
      <c r="F449" s="35"/>
      <c r="G449" s="35"/>
      <c r="H449" s="35"/>
    </row>
    <row r="450">
      <c r="A450" s="35"/>
      <c r="B450" s="35"/>
      <c r="C450" s="35"/>
      <c r="D450" s="35"/>
      <c r="E450" s="35"/>
      <c r="F450" s="35"/>
      <c r="G450" s="35"/>
      <c r="H450" s="35"/>
    </row>
    <row r="451">
      <c r="A451" s="35"/>
      <c r="B451" s="35"/>
      <c r="C451" s="35"/>
      <c r="D451" s="35"/>
      <c r="E451" s="35"/>
      <c r="F451" s="35"/>
      <c r="G451" s="35"/>
      <c r="H451" s="35"/>
    </row>
    <row r="452">
      <c r="A452" s="35"/>
      <c r="B452" s="35"/>
      <c r="C452" s="35"/>
      <c r="D452" s="35"/>
      <c r="E452" s="35"/>
      <c r="F452" s="35"/>
      <c r="G452" s="35"/>
      <c r="H452" s="35"/>
    </row>
    <row r="453">
      <c r="A453" s="35"/>
      <c r="B453" s="35"/>
      <c r="C453" s="35"/>
      <c r="D453" s="35"/>
      <c r="E453" s="35"/>
      <c r="F453" s="35"/>
      <c r="G453" s="35"/>
      <c r="H453" s="35"/>
    </row>
    <row r="454">
      <c r="A454" s="35"/>
      <c r="B454" s="35"/>
      <c r="C454" s="35"/>
      <c r="D454" s="35"/>
      <c r="E454" s="35"/>
      <c r="F454" s="35"/>
      <c r="G454" s="35"/>
      <c r="H454" s="35"/>
    </row>
    <row r="455">
      <c r="A455" s="35"/>
      <c r="B455" s="35"/>
      <c r="C455" s="35"/>
      <c r="D455" s="35"/>
      <c r="E455" s="35"/>
      <c r="F455" s="35"/>
      <c r="G455" s="35"/>
      <c r="H455" s="35"/>
    </row>
    <row r="456">
      <c r="A456" s="35"/>
      <c r="B456" s="35"/>
      <c r="C456" s="35"/>
      <c r="D456" s="35"/>
      <c r="E456" s="35"/>
      <c r="F456" s="35"/>
      <c r="G456" s="35"/>
      <c r="H456" s="35"/>
    </row>
    <row r="457">
      <c r="A457" s="35"/>
      <c r="B457" s="35"/>
      <c r="C457" s="35"/>
      <c r="D457" s="35"/>
      <c r="E457" s="35"/>
      <c r="F457" s="35"/>
      <c r="G457" s="35"/>
      <c r="H457" s="35"/>
    </row>
    <row r="458">
      <c r="A458" s="35"/>
      <c r="B458" s="35"/>
      <c r="C458" s="35"/>
      <c r="D458" s="35"/>
      <c r="E458" s="35"/>
      <c r="F458" s="35"/>
      <c r="G458" s="35"/>
      <c r="H458" s="35"/>
    </row>
    <row r="459">
      <c r="A459" s="35"/>
      <c r="B459" s="35"/>
      <c r="C459" s="35"/>
      <c r="D459" s="35"/>
      <c r="E459" s="35"/>
      <c r="F459" s="35"/>
      <c r="G459" s="35"/>
      <c r="H459" s="35"/>
    </row>
    <row r="460">
      <c r="A460" s="35"/>
      <c r="B460" s="35"/>
      <c r="C460" s="35"/>
      <c r="D460" s="35"/>
      <c r="E460" s="35"/>
      <c r="F460" s="35"/>
      <c r="G460" s="35"/>
      <c r="H460" s="35"/>
    </row>
    <row r="461">
      <c r="A461" s="35"/>
      <c r="B461" s="35"/>
      <c r="C461" s="35"/>
      <c r="D461" s="35"/>
      <c r="E461" s="35"/>
      <c r="F461" s="35"/>
      <c r="G461" s="35"/>
      <c r="H461" s="35"/>
    </row>
    <row r="462">
      <c r="A462" s="35"/>
      <c r="B462" s="35"/>
      <c r="C462" s="35"/>
      <c r="D462" s="35"/>
      <c r="E462" s="35"/>
      <c r="F462" s="35"/>
      <c r="G462" s="35"/>
      <c r="H462" s="35"/>
    </row>
    <row r="463">
      <c r="A463" s="35"/>
      <c r="B463" s="35"/>
      <c r="C463" s="35"/>
      <c r="D463" s="35"/>
      <c r="E463" s="35"/>
      <c r="F463" s="35"/>
      <c r="G463" s="35"/>
      <c r="H463" s="35"/>
    </row>
    <row r="464">
      <c r="A464" s="35"/>
      <c r="B464" s="35"/>
      <c r="C464" s="35"/>
      <c r="D464" s="35"/>
      <c r="E464" s="35"/>
      <c r="F464" s="35"/>
      <c r="G464" s="35"/>
      <c r="H464" s="35"/>
    </row>
    <row r="465">
      <c r="A465" s="35"/>
      <c r="B465" s="35"/>
      <c r="C465" s="35"/>
      <c r="D465" s="35"/>
      <c r="E465" s="35"/>
      <c r="F465" s="35"/>
      <c r="G465" s="35"/>
      <c r="H465" s="35"/>
    </row>
    <row r="466">
      <c r="A466" s="35"/>
      <c r="B466" s="35"/>
      <c r="C466" s="35"/>
      <c r="D466" s="35"/>
      <c r="E466" s="35"/>
      <c r="F466" s="35"/>
      <c r="G466" s="35"/>
      <c r="H466" s="35"/>
    </row>
    <row r="467">
      <c r="A467" s="35"/>
      <c r="B467" s="35"/>
      <c r="C467" s="35"/>
      <c r="D467" s="35"/>
      <c r="E467" s="35"/>
      <c r="F467" s="35"/>
      <c r="G467" s="35"/>
      <c r="H467" s="35"/>
    </row>
    <row r="468">
      <c r="A468" s="35"/>
      <c r="B468" s="35"/>
      <c r="C468" s="35"/>
      <c r="D468" s="35"/>
      <c r="E468" s="35"/>
      <c r="F468" s="35"/>
      <c r="G468" s="35"/>
      <c r="H468" s="35"/>
    </row>
    <row r="469">
      <c r="A469" s="35"/>
      <c r="B469" s="35"/>
      <c r="C469" s="35"/>
      <c r="D469" s="35"/>
      <c r="E469" s="35"/>
      <c r="F469" s="35"/>
      <c r="G469" s="35"/>
      <c r="H469" s="35"/>
    </row>
    <row r="470">
      <c r="A470" s="35"/>
      <c r="B470" s="35"/>
      <c r="C470" s="35"/>
      <c r="D470" s="35"/>
      <c r="E470" s="35"/>
      <c r="F470" s="35"/>
      <c r="G470" s="35"/>
      <c r="H470" s="35"/>
    </row>
    <row r="471">
      <c r="A471" s="35"/>
      <c r="B471" s="35"/>
      <c r="C471" s="35"/>
      <c r="D471" s="35"/>
      <c r="E471" s="35"/>
      <c r="F471" s="35"/>
      <c r="G471" s="35"/>
      <c r="H471" s="35"/>
    </row>
    <row r="472">
      <c r="A472" s="35"/>
      <c r="B472" s="35"/>
      <c r="C472" s="35"/>
      <c r="D472" s="35"/>
      <c r="E472" s="35"/>
      <c r="F472" s="35"/>
      <c r="G472" s="35"/>
      <c r="H472" s="35"/>
    </row>
    <row r="473">
      <c r="A473" s="35"/>
      <c r="B473" s="35"/>
      <c r="C473" s="35"/>
      <c r="D473" s="35"/>
      <c r="E473" s="35"/>
      <c r="F473" s="35"/>
      <c r="G473" s="35"/>
      <c r="H473" s="35"/>
    </row>
    <row r="474">
      <c r="A474" s="35"/>
      <c r="B474" s="35"/>
      <c r="C474" s="35"/>
      <c r="D474" s="35"/>
      <c r="E474" s="35"/>
      <c r="F474" s="35"/>
      <c r="G474" s="35"/>
      <c r="H474" s="35"/>
    </row>
    <row r="475">
      <c r="A475" s="35"/>
      <c r="B475" s="35"/>
      <c r="C475" s="35"/>
      <c r="D475" s="35"/>
      <c r="E475" s="35"/>
      <c r="F475" s="35"/>
      <c r="G475" s="35"/>
      <c r="H475" s="35"/>
    </row>
    <row r="476">
      <c r="A476" s="35"/>
      <c r="B476" s="35"/>
      <c r="C476" s="35"/>
      <c r="D476" s="35"/>
      <c r="E476" s="35"/>
      <c r="F476" s="35"/>
      <c r="G476" s="35"/>
      <c r="H476" s="35"/>
    </row>
    <row r="477">
      <c r="A477" s="35"/>
      <c r="B477" s="35"/>
      <c r="C477" s="35"/>
      <c r="D477" s="35"/>
      <c r="E477" s="35"/>
      <c r="F477" s="35"/>
      <c r="G477" s="35"/>
      <c r="H477" s="35"/>
    </row>
    <row r="478">
      <c r="A478" s="35"/>
      <c r="B478" s="35"/>
      <c r="C478" s="35"/>
      <c r="D478" s="35"/>
      <c r="E478" s="35"/>
      <c r="F478" s="35"/>
      <c r="G478" s="35"/>
      <c r="H478" s="35"/>
    </row>
    <row r="479">
      <c r="A479" s="35"/>
      <c r="B479" s="35"/>
      <c r="C479" s="35"/>
      <c r="D479" s="35"/>
      <c r="E479" s="35"/>
      <c r="F479" s="35"/>
      <c r="G479" s="35"/>
      <c r="H479" s="35"/>
    </row>
    <row r="480">
      <c r="A480" s="35"/>
      <c r="B480" s="35"/>
      <c r="C480" s="35"/>
      <c r="D480" s="35"/>
      <c r="E480" s="35"/>
      <c r="F480" s="35"/>
      <c r="G480" s="35"/>
      <c r="H480" s="35"/>
    </row>
    <row r="481">
      <c r="A481" s="35"/>
      <c r="B481" s="35"/>
      <c r="C481" s="35"/>
      <c r="D481" s="35"/>
      <c r="E481" s="35"/>
      <c r="F481" s="35"/>
      <c r="G481" s="35"/>
      <c r="H481" s="35"/>
    </row>
    <row r="482">
      <c r="A482" s="35"/>
      <c r="B482" s="35"/>
      <c r="C482" s="35"/>
      <c r="D482" s="35"/>
      <c r="E482" s="35"/>
      <c r="F482" s="35"/>
      <c r="G482" s="35"/>
      <c r="H482" s="35"/>
    </row>
    <row r="483">
      <c r="A483" s="35"/>
      <c r="B483" s="35"/>
      <c r="C483" s="35"/>
      <c r="D483" s="35"/>
      <c r="E483" s="35"/>
      <c r="F483" s="35"/>
      <c r="G483" s="35"/>
      <c r="H483" s="35"/>
    </row>
    <row r="484">
      <c r="A484" s="35"/>
      <c r="B484" s="35"/>
      <c r="C484" s="35"/>
      <c r="D484" s="35"/>
      <c r="E484" s="35"/>
      <c r="F484" s="35"/>
      <c r="G484" s="35"/>
      <c r="H484" s="35"/>
    </row>
    <row r="485">
      <c r="A485" s="35"/>
      <c r="B485" s="35"/>
      <c r="C485" s="35"/>
      <c r="D485" s="35"/>
      <c r="E485" s="35"/>
      <c r="F485" s="35"/>
      <c r="G485" s="35"/>
      <c r="H485" s="35"/>
    </row>
    <row r="486">
      <c r="A486" s="35"/>
      <c r="B486" s="35"/>
      <c r="C486" s="35"/>
      <c r="D486" s="35"/>
      <c r="E486" s="35"/>
      <c r="F486" s="35"/>
      <c r="G486" s="35"/>
      <c r="H486" s="35"/>
    </row>
    <row r="487">
      <c r="A487" s="35"/>
      <c r="B487" s="35"/>
      <c r="C487" s="35"/>
      <c r="D487" s="35"/>
      <c r="E487" s="35"/>
      <c r="F487" s="35"/>
      <c r="G487" s="35"/>
      <c r="H487" s="35"/>
    </row>
    <row r="488">
      <c r="A488" s="35"/>
      <c r="B488" s="35"/>
      <c r="C488" s="35"/>
      <c r="D488" s="35"/>
      <c r="E488" s="35"/>
      <c r="F488" s="35"/>
      <c r="G488" s="35"/>
      <c r="H488" s="35"/>
    </row>
    <row r="489">
      <c r="A489" s="35"/>
      <c r="B489" s="35"/>
      <c r="C489" s="35"/>
      <c r="D489" s="35"/>
      <c r="E489" s="35"/>
      <c r="F489" s="35"/>
      <c r="G489" s="35"/>
      <c r="H489" s="35"/>
    </row>
    <row r="490">
      <c r="A490" s="35"/>
      <c r="B490" s="35"/>
      <c r="C490" s="35"/>
      <c r="D490" s="35"/>
      <c r="E490" s="35"/>
      <c r="F490" s="35"/>
      <c r="G490" s="35"/>
      <c r="H490" s="35"/>
    </row>
    <row r="491">
      <c r="A491" s="35"/>
      <c r="B491" s="35"/>
      <c r="C491" s="35"/>
      <c r="D491" s="35"/>
      <c r="E491" s="35"/>
      <c r="F491" s="35"/>
      <c r="G491" s="35"/>
      <c r="H491" s="35"/>
    </row>
    <row r="492">
      <c r="A492" s="35"/>
      <c r="B492" s="35"/>
      <c r="C492" s="35"/>
      <c r="D492" s="35"/>
      <c r="E492" s="35"/>
      <c r="F492" s="35"/>
      <c r="G492" s="35"/>
      <c r="H492" s="35"/>
    </row>
    <row r="493">
      <c r="A493" s="35"/>
      <c r="B493" s="35"/>
      <c r="C493" s="35"/>
      <c r="D493" s="35"/>
      <c r="E493" s="35"/>
      <c r="F493" s="35"/>
      <c r="G493" s="35"/>
      <c r="H493" s="35"/>
    </row>
    <row r="494">
      <c r="A494" s="35"/>
      <c r="B494" s="35"/>
      <c r="C494" s="35"/>
      <c r="D494" s="35"/>
      <c r="E494" s="35"/>
      <c r="F494" s="35"/>
      <c r="G494" s="35"/>
      <c r="H494" s="35"/>
    </row>
    <row r="495">
      <c r="A495" s="35"/>
      <c r="B495" s="35"/>
      <c r="C495" s="35"/>
      <c r="D495" s="35"/>
      <c r="E495" s="35"/>
      <c r="F495" s="35"/>
      <c r="G495" s="35"/>
      <c r="H495" s="35"/>
    </row>
    <row r="496">
      <c r="A496" s="35"/>
      <c r="B496" s="35"/>
      <c r="C496" s="35"/>
      <c r="D496" s="35"/>
      <c r="E496" s="35"/>
      <c r="F496" s="35"/>
      <c r="G496" s="35"/>
      <c r="H496" s="35"/>
    </row>
    <row r="497">
      <c r="A497" s="35"/>
      <c r="B497" s="35"/>
      <c r="C497" s="35"/>
      <c r="D497" s="35"/>
      <c r="E497" s="35"/>
      <c r="F497" s="35"/>
      <c r="G497" s="35"/>
      <c r="H497" s="35"/>
    </row>
    <row r="498">
      <c r="A498" s="35"/>
      <c r="B498" s="35"/>
      <c r="C498" s="35"/>
      <c r="D498" s="35"/>
      <c r="E498" s="35"/>
      <c r="F498" s="35"/>
      <c r="G498" s="35"/>
      <c r="H498" s="35"/>
    </row>
    <row r="499">
      <c r="A499" s="35"/>
      <c r="B499" s="35"/>
      <c r="C499" s="35"/>
      <c r="D499" s="35"/>
      <c r="E499" s="35"/>
      <c r="F499" s="35"/>
      <c r="G499" s="35"/>
      <c r="H499" s="35"/>
    </row>
    <row r="500">
      <c r="A500" s="35"/>
      <c r="B500" s="35"/>
      <c r="C500" s="35"/>
      <c r="D500" s="35"/>
      <c r="E500" s="35"/>
      <c r="F500" s="35"/>
      <c r="G500" s="35"/>
      <c r="H500" s="35"/>
    </row>
    <row r="501">
      <c r="A501" s="35"/>
      <c r="B501" s="35"/>
      <c r="C501" s="35"/>
      <c r="D501" s="35"/>
      <c r="E501" s="35"/>
      <c r="F501" s="35"/>
      <c r="G501" s="35"/>
      <c r="H501" s="35"/>
    </row>
    <row r="502">
      <c r="A502" s="35"/>
      <c r="B502" s="35"/>
      <c r="C502" s="35"/>
      <c r="D502" s="35"/>
      <c r="E502" s="35"/>
      <c r="F502" s="35"/>
      <c r="G502" s="35"/>
      <c r="H502" s="35"/>
    </row>
    <row r="503">
      <c r="A503" s="35"/>
      <c r="B503" s="35"/>
      <c r="C503" s="35"/>
      <c r="D503" s="35"/>
      <c r="E503" s="35"/>
      <c r="F503" s="35"/>
      <c r="G503" s="35"/>
      <c r="H503" s="35"/>
    </row>
    <row r="504">
      <c r="A504" s="35"/>
      <c r="B504" s="35"/>
      <c r="C504" s="35"/>
      <c r="D504" s="35"/>
      <c r="E504" s="35"/>
      <c r="F504" s="35"/>
      <c r="G504" s="35"/>
      <c r="H504" s="35"/>
    </row>
    <row r="505">
      <c r="A505" s="35"/>
      <c r="B505" s="35"/>
      <c r="C505" s="35"/>
      <c r="D505" s="35"/>
      <c r="E505" s="35"/>
      <c r="F505" s="35"/>
      <c r="G505" s="35"/>
      <c r="H505" s="35"/>
    </row>
    <row r="506">
      <c r="A506" s="35"/>
      <c r="B506" s="35"/>
      <c r="C506" s="35"/>
      <c r="D506" s="35"/>
      <c r="E506" s="35"/>
      <c r="F506" s="35"/>
      <c r="G506" s="35"/>
      <c r="H506" s="35"/>
    </row>
    <row r="507">
      <c r="A507" s="35"/>
      <c r="B507" s="35"/>
      <c r="C507" s="35"/>
      <c r="D507" s="35"/>
      <c r="E507" s="35"/>
      <c r="F507" s="35"/>
      <c r="G507" s="35"/>
      <c r="H507" s="35"/>
    </row>
    <row r="508">
      <c r="A508" s="35"/>
      <c r="B508" s="35"/>
      <c r="C508" s="35"/>
      <c r="D508" s="35"/>
      <c r="E508" s="35"/>
      <c r="F508" s="35"/>
      <c r="G508" s="35"/>
      <c r="H508" s="35"/>
    </row>
    <row r="509">
      <c r="A509" s="35"/>
      <c r="B509" s="35"/>
      <c r="C509" s="35"/>
      <c r="D509" s="35"/>
      <c r="E509" s="35"/>
      <c r="F509" s="35"/>
      <c r="G509" s="35"/>
      <c r="H509" s="35"/>
    </row>
    <row r="510">
      <c r="A510" s="35"/>
      <c r="B510" s="35"/>
      <c r="C510" s="35"/>
      <c r="D510" s="35"/>
      <c r="E510" s="35"/>
      <c r="F510" s="35"/>
      <c r="G510" s="35"/>
      <c r="H510" s="35"/>
    </row>
    <row r="511">
      <c r="A511" s="35"/>
      <c r="B511" s="35"/>
      <c r="C511" s="35"/>
      <c r="D511" s="35"/>
      <c r="E511" s="35"/>
      <c r="F511" s="35"/>
      <c r="G511" s="35"/>
      <c r="H511" s="35"/>
    </row>
    <row r="512">
      <c r="A512" s="35"/>
      <c r="B512" s="35"/>
      <c r="C512" s="35"/>
      <c r="D512" s="35"/>
      <c r="E512" s="35"/>
      <c r="F512" s="35"/>
      <c r="G512" s="35"/>
      <c r="H512" s="35"/>
    </row>
    <row r="513">
      <c r="A513" s="35"/>
      <c r="B513" s="35"/>
      <c r="C513" s="35"/>
      <c r="D513" s="35"/>
      <c r="E513" s="35"/>
      <c r="F513" s="35"/>
      <c r="G513" s="35"/>
      <c r="H513" s="35"/>
    </row>
    <row r="514">
      <c r="A514" s="35"/>
      <c r="B514" s="35"/>
      <c r="C514" s="35"/>
      <c r="D514" s="35"/>
      <c r="E514" s="35"/>
      <c r="F514" s="35"/>
      <c r="G514" s="35"/>
      <c r="H514" s="35"/>
    </row>
    <row r="515">
      <c r="A515" s="35"/>
      <c r="B515" s="35"/>
      <c r="C515" s="35"/>
      <c r="D515" s="35"/>
      <c r="E515" s="35"/>
      <c r="F515" s="35"/>
      <c r="G515" s="35"/>
      <c r="H515" s="35"/>
    </row>
    <row r="516">
      <c r="A516" s="35"/>
      <c r="B516" s="35"/>
      <c r="C516" s="35"/>
      <c r="D516" s="35"/>
      <c r="E516" s="35"/>
      <c r="F516" s="35"/>
      <c r="G516" s="35"/>
      <c r="H516" s="35"/>
    </row>
    <row r="517">
      <c r="A517" s="35"/>
      <c r="B517" s="35"/>
      <c r="C517" s="35"/>
      <c r="D517" s="35"/>
      <c r="E517" s="35"/>
      <c r="F517" s="35"/>
      <c r="G517" s="35"/>
      <c r="H517" s="35"/>
    </row>
    <row r="518">
      <c r="A518" s="35"/>
      <c r="B518" s="35"/>
      <c r="C518" s="35"/>
      <c r="D518" s="35"/>
      <c r="E518" s="35"/>
      <c r="F518" s="35"/>
      <c r="G518" s="35"/>
      <c r="H518" s="35"/>
    </row>
    <row r="519">
      <c r="A519" s="35"/>
      <c r="B519" s="35"/>
      <c r="C519" s="35"/>
      <c r="D519" s="35"/>
      <c r="E519" s="35"/>
      <c r="F519" s="35"/>
      <c r="G519" s="35"/>
      <c r="H519" s="35"/>
    </row>
    <row r="520">
      <c r="A520" s="35"/>
      <c r="B520" s="35"/>
      <c r="C520" s="35"/>
      <c r="D520" s="35"/>
      <c r="E520" s="35"/>
      <c r="F520" s="35"/>
      <c r="G520" s="35"/>
      <c r="H520" s="35"/>
    </row>
    <row r="521">
      <c r="A521" s="35"/>
      <c r="B521" s="35"/>
      <c r="C521" s="35"/>
      <c r="D521" s="35"/>
      <c r="E521" s="35"/>
      <c r="F521" s="35"/>
      <c r="G521" s="35"/>
      <c r="H521" s="35"/>
    </row>
    <row r="522">
      <c r="A522" s="35"/>
      <c r="B522" s="35"/>
      <c r="C522" s="35"/>
      <c r="D522" s="35"/>
      <c r="E522" s="35"/>
      <c r="F522" s="35"/>
      <c r="G522" s="35"/>
      <c r="H522" s="35"/>
    </row>
    <row r="523">
      <c r="A523" s="35"/>
      <c r="B523" s="35"/>
      <c r="C523" s="35"/>
      <c r="D523" s="35"/>
      <c r="E523" s="35"/>
      <c r="F523" s="35"/>
      <c r="G523" s="35"/>
      <c r="H523" s="35"/>
    </row>
    <row r="524">
      <c r="A524" s="35"/>
      <c r="B524" s="35"/>
      <c r="C524" s="35"/>
      <c r="D524" s="35"/>
      <c r="E524" s="35"/>
      <c r="F524" s="35"/>
      <c r="G524" s="35"/>
      <c r="H524" s="35"/>
    </row>
    <row r="525">
      <c r="A525" s="35"/>
      <c r="B525" s="35"/>
      <c r="C525" s="35"/>
      <c r="D525" s="35"/>
      <c r="E525" s="35"/>
      <c r="F525" s="35"/>
      <c r="G525" s="35"/>
      <c r="H525" s="35"/>
    </row>
    <row r="526">
      <c r="A526" s="35"/>
      <c r="B526" s="35"/>
      <c r="C526" s="35"/>
      <c r="D526" s="35"/>
      <c r="E526" s="35"/>
      <c r="F526" s="35"/>
      <c r="G526" s="35"/>
      <c r="H526" s="35"/>
    </row>
    <row r="527">
      <c r="A527" s="35"/>
      <c r="B527" s="35"/>
      <c r="C527" s="35"/>
      <c r="D527" s="35"/>
      <c r="E527" s="35"/>
      <c r="F527" s="35"/>
      <c r="G527" s="35"/>
      <c r="H527" s="35"/>
    </row>
    <row r="528">
      <c r="A528" s="35"/>
      <c r="B528" s="35"/>
      <c r="C528" s="35"/>
      <c r="D528" s="35"/>
      <c r="E528" s="35"/>
      <c r="F528" s="35"/>
      <c r="G528" s="35"/>
      <c r="H528" s="35"/>
    </row>
    <row r="529">
      <c r="A529" s="35"/>
      <c r="B529" s="35"/>
      <c r="C529" s="35"/>
      <c r="D529" s="35"/>
      <c r="E529" s="35"/>
      <c r="F529" s="35"/>
      <c r="G529" s="35"/>
      <c r="H529" s="35"/>
    </row>
    <row r="530">
      <c r="A530" s="35"/>
      <c r="B530" s="35"/>
      <c r="C530" s="35"/>
      <c r="D530" s="35"/>
      <c r="E530" s="35"/>
      <c r="F530" s="35"/>
      <c r="G530" s="35"/>
      <c r="H530" s="35"/>
    </row>
    <row r="531">
      <c r="A531" s="35"/>
      <c r="B531" s="35"/>
      <c r="C531" s="35"/>
      <c r="D531" s="35"/>
      <c r="E531" s="35"/>
      <c r="F531" s="35"/>
      <c r="G531" s="35"/>
      <c r="H531" s="35"/>
    </row>
    <row r="532">
      <c r="A532" s="35"/>
      <c r="B532" s="35"/>
      <c r="C532" s="35"/>
      <c r="D532" s="35"/>
      <c r="E532" s="35"/>
      <c r="F532" s="35"/>
      <c r="G532" s="35"/>
      <c r="H532" s="35"/>
    </row>
    <row r="533">
      <c r="A533" s="35"/>
      <c r="B533" s="35"/>
      <c r="C533" s="35"/>
      <c r="D533" s="35"/>
      <c r="E533" s="35"/>
      <c r="F533" s="35"/>
      <c r="G533" s="35"/>
      <c r="H533" s="35"/>
    </row>
    <row r="534">
      <c r="A534" s="35"/>
      <c r="B534" s="35"/>
      <c r="C534" s="35"/>
      <c r="D534" s="35"/>
      <c r="E534" s="35"/>
      <c r="F534" s="35"/>
      <c r="G534" s="35"/>
      <c r="H534" s="35"/>
    </row>
    <row r="535">
      <c r="A535" s="35"/>
      <c r="B535" s="35"/>
      <c r="C535" s="35"/>
      <c r="D535" s="35"/>
      <c r="E535" s="35"/>
      <c r="F535" s="35"/>
      <c r="G535" s="35"/>
      <c r="H535" s="35"/>
    </row>
    <row r="536">
      <c r="A536" s="35"/>
      <c r="B536" s="35"/>
      <c r="C536" s="35"/>
      <c r="D536" s="35"/>
      <c r="E536" s="35"/>
      <c r="F536" s="35"/>
      <c r="G536" s="35"/>
      <c r="H536" s="35"/>
    </row>
    <row r="537">
      <c r="A537" s="35"/>
      <c r="B537" s="35"/>
      <c r="C537" s="35"/>
      <c r="D537" s="35"/>
      <c r="E537" s="35"/>
      <c r="F537" s="35"/>
      <c r="G537" s="35"/>
      <c r="H537" s="35"/>
    </row>
    <row r="538">
      <c r="A538" s="35"/>
      <c r="B538" s="35"/>
      <c r="C538" s="35"/>
      <c r="D538" s="35"/>
      <c r="E538" s="35"/>
      <c r="F538" s="35"/>
      <c r="G538" s="35"/>
      <c r="H538" s="35"/>
    </row>
    <row r="539">
      <c r="A539" s="35"/>
      <c r="B539" s="35"/>
      <c r="C539" s="35"/>
      <c r="D539" s="35"/>
      <c r="E539" s="35"/>
      <c r="F539" s="35"/>
      <c r="G539" s="35"/>
      <c r="H539" s="35"/>
    </row>
    <row r="540">
      <c r="A540" s="35"/>
      <c r="B540" s="35"/>
      <c r="C540" s="35"/>
      <c r="D540" s="35"/>
      <c r="E540" s="35"/>
      <c r="F540" s="35"/>
      <c r="G540" s="35"/>
      <c r="H540" s="35"/>
    </row>
    <row r="541">
      <c r="A541" s="35"/>
      <c r="B541" s="35"/>
      <c r="C541" s="35"/>
      <c r="D541" s="35"/>
      <c r="E541" s="35"/>
      <c r="F541" s="35"/>
      <c r="G541" s="35"/>
      <c r="H541" s="35"/>
    </row>
    <row r="542">
      <c r="A542" s="35"/>
      <c r="B542" s="35"/>
      <c r="C542" s="35"/>
      <c r="D542" s="35"/>
      <c r="E542" s="35"/>
      <c r="F542" s="35"/>
      <c r="G542" s="35"/>
      <c r="H542" s="35"/>
    </row>
    <row r="543">
      <c r="A543" s="35"/>
      <c r="B543" s="35"/>
      <c r="C543" s="35"/>
      <c r="D543" s="35"/>
      <c r="E543" s="35"/>
      <c r="F543" s="35"/>
      <c r="G543" s="35"/>
      <c r="H543" s="35"/>
    </row>
    <row r="544">
      <c r="A544" s="35"/>
      <c r="B544" s="35"/>
      <c r="C544" s="35"/>
      <c r="D544" s="35"/>
      <c r="E544" s="35"/>
      <c r="F544" s="35"/>
      <c r="G544" s="35"/>
      <c r="H544" s="35"/>
    </row>
    <row r="545">
      <c r="A545" s="35"/>
      <c r="B545" s="35"/>
      <c r="C545" s="35"/>
      <c r="D545" s="35"/>
      <c r="E545" s="35"/>
      <c r="F545" s="35"/>
      <c r="G545" s="35"/>
      <c r="H545" s="35"/>
    </row>
    <row r="546">
      <c r="A546" s="35"/>
      <c r="B546" s="35"/>
      <c r="C546" s="35"/>
      <c r="D546" s="35"/>
      <c r="E546" s="35"/>
      <c r="F546" s="35"/>
      <c r="G546" s="35"/>
      <c r="H546" s="35"/>
    </row>
    <row r="547">
      <c r="A547" s="35"/>
      <c r="B547" s="35"/>
      <c r="C547" s="35"/>
      <c r="D547" s="35"/>
      <c r="E547" s="35"/>
      <c r="F547" s="35"/>
      <c r="G547" s="35"/>
      <c r="H547" s="35"/>
    </row>
    <row r="548">
      <c r="A548" s="35"/>
      <c r="B548" s="35"/>
      <c r="C548" s="35"/>
      <c r="D548" s="35"/>
      <c r="E548" s="35"/>
      <c r="F548" s="35"/>
      <c r="G548" s="35"/>
      <c r="H548" s="35"/>
    </row>
    <row r="549">
      <c r="A549" s="35"/>
      <c r="B549" s="35"/>
      <c r="C549" s="35"/>
      <c r="D549" s="35"/>
      <c r="E549" s="35"/>
      <c r="F549" s="35"/>
      <c r="G549" s="35"/>
      <c r="H549" s="35"/>
    </row>
    <row r="550">
      <c r="A550" s="35"/>
      <c r="B550" s="35"/>
      <c r="C550" s="35"/>
      <c r="D550" s="35"/>
      <c r="E550" s="35"/>
      <c r="F550" s="35"/>
      <c r="G550" s="35"/>
      <c r="H550" s="35"/>
    </row>
    <row r="551">
      <c r="A551" s="35"/>
      <c r="B551" s="35"/>
      <c r="C551" s="35"/>
      <c r="D551" s="35"/>
      <c r="E551" s="35"/>
      <c r="F551" s="35"/>
      <c r="G551" s="35"/>
      <c r="H551" s="35"/>
    </row>
    <row r="552">
      <c r="A552" s="35"/>
      <c r="B552" s="35"/>
      <c r="C552" s="35"/>
      <c r="D552" s="35"/>
      <c r="E552" s="35"/>
      <c r="F552" s="35"/>
      <c r="G552" s="35"/>
      <c r="H552" s="35"/>
    </row>
    <row r="553">
      <c r="A553" s="35"/>
      <c r="B553" s="35"/>
      <c r="C553" s="35"/>
      <c r="D553" s="35"/>
      <c r="E553" s="35"/>
      <c r="F553" s="35"/>
      <c r="G553" s="35"/>
      <c r="H553" s="35"/>
    </row>
    <row r="554">
      <c r="A554" s="35"/>
      <c r="B554" s="35"/>
      <c r="C554" s="35"/>
      <c r="D554" s="35"/>
      <c r="E554" s="35"/>
      <c r="F554" s="35"/>
      <c r="G554" s="35"/>
      <c r="H554" s="35"/>
    </row>
    <row r="555">
      <c r="A555" s="35"/>
      <c r="B555" s="35"/>
      <c r="C555" s="35"/>
      <c r="D555" s="35"/>
      <c r="E555" s="35"/>
      <c r="F555" s="35"/>
      <c r="G555" s="35"/>
      <c r="H555" s="35"/>
    </row>
    <row r="556">
      <c r="A556" s="35"/>
      <c r="B556" s="35"/>
      <c r="C556" s="35"/>
      <c r="D556" s="35"/>
      <c r="E556" s="35"/>
      <c r="F556" s="35"/>
      <c r="G556" s="35"/>
      <c r="H556" s="35"/>
    </row>
    <row r="557">
      <c r="A557" s="35"/>
      <c r="B557" s="35"/>
      <c r="C557" s="35"/>
      <c r="D557" s="35"/>
      <c r="E557" s="35"/>
      <c r="F557" s="35"/>
      <c r="G557" s="35"/>
      <c r="H557" s="35"/>
    </row>
    <row r="558">
      <c r="A558" s="35"/>
      <c r="B558" s="35"/>
      <c r="C558" s="35"/>
      <c r="D558" s="35"/>
      <c r="E558" s="35"/>
      <c r="F558" s="35"/>
      <c r="G558" s="35"/>
      <c r="H558" s="35"/>
    </row>
    <row r="559">
      <c r="A559" s="35"/>
      <c r="B559" s="35"/>
      <c r="C559" s="35"/>
      <c r="D559" s="35"/>
      <c r="E559" s="35"/>
      <c r="F559" s="35"/>
      <c r="G559" s="35"/>
      <c r="H559" s="35"/>
    </row>
    <row r="560">
      <c r="A560" s="35"/>
      <c r="B560" s="35"/>
      <c r="C560" s="35"/>
      <c r="D560" s="35"/>
      <c r="E560" s="35"/>
      <c r="F560" s="35"/>
      <c r="G560" s="35"/>
      <c r="H560" s="35"/>
    </row>
    <row r="561">
      <c r="A561" s="35"/>
      <c r="B561" s="35"/>
      <c r="C561" s="35"/>
      <c r="D561" s="35"/>
      <c r="E561" s="35"/>
      <c r="F561" s="35"/>
      <c r="G561" s="35"/>
      <c r="H561" s="35"/>
    </row>
    <row r="562">
      <c r="A562" s="35"/>
      <c r="B562" s="35"/>
      <c r="C562" s="35"/>
      <c r="D562" s="35"/>
      <c r="E562" s="35"/>
      <c r="F562" s="35"/>
      <c r="G562" s="35"/>
      <c r="H562" s="35"/>
    </row>
    <row r="563">
      <c r="A563" s="35"/>
      <c r="B563" s="35"/>
      <c r="C563" s="35"/>
      <c r="D563" s="35"/>
      <c r="E563" s="35"/>
      <c r="F563" s="35"/>
      <c r="G563" s="35"/>
      <c r="H563" s="35"/>
    </row>
    <row r="564">
      <c r="A564" s="35"/>
      <c r="B564" s="35"/>
      <c r="C564" s="35"/>
      <c r="D564" s="35"/>
      <c r="E564" s="35"/>
      <c r="F564" s="35"/>
      <c r="G564" s="35"/>
      <c r="H564" s="35"/>
    </row>
    <row r="565">
      <c r="A565" s="35"/>
      <c r="B565" s="35"/>
      <c r="C565" s="35"/>
      <c r="D565" s="35"/>
      <c r="E565" s="35"/>
      <c r="F565" s="35"/>
      <c r="G565" s="35"/>
      <c r="H565" s="35"/>
    </row>
    <row r="566">
      <c r="A566" s="35"/>
      <c r="B566" s="35"/>
      <c r="C566" s="35"/>
      <c r="D566" s="35"/>
      <c r="E566" s="35"/>
      <c r="F566" s="35"/>
      <c r="G566" s="35"/>
      <c r="H566" s="35"/>
    </row>
    <row r="567">
      <c r="A567" s="35"/>
      <c r="B567" s="35"/>
      <c r="C567" s="35"/>
      <c r="D567" s="35"/>
      <c r="E567" s="35"/>
      <c r="F567" s="35"/>
      <c r="G567" s="35"/>
      <c r="H567" s="35"/>
    </row>
    <row r="568">
      <c r="A568" s="35"/>
      <c r="B568" s="35"/>
      <c r="C568" s="35"/>
      <c r="D568" s="35"/>
      <c r="E568" s="35"/>
      <c r="F568" s="35"/>
      <c r="G568" s="35"/>
      <c r="H568" s="35"/>
    </row>
    <row r="569">
      <c r="A569" s="35"/>
      <c r="B569" s="35"/>
      <c r="C569" s="35"/>
      <c r="D569" s="35"/>
      <c r="E569" s="35"/>
      <c r="F569" s="35"/>
      <c r="G569" s="35"/>
      <c r="H569" s="35"/>
    </row>
    <row r="570">
      <c r="A570" s="35"/>
      <c r="B570" s="35"/>
      <c r="C570" s="35"/>
      <c r="D570" s="35"/>
      <c r="E570" s="35"/>
      <c r="F570" s="35"/>
      <c r="G570" s="35"/>
      <c r="H570" s="35"/>
    </row>
    <row r="571">
      <c r="A571" s="35"/>
      <c r="B571" s="35"/>
      <c r="C571" s="35"/>
      <c r="D571" s="35"/>
      <c r="E571" s="35"/>
      <c r="F571" s="35"/>
      <c r="G571" s="35"/>
      <c r="H571" s="35"/>
    </row>
    <row r="572">
      <c r="A572" s="35"/>
      <c r="B572" s="35"/>
      <c r="C572" s="35"/>
      <c r="D572" s="35"/>
      <c r="E572" s="35"/>
      <c r="F572" s="35"/>
      <c r="G572" s="35"/>
      <c r="H572" s="35"/>
    </row>
    <row r="573">
      <c r="A573" s="35"/>
      <c r="B573" s="35"/>
      <c r="C573" s="35"/>
      <c r="D573" s="35"/>
      <c r="E573" s="35"/>
      <c r="F573" s="35"/>
      <c r="G573" s="35"/>
      <c r="H573" s="35"/>
    </row>
    <row r="574">
      <c r="A574" s="35"/>
      <c r="B574" s="35"/>
      <c r="C574" s="35"/>
      <c r="D574" s="35"/>
      <c r="E574" s="35"/>
      <c r="F574" s="35"/>
      <c r="G574" s="35"/>
      <c r="H574" s="35"/>
    </row>
    <row r="575">
      <c r="A575" s="35"/>
      <c r="B575" s="35"/>
      <c r="C575" s="35"/>
      <c r="D575" s="35"/>
      <c r="E575" s="35"/>
      <c r="F575" s="35"/>
      <c r="G575" s="35"/>
      <c r="H575" s="35"/>
    </row>
    <row r="576">
      <c r="A576" s="35"/>
      <c r="B576" s="35"/>
      <c r="C576" s="35"/>
      <c r="D576" s="35"/>
      <c r="E576" s="35"/>
      <c r="F576" s="35"/>
      <c r="G576" s="35"/>
      <c r="H576" s="35"/>
    </row>
    <row r="577">
      <c r="A577" s="35"/>
      <c r="B577" s="35"/>
      <c r="C577" s="35"/>
      <c r="D577" s="35"/>
      <c r="E577" s="35"/>
      <c r="F577" s="35"/>
      <c r="G577" s="35"/>
      <c r="H577" s="35"/>
    </row>
    <row r="578">
      <c r="A578" s="35"/>
      <c r="B578" s="35"/>
      <c r="C578" s="35"/>
      <c r="D578" s="35"/>
      <c r="E578" s="35"/>
      <c r="F578" s="35"/>
      <c r="G578" s="35"/>
      <c r="H578" s="35"/>
    </row>
    <row r="579">
      <c r="A579" s="35"/>
      <c r="B579" s="35"/>
      <c r="C579" s="35"/>
      <c r="D579" s="35"/>
      <c r="E579" s="35"/>
      <c r="F579" s="35"/>
      <c r="G579" s="35"/>
      <c r="H579" s="35"/>
    </row>
    <row r="580">
      <c r="A580" s="35"/>
      <c r="B580" s="35"/>
      <c r="C580" s="35"/>
      <c r="D580" s="35"/>
      <c r="E580" s="35"/>
      <c r="F580" s="35"/>
      <c r="G580" s="35"/>
      <c r="H580" s="35"/>
    </row>
    <row r="581">
      <c r="A581" s="35"/>
      <c r="B581" s="35"/>
      <c r="C581" s="35"/>
      <c r="D581" s="35"/>
      <c r="E581" s="35"/>
      <c r="F581" s="35"/>
      <c r="G581" s="35"/>
      <c r="H581" s="35"/>
    </row>
    <row r="582">
      <c r="A582" s="35"/>
      <c r="B582" s="35"/>
      <c r="C582" s="35"/>
      <c r="D582" s="35"/>
      <c r="E582" s="35"/>
      <c r="F582" s="35"/>
      <c r="G582" s="35"/>
      <c r="H582" s="35"/>
    </row>
    <row r="583">
      <c r="A583" s="35"/>
      <c r="B583" s="35"/>
      <c r="C583" s="35"/>
      <c r="D583" s="35"/>
      <c r="E583" s="35"/>
      <c r="F583" s="35"/>
      <c r="G583" s="35"/>
      <c r="H583" s="35"/>
    </row>
    <row r="584">
      <c r="A584" s="35"/>
      <c r="B584" s="35"/>
      <c r="C584" s="35"/>
      <c r="D584" s="35"/>
      <c r="E584" s="35"/>
      <c r="F584" s="35"/>
      <c r="G584" s="35"/>
      <c r="H584" s="35"/>
    </row>
    <row r="585">
      <c r="A585" s="35"/>
      <c r="B585" s="35"/>
      <c r="C585" s="35"/>
      <c r="D585" s="35"/>
      <c r="E585" s="35"/>
      <c r="F585" s="35"/>
      <c r="G585" s="35"/>
      <c r="H585" s="35"/>
    </row>
    <row r="586">
      <c r="A586" s="35"/>
      <c r="B586" s="35"/>
      <c r="C586" s="35"/>
      <c r="D586" s="35"/>
      <c r="E586" s="35"/>
      <c r="F586" s="35"/>
      <c r="G586" s="35"/>
      <c r="H586" s="35"/>
    </row>
    <row r="587">
      <c r="A587" s="35"/>
      <c r="B587" s="35"/>
      <c r="C587" s="35"/>
      <c r="D587" s="35"/>
      <c r="E587" s="35"/>
      <c r="F587" s="35"/>
      <c r="G587" s="35"/>
      <c r="H587" s="35"/>
    </row>
    <row r="588">
      <c r="A588" s="35"/>
      <c r="B588" s="35"/>
      <c r="C588" s="35"/>
      <c r="D588" s="35"/>
      <c r="E588" s="35"/>
      <c r="F588" s="35"/>
      <c r="G588" s="35"/>
      <c r="H588" s="35"/>
    </row>
    <row r="589">
      <c r="A589" s="35"/>
      <c r="B589" s="35"/>
      <c r="C589" s="35"/>
      <c r="D589" s="35"/>
      <c r="E589" s="35"/>
      <c r="F589" s="35"/>
      <c r="G589" s="35"/>
      <c r="H589" s="35"/>
    </row>
    <row r="590">
      <c r="A590" s="35"/>
      <c r="B590" s="35"/>
      <c r="C590" s="35"/>
      <c r="D590" s="35"/>
      <c r="E590" s="35"/>
      <c r="F590" s="35"/>
      <c r="G590" s="35"/>
      <c r="H590" s="35"/>
    </row>
    <row r="591">
      <c r="A591" s="35"/>
      <c r="B591" s="35"/>
      <c r="C591" s="35"/>
      <c r="D591" s="35"/>
      <c r="E591" s="35"/>
      <c r="F591" s="35"/>
      <c r="G591" s="35"/>
      <c r="H591" s="35"/>
    </row>
    <row r="592">
      <c r="A592" s="35"/>
      <c r="B592" s="35"/>
      <c r="C592" s="35"/>
      <c r="D592" s="35"/>
      <c r="E592" s="35"/>
      <c r="F592" s="35"/>
      <c r="G592" s="35"/>
      <c r="H592" s="35"/>
    </row>
    <row r="593">
      <c r="A593" s="35"/>
      <c r="B593" s="35"/>
      <c r="C593" s="35"/>
      <c r="D593" s="35"/>
      <c r="E593" s="35"/>
      <c r="F593" s="35"/>
      <c r="G593" s="35"/>
      <c r="H593" s="35"/>
    </row>
    <row r="594">
      <c r="A594" s="35"/>
      <c r="B594" s="35"/>
      <c r="C594" s="35"/>
      <c r="D594" s="35"/>
      <c r="E594" s="35"/>
      <c r="F594" s="35"/>
      <c r="G594" s="35"/>
      <c r="H594" s="35"/>
    </row>
    <row r="595">
      <c r="A595" s="35"/>
      <c r="B595" s="35"/>
      <c r="C595" s="35"/>
      <c r="D595" s="35"/>
      <c r="E595" s="35"/>
      <c r="F595" s="35"/>
      <c r="G595" s="35"/>
      <c r="H595" s="35"/>
    </row>
    <row r="596">
      <c r="A596" s="35"/>
      <c r="B596" s="35"/>
      <c r="C596" s="35"/>
      <c r="D596" s="35"/>
      <c r="E596" s="35"/>
      <c r="F596" s="35"/>
      <c r="G596" s="35"/>
      <c r="H596" s="35"/>
    </row>
    <row r="597">
      <c r="A597" s="35"/>
      <c r="B597" s="35"/>
      <c r="C597" s="35"/>
      <c r="D597" s="35"/>
      <c r="E597" s="35"/>
      <c r="F597" s="35"/>
      <c r="G597" s="35"/>
      <c r="H597" s="35"/>
    </row>
    <row r="598">
      <c r="A598" s="35"/>
      <c r="B598" s="35"/>
      <c r="C598" s="35"/>
      <c r="D598" s="35"/>
      <c r="E598" s="35"/>
      <c r="F598" s="35"/>
      <c r="G598" s="35"/>
      <c r="H598" s="35"/>
    </row>
    <row r="599">
      <c r="A599" s="35"/>
      <c r="B599" s="35"/>
      <c r="C599" s="35"/>
      <c r="D599" s="35"/>
      <c r="E599" s="35"/>
      <c r="F599" s="35"/>
      <c r="G599" s="35"/>
      <c r="H599" s="35"/>
    </row>
    <row r="600">
      <c r="A600" s="35"/>
      <c r="B600" s="35"/>
      <c r="C600" s="35"/>
      <c r="D600" s="35"/>
      <c r="E600" s="35"/>
      <c r="F600" s="35"/>
      <c r="G600" s="35"/>
      <c r="H600" s="35"/>
    </row>
    <row r="601">
      <c r="A601" s="35"/>
      <c r="B601" s="35"/>
      <c r="C601" s="35"/>
      <c r="D601" s="35"/>
      <c r="E601" s="35"/>
      <c r="F601" s="35"/>
      <c r="G601" s="35"/>
      <c r="H601" s="35"/>
    </row>
    <row r="602">
      <c r="A602" s="35"/>
      <c r="B602" s="35"/>
      <c r="C602" s="35"/>
      <c r="D602" s="35"/>
      <c r="E602" s="35"/>
      <c r="F602" s="35"/>
      <c r="G602" s="35"/>
      <c r="H602" s="35"/>
    </row>
    <row r="603">
      <c r="A603" s="35"/>
      <c r="B603" s="35"/>
      <c r="C603" s="35"/>
      <c r="D603" s="35"/>
      <c r="E603" s="35"/>
      <c r="F603" s="35"/>
      <c r="G603" s="35"/>
      <c r="H603" s="35"/>
    </row>
    <row r="604">
      <c r="A604" s="35"/>
      <c r="B604" s="35"/>
      <c r="C604" s="35"/>
      <c r="D604" s="35"/>
      <c r="E604" s="35"/>
      <c r="F604" s="35"/>
      <c r="G604" s="35"/>
      <c r="H604" s="35"/>
    </row>
    <row r="605">
      <c r="A605" s="35"/>
      <c r="B605" s="35"/>
      <c r="C605" s="35"/>
      <c r="D605" s="35"/>
      <c r="E605" s="35"/>
      <c r="F605" s="35"/>
      <c r="G605" s="35"/>
      <c r="H605" s="35"/>
    </row>
    <row r="606">
      <c r="A606" s="35"/>
      <c r="B606" s="35"/>
      <c r="C606" s="35"/>
      <c r="D606" s="35"/>
      <c r="E606" s="35"/>
      <c r="F606" s="35"/>
      <c r="G606" s="35"/>
      <c r="H606" s="35"/>
    </row>
    <row r="607">
      <c r="A607" s="35"/>
      <c r="B607" s="35"/>
      <c r="C607" s="35"/>
      <c r="D607" s="35"/>
      <c r="E607" s="35"/>
      <c r="F607" s="35"/>
      <c r="G607" s="35"/>
      <c r="H607" s="35"/>
    </row>
    <row r="608">
      <c r="A608" s="35"/>
      <c r="B608" s="35"/>
      <c r="C608" s="35"/>
      <c r="D608" s="35"/>
      <c r="E608" s="35"/>
      <c r="F608" s="35"/>
      <c r="G608" s="35"/>
      <c r="H608" s="35"/>
    </row>
    <row r="609">
      <c r="A609" s="35"/>
      <c r="B609" s="35"/>
      <c r="C609" s="35"/>
      <c r="D609" s="35"/>
      <c r="E609" s="35"/>
      <c r="F609" s="35"/>
      <c r="G609" s="35"/>
      <c r="H609" s="35"/>
    </row>
    <row r="610">
      <c r="A610" s="35"/>
      <c r="B610" s="35"/>
      <c r="C610" s="35"/>
      <c r="D610" s="35"/>
      <c r="E610" s="35"/>
      <c r="F610" s="35"/>
      <c r="G610" s="35"/>
      <c r="H610" s="35"/>
    </row>
    <row r="611">
      <c r="A611" s="35"/>
      <c r="B611" s="35"/>
      <c r="C611" s="35"/>
      <c r="D611" s="35"/>
      <c r="E611" s="35"/>
      <c r="F611" s="35"/>
      <c r="G611" s="35"/>
      <c r="H611" s="35"/>
    </row>
    <row r="612">
      <c r="A612" s="35"/>
      <c r="B612" s="35"/>
      <c r="C612" s="35"/>
      <c r="D612" s="35"/>
      <c r="E612" s="35"/>
      <c r="F612" s="35"/>
      <c r="G612" s="35"/>
      <c r="H612" s="35"/>
    </row>
    <row r="613">
      <c r="A613" s="35"/>
      <c r="B613" s="35"/>
      <c r="C613" s="35"/>
      <c r="D613" s="35"/>
      <c r="E613" s="35"/>
      <c r="F613" s="35"/>
      <c r="G613" s="35"/>
      <c r="H613" s="35"/>
    </row>
    <row r="614">
      <c r="A614" s="35"/>
      <c r="B614" s="35"/>
      <c r="C614" s="35"/>
      <c r="D614" s="35"/>
      <c r="E614" s="35"/>
      <c r="F614" s="35"/>
      <c r="G614" s="35"/>
      <c r="H614" s="35"/>
    </row>
    <row r="615">
      <c r="A615" s="35"/>
      <c r="B615" s="35"/>
      <c r="C615" s="35"/>
      <c r="D615" s="35"/>
      <c r="E615" s="35"/>
      <c r="F615" s="35"/>
      <c r="G615" s="35"/>
      <c r="H615" s="35"/>
    </row>
    <row r="616">
      <c r="A616" s="35"/>
      <c r="B616" s="35"/>
      <c r="C616" s="35"/>
      <c r="D616" s="35"/>
      <c r="E616" s="35"/>
      <c r="F616" s="35"/>
      <c r="G616" s="35"/>
      <c r="H616" s="35"/>
    </row>
    <row r="617">
      <c r="A617" s="35"/>
      <c r="B617" s="35"/>
      <c r="C617" s="35"/>
      <c r="D617" s="35"/>
      <c r="E617" s="35"/>
      <c r="F617" s="35"/>
      <c r="G617" s="35"/>
      <c r="H617" s="35"/>
    </row>
    <row r="618">
      <c r="A618" s="35"/>
      <c r="B618" s="35"/>
      <c r="C618" s="35"/>
      <c r="D618" s="35"/>
      <c r="E618" s="35"/>
      <c r="F618" s="35"/>
      <c r="G618" s="35"/>
      <c r="H618" s="35"/>
    </row>
    <row r="619">
      <c r="A619" s="35"/>
      <c r="B619" s="35"/>
      <c r="C619" s="35"/>
      <c r="D619" s="35"/>
      <c r="E619" s="35"/>
      <c r="F619" s="35"/>
      <c r="G619" s="35"/>
      <c r="H619" s="35"/>
    </row>
    <row r="620">
      <c r="A620" s="35"/>
      <c r="B620" s="35"/>
      <c r="C620" s="35"/>
      <c r="D620" s="35"/>
      <c r="E620" s="35"/>
      <c r="F620" s="35"/>
      <c r="G620" s="35"/>
      <c r="H620" s="35"/>
    </row>
    <row r="621">
      <c r="A621" s="35"/>
      <c r="B621" s="35"/>
      <c r="C621" s="35"/>
      <c r="D621" s="35"/>
      <c r="E621" s="35"/>
      <c r="F621" s="35"/>
      <c r="G621" s="35"/>
      <c r="H621" s="35"/>
    </row>
    <row r="622">
      <c r="A622" s="35"/>
      <c r="B622" s="35"/>
      <c r="C622" s="35"/>
      <c r="D622" s="35"/>
      <c r="E622" s="35"/>
      <c r="F622" s="35"/>
      <c r="G622" s="35"/>
      <c r="H622" s="35"/>
    </row>
    <row r="623">
      <c r="A623" s="35"/>
      <c r="B623" s="35"/>
      <c r="C623" s="35"/>
      <c r="D623" s="35"/>
      <c r="E623" s="35"/>
      <c r="F623" s="35"/>
      <c r="G623" s="35"/>
      <c r="H623" s="35"/>
    </row>
    <row r="624">
      <c r="A624" s="35"/>
      <c r="B624" s="35"/>
      <c r="C624" s="35"/>
      <c r="D624" s="35"/>
      <c r="E624" s="35"/>
      <c r="F624" s="35"/>
      <c r="G624" s="35"/>
      <c r="H624" s="35"/>
    </row>
    <row r="625">
      <c r="A625" s="35"/>
      <c r="B625" s="35"/>
      <c r="C625" s="35"/>
      <c r="D625" s="35"/>
      <c r="E625" s="35"/>
      <c r="F625" s="35"/>
      <c r="G625" s="35"/>
      <c r="H625" s="35"/>
    </row>
    <row r="626">
      <c r="A626" s="35"/>
      <c r="B626" s="35"/>
      <c r="C626" s="35"/>
      <c r="D626" s="35"/>
      <c r="E626" s="35"/>
      <c r="F626" s="35"/>
      <c r="G626" s="35"/>
      <c r="H626" s="35"/>
    </row>
    <row r="627">
      <c r="A627" s="35"/>
      <c r="B627" s="35"/>
      <c r="C627" s="35"/>
      <c r="D627" s="35"/>
      <c r="E627" s="35"/>
      <c r="F627" s="35"/>
      <c r="G627" s="35"/>
      <c r="H627" s="35"/>
    </row>
    <row r="628">
      <c r="A628" s="35"/>
      <c r="B628" s="35"/>
      <c r="C628" s="35"/>
      <c r="D628" s="35"/>
      <c r="E628" s="35"/>
      <c r="F628" s="35"/>
      <c r="G628" s="35"/>
      <c r="H628" s="35"/>
    </row>
    <row r="629">
      <c r="A629" s="35"/>
      <c r="B629" s="35"/>
      <c r="C629" s="35"/>
      <c r="D629" s="35"/>
      <c r="E629" s="35"/>
      <c r="F629" s="35"/>
      <c r="G629" s="35"/>
      <c r="H629" s="35"/>
    </row>
    <row r="630">
      <c r="A630" s="35"/>
      <c r="B630" s="35"/>
      <c r="C630" s="35"/>
      <c r="D630" s="35"/>
      <c r="E630" s="35"/>
      <c r="F630" s="35"/>
      <c r="G630" s="35"/>
      <c r="H630" s="35"/>
    </row>
    <row r="631">
      <c r="A631" s="35"/>
      <c r="B631" s="35"/>
      <c r="C631" s="35"/>
      <c r="D631" s="35"/>
      <c r="E631" s="35"/>
      <c r="F631" s="35"/>
      <c r="G631" s="35"/>
      <c r="H631" s="35"/>
    </row>
    <row r="632">
      <c r="A632" s="35"/>
      <c r="B632" s="35"/>
      <c r="C632" s="35"/>
      <c r="D632" s="35"/>
      <c r="E632" s="35"/>
      <c r="F632" s="35"/>
      <c r="G632" s="35"/>
      <c r="H632" s="35"/>
    </row>
    <row r="633">
      <c r="A633" s="35"/>
      <c r="B633" s="35"/>
      <c r="C633" s="35"/>
      <c r="D633" s="35"/>
      <c r="E633" s="35"/>
      <c r="F633" s="35"/>
      <c r="G633" s="35"/>
      <c r="H633" s="35"/>
    </row>
    <row r="634">
      <c r="A634" s="35"/>
      <c r="B634" s="35"/>
      <c r="C634" s="35"/>
      <c r="D634" s="35"/>
      <c r="E634" s="35"/>
      <c r="F634" s="35"/>
      <c r="G634" s="35"/>
      <c r="H634" s="35"/>
    </row>
    <row r="635">
      <c r="A635" s="35"/>
      <c r="B635" s="35"/>
      <c r="C635" s="35"/>
      <c r="D635" s="35"/>
      <c r="E635" s="35"/>
      <c r="F635" s="35"/>
      <c r="G635" s="35"/>
      <c r="H635" s="35"/>
    </row>
    <row r="636">
      <c r="A636" s="35"/>
      <c r="B636" s="35"/>
      <c r="C636" s="35"/>
      <c r="D636" s="35"/>
      <c r="E636" s="35"/>
      <c r="F636" s="35"/>
      <c r="G636" s="35"/>
      <c r="H636" s="35"/>
    </row>
    <row r="637">
      <c r="A637" s="35"/>
      <c r="B637" s="35"/>
      <c r="C637" s="35"/>
      <c r="D637" s="35"/>
      <c r="E637" s="35"/>
      <c r="F637" s="35"/>
      <c r="G637" s="35"/>
      <c r="H637" s="35"/>
    </row>
    <row r="638">
      <c r="A638" s="35"/>
      <c r="B638" s="35"/>
      <c r="C638" s="35"/>
      <c r="D638" s="35"/>
      <c r="E638" s="35"/>
      <c r="F638" s="35"/>
      <c r="G638" s="35"/>
      <c r="H638" s="35"/>
    </row>
    <row r="639">
      <c r="A639" s="35"/>
      <c r="B639" s="35"/>
      <c r="C639" s="35"/>
      <c r="D639" s="35"/>
      <c r="E639" s="35"/>
      <c r="F639" s="35"/>
      <c r="G639" s="35"/>
      <c r="H639" s="35"/>
    </row>
    <row r="640">
      <c r="A640" s="35"/>
      <c r="B640" s="35"/>
      <c r="C640" s="35"/>
      <c r="D640" s="35"/>
      <c r="E640" s="35"/>
      <c r="F640" s="35"/>
      <c r="G640" s="35"/>
      <c r="H640" s="35"/>
    </row>
    <row r="641">
      <c r="A641" s="35"/>
      <c r="B641" s="35"/>
      <c r="C641" s="35"/>
      <c r="D641" s="35"/>
      <c r="E641" s="35"/>
      <c r="F641" s="35"/>
      <c r="G641" s="35"/>
      <c r="H641" s="35"/>
    </row>
    <row r="642">
      <c r="A642" s="35"/>
      <c r="B642" s="35"/>
      <c r="C642" s="35"/>
      <c r="D642" s="35"/>
      <c r="E642" s="35"/>
      <c r="F642" s="35"/>
      <c r="G642" s="35"/>
      <c r="H642" s="35"/>
    </row>
    <row r="643">
      <c r="A643" s="35"/>
      <c r="B643" s="35"/>
      <c r="C643" s="35"/>
      <c r="D643" s="35"/>
      <c r="E643" s="35"/>
      <c r="F643" s="35"/>
      <c r="G643" s="35"/>
      <c r="H643" s="35"/>
    </row>
    <row r="644">
      <c r="A644" s="35"/>
      <c r="B644" s="35"/>
      <c r="C644" s="35"/>
      <c r="D644" s="35"/>
      <c r="E644" s="35"/>
      <c r="F644" s="35"/>
      <c r="G644" s="35"/>
      <c r="H644" s="35"/>
    </row>
    <row r="645">
      <c r="A645" s="35"/>
      <c r="B645" s="35"/>
      <c r="C645" s="35"/>
      <c r="D645" s="35"/>
      <c r="E645" s="35"/>
      <c r="F645" s="35"/>
      <c r="G645" s="35"/>
      <c r="H645" s="35"/>
    </row>
    <row r="646">
      <c r="A646" s="35"/>
      <c r="B646" s="35"/>
      <c r="C646" s="35"/>
      <c r="D646" s="35"/>
      <c r="E646" s="35"/>
      <c r="F646" s="35"/>
      <c r="G646" s="35"/>
      <c r="H646" s="35"/>
    </row>
    <row r="647">
      <c r="A647" s="35"/>
      <c r="B647" s="35"/>
      <c r="C647" s="35"/>
      <c r="D647" s="35"/>
      <c r="E647" s="35"/>
      <c r="F647" s="35"/>
      <c r="G647" s="35"/>
      <c r="H647" s="35"/>
    </row>
    <row r="648">
      <c r="A648" s="35"/>
      <c r="B648" s="35"/>
      <c r="C648" s="35"/>
      <c r="D648" s="35"/>
      <c r="E648" s="35"/>
      <c r="F648" s="35"/>
      <c r="G648" s="35"/>
      <c r="H648" s="35"/>
    </row>
    <row r="649">
      <c r="A649" s="35"/>
      <c r="B649" s="35"/>
      <c r="C649" s="35"/>
      <c r="D649" s="35"/>
      <c r="E649" s="35"/>
      <c r="F649" s="35"/>
      <c r="G649" s="35"/>
      <c r="H649" s="35"/>
    </row>
    <row r="650">
      <c r="A650" s="35"/>
      <c r="B650" s="35"/>
      <c r="C650" s="35"/>
      <c r="D650" s="35"/>
      <c r="E650" s="35"/>
      <c r="F650" s="35"/>
      <c r="G650" s="35"/>
      <c r="H650" s="35"/>
    </row>
    <row r="651">
      <c r="A651" s="35"/>
      <c r="B651" s="35"/>
      <c r="C651" s="35"/>
      <c r="D651" s="35"/>
      <c r="E651" s="35"/>
      <c r="F651" s="35"/>
      <c r="G651" s="35"/>
      <c r="H651" s="35"/>
    </row>
    <row r="652">
      <c r="A652" s="35"/>
      <c r="B652" s="35"/>
      <c r="C652" s="35"/>
      <c r="D652" s="35"/>
      <c r="E652" s="35"/>
      <c r="F652" s="35"/>
      <c r="G652" s="35"/>
      <c r="H652" s="35"/>
    </row>
    <row r="653">
      <c r="A653" s="35"/>
      <c r="B653" s="35"/>
      <c r="C653" s="35"/>
      <c r="D653" s="35"/>
      <c r="E653" s="35"/>
      <c r="F653" s="35"/>
      <c r="G653" s="35"/>
      <c r="H653" s="35"/>
    </row>
    <row r="654">
      <c r="A654" s="35"/>
      <c r="B654" s="35"/>
      <c r="C654" s="35"/>
      <c r="D654" s="35"/>
      <c r="E654" s="35"/>
      <c r="F654" s="35"/>
      <c r="G654" s="35"/>
      <c r="H654" s="35"/>
    </row>
    <row r="655">
      <c r="A655" s="35"/>
      <c r="B655" s="35"/>
      <c r="C655" s="35"/>
      <c r="D655" s="35"/>
      <c r="E655" s="35"/>
      <c r="F655" s="35"/>
      <c r="G655" s="35"/>
      <c r="H655" s="35"/>
    </row>
    <row r="656">
      <c r="A656" s="35"/>
      <c r="B656" s="35"/>
      <c r="C656" s="35"/>
      <c r="D656" s="35"/>
      <c r="E656" s="35"/>
      <c r="F656" s="35"/>
      <c r="G656" s="35"/>
      <c r="H656" s="35"/>
    </row>
    <row r="657">
      <c r="A657" s="35"/>
      <c r="B657" s="35"/>
      <c r="C657" s="35"/>
      <c r="D657" s="35"/>
      <c r="E657" s="35"/>
      <c r="F657" s="35"/>
      <c r="G657" s="35"/>
      <c r="H657" s="35"/>
    </row>
    <row r="658">
      <c r="A658" s="35"/>
      <c r="B658" s="35"/>
      <c r="C658" s="35"/>
      <c r="D658" s="35"/>
      <c r="E658" s="35"/>
      <c r="F658" s="35"/>
      <c r="G658" s="35"/>
      <c r="H658" s="35"/>
    </row>
    <row r="659">
      <c r="A659" s="35"/>
      <c r="B659" s="35"/>
      <c r="C659" s="35"/>
      <c r="D659" s="35"/>
      <c r="E659" s="35"/>
      <c r="F659" s="35"/>
      <c r="G659" s="35"/>
      <c r="H659" s="35"/>
    </row>
    <row r="660">
      <c r="A660" s="35"/>
      <c r="B660" s="35"/>
      <c r="C660" s="35"/>
      <c r="D660" s="35"/>
      <c r="E660" s="35"/>
      <c r="F660" s="35"/>
      <c r="G660" s="35"/>
      <c r="H660" s="35"/>
    </row>
    <row r="661">
      <c r="A661" s="35"/>
      <c r="B661" s="35"/>
      <c r="C661" s="35"/>
      <c r="D661" s="35"/>
      <c r="E661" s="35"/>
      <c r="F661" s="35"/>
      <c r="G661" s="35"/>
      <c r="H661" s="35"/>
    </row>
    <row r="662">
      <c r="A662" s="35"/>
      <c r="B662" s="35"/>
      <c r="C662" s="35"/>
      <c r="D662" s="35"/>
      <c r="E662" s="35"/>
      <c r="F662" s="35"/>
      <c r="G662" s="35"/>
      <c r="H662" s="35"/>
    </row>
    <row r="663">
      <c r="A663" s="35"/>
      <c r="B663" s="35"/>
      <c r="C663" s="35"/>
      <c r="D663" s="35"/>
      <c r="E663" s="35"/>
      <c r="F663" s="35"/>
      <c r="G663" s="35"/>
      <c r="H663" s="35"/>
    </row>
    <row r="664">
      <c r="A664" s="35"/>
      <c r="B664" s="35"/>
      <c r="C664" s="35"/>
      <c r="D664" s="35"/>
      <c r="E664" s="35"/>
      <c r="F664" s="35"/>
      <c r="G664" s="35"/>
      <c r="H664" s="35"/>
    </row>
    <row r="665">
      <c r="A665" s="35"/>
      <c r="B665" s="35"/>
      <c r="C665" s="35"/>
      <c r="D665" s="35"/>
      <c r="E665" s="35"/>
      <c r="F665" s="35"/>
      <c r="G665" s="35"/>
      <c r="H665" s="35"/>
    </row>
    <row r="666">
      <c r="A666" s="35"/>
      <c r="B666" s="35"/>
      <c r="C666" s="35"/>
      <c r="D666" s="35"/>
      <c r="E666" s="35"/>
      <c r="F666" s="35"/>
      <c r="G666" s="35"/>
      <c r="H666" s="35"/>
    </row>
    <row r="667">
      <c r="A667" s="35"/>
      <c r="B667" s="35"/>
      <c r="C667" s="35"/>
      <c r="D667" s="35"/>
      <c r="E667" s="35"/>
      <c r="F667" s="35"/>
      <c r="G667" s="35"/>
      <c r="H667" s="35"/>
    </row>
    <row r="668">
      <c r="A668" s="35"/>
      <c r="B668" s="35"/>
      <c r="C668" s="35"/>
      <c r="D668" s="35"/>
      <c r="E668" s="35"/>
      <c r="F668" s="35"/>
      <c r="G668" s="35"/>
      <c r="H668" s="35"/>
    </row>
    <row r="669">
      <c r="A669" s="35"/>
      <c r="B669" s="35"/>
      <c r="C669" s="35"/>
      <c r="D669" s="35"/>
      <c r="E669" s="35"/>
      <c r="F669" s="35"/>
      <c r="G669" s="35"/>
      <c r="H669" s="35"/>
    </row>
    <row r="670">
      <c r="A670" s="35"/>
      <c r="B670" s="35"/>
      <c r="C670" s="35"/>
      <c r="D670" s="35"/>
      <c r="E670" s="35"/>
      <c r="F670" s="35"/>
      <c r="G670" s="35"/>
      <c r="H670" s="35"/>
    </row>
    <row r="671">
      <c r="A671" s="35"/>
      <c r="B671" s="35"/>
      <c r="C671" s="35"/>
      <c r="D671" s="35"/>
      <c r="E671" s="35"/>
      <c r="F671" s="35"/>
      <c r="G671" s="35"/>
      <c r="H671" s="35"/>
    </row>
    <row r="672">
      <c r="A672" s="35"/>
      <c r="B672" s="35"/>
      <c r="C672" s="35"/>
      <c r="D672" s="35"/>
      <c r="E672" s="35"/>
      <c r="F672" s="35"/>
      <c r="G672" s="35"/>
      <c r="H672" s="35"/>
    </row>
    <row r="673">
      <c r="A673" s="35"/>
      <c r="B673" s="35"/>
      <c r="C673" s="35"/>
      <c r="D673" s="35"/>
      <c r="E673" s="35"/>
      <c r="F673" s="35"/>
      <c r="G673" s="35"/>
      <c r="H673" s="35"/>
    </row>
    <row r="674">
      <c r="A674" s="35"/>
      <c r="B674" s="35"/>
      <c r="C674" s="35"/>
      <c r="D674" s="35"/>
      <c r="E674" s="35"/>
      <c r="F674" s="35"/>
      <c r="G674" s="35"/>
      <c r="H674" s="35"/>
    </row>
    <row r="675">
      <c r="A675" s="35"/>
      <c r="B675" s="35"/>
      <c r="C675" s="35"/>
      <c r="D675" s="35"/>
      <c r="E675" s="35"/>
      <c r="F675" s="35"/>
      <c r="G675" s="35"/>
      <c r="H675" s="35"/>
    </row>
    <row r="676">
      <c r="A676" s="35"/>
      <c r="B676" s="35"/>
      <c r="C676" s="35"/>
      <c r="D676" s="35"/>
      <c r="E676" s="35"/>
      <c r="F676" s="35"/>
      <c r="G676" s="35"/>
      <c r="H676" s="35"/>
    </row>
    <row r="677">
      <c r="A677" s="35"/>
      <c r="B677" s="35"/>
      <c r="C677" s="35"/>
      <c r="D677" s="35"/>
      <c r="E677" s="35"/>
      <c r="F677" s="35"/>
      <c r="G677" s="35"/>
      <c r="H677" s="35"/>
    </row>
    <row r="678">
      <c r="A678" s="35"/>
      <c r="B678" s="35"/>
      <c r="C678" s="35"/>
      <c r="D678" s="35"/>
      <c r="E678" s="35"/>
      <c r="F678" s="35"/>
      <c r="G678" s="35"/>
      <c r="H678" s="35"/>
    </row>
    <row r="679">
      <c r="A679" s="35"/>
      <c r="B679" s="35"/>
      <c r="C679" s="35"/>
      <c r="D679" s="35"/>
      <c r="E679" s="35"/>
      <c r="F679" s="35"/>
      <c r="G679" s="35"/>
      <c r="H679" s="35"/>
    </row>
    <row r="680">
      <c r="A680" s="35"/>
      <c r="B680" s="35"/>
      <c r="C680" s="35"/>
      <c r="D680" s="35"/>
      <c r="E680" s="35"/>
      <c r="F680" s="35"/>
      <c r="G680" s="35"/>
      <c r="H680" s="35"/>
    </row>
    <row r="681">
      <c r="A681" s="35"/>
      <c r="B681" s="35"/>
      <c r="C681" s="35"/>
      <c r="D681" s="35"/>
      <c r="E681" s="35"/>
      <c r="F681" s="35"/>
      <c r="G681" s="35"/>
      <c r="H681" s="35"/>
    </row>
    <row r="682">
      <c r="A682" s="35"/>
      <c r="B682" s="35"/>
      <c r="C682" s="35"/>
      <c r="D682" s="35"/>
      <c r="E682" s="35"/>
      <c r="F682" s="35"/>
      <c r="G682" s="35"/>
      <c r="H682" s="35"/>
    </row>
    <row r="683">
      <c r="A683" s="35"/>
      <c r="B683" s="35"/>
      <c r="C683" s="35"/>
      <c r="D683" s="35"/>
      <c r="E683" s="35"/>
      <c r="F683" s="35"/>
      <c r="G683" s="35"/>
      <c r="H683" s="35"/>
    </row>
    <row r="684">
      <c r="A684" s="35"/>
      <c r="B684" s="35"/>
      <c r="C684" s="35"/>
      <c r="D684" s="35"/>
      <c r="E684" s="35"/>
      <c r="F684" s="35"/>
      <c r="G684" s="35"/>
      <c r="H684" s="35"/>
    </row>
    <row r="685">
      <c r="A685" s="35"/>
      <c r="B685" s="35"/>
      <c r="C685" s="35"/>
      <c r="D685" s="35"/>
      <c r="E685" s="35"/>
      <c r="F685" s="35"/>
      <c r="G685" s="35"/>
      <c r="H685" s="35"/>
    </row>
    <row r="686">
      <c r="A686" s="35"/>
      <c r="B686" s="35"/>
      <c r="C686" s="35"/>
      <c r="D686" s="35"/>
      <c r="E686" s="35"/>
      <c r="F686" s="35"/>
      <c r="G686" s="35"/>
      <c r="H686" s="35"/>
    </row>
    <row r="687">
      <c r="A687" s="35"/>
      <c r="B687" s="35"/>
      <c r="C687" s="35"/>
      <c r="D687" s="35"/>
      <c r="E687" s="35"/>
      <c r="F687" s="35"/>
      <c r="G687" s="35"/>
      <c r="H687" s="35"/>
    </row>
    <row r="688">
      <c r="A688" s="35"/>
      <c r="B688" s="35"/>
      <c r="C688" s="35"/>
      <c r="D688" s="35"/>
      <c r="E688" s="35"/>
      <c r="F688" s="35"/>
      <c r="G688" s="35"/>
      <c r="H688" s="35"/>
    </row>
    <row r="689">
      <c r="A689" s="35"/>
      <c r="B689" s="35"/>
      <c r="C689" s="35"/>
      <c r="D689" s="35"/>
      <c r="E689" s="35"/>
      <c r="F689" s="35"/>
      <c r="G689" s="35"/>
      <c r="H689" s="35"/>
    </row>
    <row r="690">
      <c r="A690" s="35"/>
      <c r="B690" s="35"/>
      <c r="C690" s="35"/>
      <c r="D690" s="35"/>
      <c r="E690" s="35"/>
      <c r="F690" s="35"/>
      <c r="G690" s="35"/>
      <c r="H690" s="35"/>
    </row>
    <row r="691">
      <c r="A691" s="35"/>
      <c r="B691" s="35"/>
      <c r="C691" s="35"/>
      <c r="D691" s="35"/>
      <c r="E691" s="35"/>
      <c r="F691" s="35"/>
      <c r="G691" s="35"/>
      <c r="H691" s="35"/>
    </row>
    <row r="692">
      <c r="A692" s="35"/>
      <c r="B692" s="35"/>
      <c r="C692" s="35"/>
      <c r="D692" s="35"/>
      <c r="E692" s="35"/>
      <c r="F692" s="35"/>
      <c r="G692" s="35"/>
      <c r="H692" s="35"/>
    </row>
    <row r="693">
      <c r="A693" s="35"/>
      <c r="B693" s="35"/>
      <c r="C693" s="35"/>
      <c r="D693" s="35"/>
      <c r="E693" s="35"/>
      <c r="F693" s="35"/>
      <c r="G693" s="35"/>
      <c r="H693" s="35"/>
    </row>
    <row r="694">
      <c r="A694" s="35"/>
      <c r="B694" s="35"/>
      <c r="C694" s="35"/>
      <c r="D694" s="35"/>
      <c r="E694" s="35"/>
      <c r="F694" s="35"/>
      <c r="G694" s="35"/>
      <c r="H694" s="35"/>
    </row>
    <row r="695">
      <c r="A695" s="35"/>
      <c r="B695" s="35"/>
      <c r="C695" s="35"/>
      <c r="D695" s="35"/>
      <c r="E695" s="35"/>
      <c r="F695" s="35"/>
      <c r="G695" s="35"/>
      <c r="H695" s="35"/>
    </row>
    <row r="696">
      <c r="A696" s="35"/>
      <c r="B696" s="35"/>
      <c r="C696" s="35"/>
      <c r="D696" s="35"/>
      <c r="E696" s="35"/>
      <c r="F696" s="35"/>
      <c r="G696" s="35"/>
      <c r="H696" s="35"/>
    </row>
    <row r="697">
      <c r="A697" s="35"/>
      <c r="B697" s="35"/>
      <c r="C697" s="35"/>
      <c r="D697" s="35"/>
      <c r="E697" s="35"/>
      <c r="F697" s="35"/>
      <c r="G697" s="35"/>
      <c r="H697" s="35"/>
    </row>
    <row r="698">
      <c r="A698" s="35"/>
      <c r="B698" s="35"/>
      <c r="C698" s="35"/>
      <c r="D698" s="35"/>
      <c r="E698" s="35"/>
      <c r="F698" s="35"/>
      <c r="G698" s="35"/>
      <c r="H698" s="35"/>
    </row>
    <row r="699">
      <c r="A699" s="35"/>
      <c r="B699" s="35"/>
      <c r="C699" s="35"/>
      <c r="D699" s="35"/>
      <c r="E699" s="35"/>
      <c r="F699" s="35"/>
      <c r="G699" s="35"/>
      <c r="H699" s="35"/>
    </row>
    <row r="700">
      <c r="A700" s="35"/>
      <c r="B700" s="35"/>
      <c r="C700" s="35"/>
      <c r="D700" s="35"/>
      <c r="E700" s="35"/>
      <c r="F700" s="35"/>
      <c r="G700" s="35"/>
      <c r="H700" s="35"/>
    </row>
    <row r="701">
      <c r="A701" s="35"/>
      <c r="B701" s="35"/>
      <c r="C701" s="35"/>
      <c r="D701" s="35"/>
      <c r="E701" s="35"/>
      <c r="F701" s="35"/>
      <c r="G701" s="35"/>
      <c r="H701" s="35"/>
    </row>
    <row r="702">
      <c r="A702" s="35"/>
      <c r="B702" s="35"/>
      <c r="C702" s="35"/>
      <c r="D702" s="35"/>
      <c r="E702" s="35"/>
      <c r="F702" s="35"/>
      <c r="G702" s="35"/>
      <c r="H702" s="35"/>
    </row>
    <row r="703">
      <c r="A703" s="35"/>
      <c r="B703" s="35"/>
      <c r="C703" s="35"/>
      <c r="D703" s="35"/>
      <c r="E703" s="35"/>
      <c r="F703" s="35"/>
      <c r="G703" s="35"/>
      <c r="H703" s="35"/>
    </row>
    <row r="704">
      <c r="A704" s="35"/>
      <c r="B704" s="35"/>
      <c r="C704" s="35"/>
      <c r="D704" s="35"/>
      <c r="E704" s="35"/>
      <c r="F704" s="35"/>
      <c r="G704" s="35"/>
      <c r="H704" s="35"/>
    </row>
    <row r="705">
      <c r="A705" s="35"/>
      <c r="B705" s="35"/>
      <c r="C705" s="35"/>
      <c r="D705" s="35"/>
      <c r="E705" s="35"/>
      <c r="F705" s="35"/>
      <c r="G705" s="35"/>
      <c r="H705" s="35"/>
    </row>
    <row r="706">
      <c r="A706" s="35"/>
      <c r="B706" s="35"/>
      <c r="C706" s="35"/>
      <c r="D706" s="35"/>
      <c r="E706" s="35"/>
      <c r="F706" s="35"/>
      <c r="G706" s="35"/>
      <c r="H706" s="35"/>
    </row>
    <row r="707">
      <c r="A707" s="35"/>
      <c r="B707" s="35"/>
      <c r="C707" s="35"/>
      <c r="D707" s="35"/>
      <c r="E707" s="35"/>
      <c r="F707" s="35"/>
      <c r="G707" s="35"/>
      <c r="H707" s="35"/>
    </row>
    <row r="708">
      <c r="A708" s="35"/>
      <c r="B708" s="35"/>
      <c r="C708" s="35"/>
      <c r="D708" s="35"/>
      <c r="E708" s="35"/>
      <c r="F708" s="35"/>
      <c r="G708" s="35"/>
      <c r="H708" s="35"/>
    </row>
    <row r="709">
      <c r="A709" s="35"/>
      <c r="B709" s="35"/>
      <c r="C709" s="35"/>
      <c r="D709" s="35"/>
      <c r="E709" s="35"/>
      <c r="F709" s="35"/>
      <c r="G709" s="35"/>
      <c r="H709" s="35"/>
    </row>
    <row r="710">
      <c r="A710" s="35"/>
      <c r="B710" s="35"/>
      <c r="C710" s="35"/>
      <c r="D710" s="35"/>
      <c r="E710" s="35"/>
      <c r="F710" s="35"/>
      <c r="G710" s="35"/>
      <c r="H710" s="35"/>
    </row>
    <row r="711">
      <c r="A711" s="35"/>
      <c r="B711" s="35"/>
      <c r="C711" s="35"/>
      <c r="D711" s="35"/>
      <c r="E711" s="35"/>
      <c r="F711" s="35"/>
      <c r="G711" s="35"/>
      <c r="H711" s="35"/>
    </row>
    <row r="712">
      <c r="A712" s="35"/>
      <c r="B712" s="35"/>
      <c r="C712" s="35"/>
      <c r="D712" s="35"/>
      <c r="E712" s="35"/>
      <c r="F712" s="35"/>
      <c r="G712" s="35"/>
      <c r="H712" s="35"/>
    </row>
    <row r="713">
      <c r="A713" s="35"/>
      <c r="B713" s="35"/>
      <c r="C713" s="35"/>
      <c r="D713" s="35"/>
      <c r="E713" s="35"/>
      <c r="F713" s="35"/>
      <c r="G713" s="35"/>
      <c r="H713" s="35"/>
    </row>
    <row r="714">
      <c r="A714" s="35"/>
      <c r="B714" s="35"/>
      <c r="C714" s="35"/>
      <c r="D714" s="35"/>
      <c r="E714" s="35"/>
      <c r="F714" s="35"/>
      <c r="G714" s="35"/>
      <c r="H714" s="35"/>
    </row>
    <row r="715">
      <c r="A715" s="35"/>
      <c r="B715" s="35"/>
      <c r="C715" s="35"/>
      <c r="D715" s="35"/>
      <c r="E715" s="35"/>
      <c r="F715" s="35"/>
      <c r="G715" s="35"/>
      <c r="H715" s="35"/>
    </row>
    <row r="716">
      <c r="A716" s="35"/>
      <c r="B716" s="35"/>
      <c r="C716" s="35"/>
      <c r="D716" s="35"/>
      <c r="E716" s="35"/>
      <c r="F716" s="35"/>
      <c r="G716" s="35"/>
      <c r="H716" s="35"/>
    </row>
    <row r="717">
      <c r="A717" s="35"/>
      <c r="B717" s="35"/>
      <c r="C717" s="35"/>
      <c r="D717" s="35"/>
      <c r="E717" s="35"/>
      <c r="F717" s="35"/>
      <c r="G717" s="35"/>
      <c r="H717" s="35"/>
    </row>
    <row r="718">
      <c r="A718" s="35"/>
      <c r="B718" s="35"/>
      <c r="C718" s="35"/>
      <c r="D718" s="35"/>
      <c r="E718" s="35"/>
      <c r="F718" s="35"/>
      <c r="G718" s="35"/>
      <c r="H718" s="35"/>
    </row>
    <row r="719">
      <c r="A719" s="35"/>
      <c r="B719" s="35"/>
      <c r="C719" s="35"/>
      <c r="D719" s="35"/>
      <c r="E719" s="35"/>
      <c r="F719" s="35"/>
      <c r="G719" s="35"/>
      <c r="H719" s="35"/>
    </row>
    <row r="720">
      <c r="A720" s="35"/>
      <c r="B720" s="35"/>
      <c r="C720" s="35"/>
      <c r="D720" s="35"/>
      <c r="E720" s="35"/>
      <c r="F720" s="35"/>
      <c r="G720" s="35"/>
      <c r="H720" s="35"/>
    </row>
    <row r="721">
      <c r="A721" s="35"/>
      <c r="B721" s="35"/>
      <c r="C721" s="35"/>
      <c r="D721" s="35"/>
      <c r="E721" s="35"/>
      <c r="F721" s="35"/>
      <c r="G721" s="35"/>
      <c r="H721" s="35"/>
    </row>
    <row r="722">
      <c r="A722" s="35"/>
      <c r="B722" s="35"/>
      <c r="C722" s="35"/>
      <c r="D722" s="35"/>
      <c r="E722" s="35"/>
      <c r="F722" s="35"/>
      <c r="G722" s="35"/>
      <c r="H722" s="35"/>
    </row>
    <row r="723">
      <c r="A723" s="35"/>
      <c r="B723" s="35"/>
      <c r="C723" s="35"/>
      <c r="D723" s="35"/>
      <c r="E723" s="35"/>
      <c r="F723" s="35"/>
      <c r="G723" s="35"/>
      <c r="H723" s="35"/>
    </row>
    <row r="724">
      <c r="A724" s="35"/>
      <c r="B724" s="35"/>
      <c r="C724" s="35"/>
      <c r="D724" s="35"/>
      <c r="E724" s="35"/>
      <c r="F724" s="35"/>
      <c r="G724" s="35"/>
      <c r="H724" s="35"/>
    </row>
    <row r="725">
      <c r="A725" s="35"/>
      <c r="B725" s="35"/>
      <c r="C725" s="35"/>
      <c r="D725" s="35"/>
      <c r="E725" s="35"/>
      <c r="F725" s="35"/>
      <c r="G725" s="35"/>
      <c r="H725" s="35"/>
    </row>
    <row r="726">
      <c r="A726" s="35"/>
      <c r="B726" s="35"/>
      <c r="C726" s="35"/>
      <c r="D726" s="35"/>
      <c r="E726" s="35"/>
      <c r="F726" s="35"/>
      <c r="G726" s="35"/>
      <c r="H726" s="35"/>
    </row>
    <row r="727">
      <c r="A727" s="35"/>
      <c r="B727" s="35"/>
      <c r="C727" s="35"/>
      <c r="D727" s="35"/>
      <c r="E727" s="35"/>
      <c r="F727" s="35"/>
      <c r="G727" s="35"/>
      <c r="H727" s="35"/>
    </row>
    <row r="728">
      <c r="A728" s="35"/>
      <c r="B728" s="35"/>
      <c r="C728" s="35"/>
      <c r="D728" s="35"/>
      <c r="E728" s="35"/>
      <c r="F728" s="35"/>
      <c r="G728" s="35"/>
      <c r="H728" s="35"/>
    </row>
    <row r="729">
      <c r="A729" s="35"/>
      <c r="B729" s="35"/>
      <c r="C729" s="35"/>
      <c r="D729" s="35"/>
      <c r="E729" s="35"/>
      <c r="F729" s="35"/>
      <c r="G729" s="35"/>
      <c r="H729" s="35"/>
    </row>
    <row r="730">
      <c r="A730" s="35"/>
      <c r="B730" s="35"/>
      <c r="C730" s="35"/>
      <c r="D730" s="35"/>
      <c r="E730" s="35"/>
      <c r="F730" s="35"/>
      <c r="G730" s="35"/>
      <c r="H730" s="35"/>
    </row>
    <row r="731">
      <c r="A731" s="35"/>
      <c r="B731" s="35"/>
      <c r="C731" s="35"/>
      <c r="D731" s="35"/>
      <c r="E731" s="35"/>
      <c r="F731" s="35"/>
      <c r="G731" s="35"/>
      <c r="H731" s="35"/>
    </row>
    <row r="732">
      <c r="A732" s="35"/>
      <c r="B732" s="35"/>
      <c r="C732" s="35"/>
      <c r="D732" s="35"/>
      <c r="E732" s="35"/>
      <c r="F732" s="35"/>
      <c r="G732" s="35"/>
      <c r="H732" s="35"/>
    </row>
    <row r="733">
      <c r="A733" s="35"/>
      <c r="B733" s="35"/>
      <c r="C733" s="35"/>
      <c r="D733" s="35"/>
      <c r="E733" s="35"/>
      <c r="F733" s="35"/>
      <c r="G733" s="35"/>
      <c r="H733" s="35"/>
    </row>
    <row r="734">
      <c r="A734" s="35"/>
      <c r="B734" s="35"/>
      <c r="C734" s="35"/>
      <c r="D734" s="35"/>
      <c r="E734" s="35"/>
      <c r="F734" s="35"/>
      <c r="G734" s="35"/>
      <c r="H734" s="35"/>
    </row>
    <row r="735">
      <c r="A735" s="35"/>
      <c r="B735" s="35"/>
      <c r="C735" s="35"/>
      <c r="D735" s="35"/>
      <c r="E735" s="35"/>
      <c r="F735" s="35"/>
      <c r="G735" s="35"/>
      <c r="H735" s="35"/>
    </row>
    <row r="736">
      <c r="A736" s="35"/>
      <c r="B736" s="35"/>
      <c r="C736" s="35"/>
      <c r="D736" s="35"/>
      <c r="E736" s="35"/>
      <c r="F736" s="35"/>
      <c r="G736" s="35"/>
      <c r="H736" s="35"/>
    </row>
    <row r="737">
      <c r="A737" s="35"/>
      <c r="B737" s="35"/>
      <c r="C737" s="35"/>
      <c r="D737" s="35"/>
      <c r="E737" s="35"/>
      <c r="F737" s="35"/>
      <c r="G737" s="35"/>
      <c r="H737" s="35"/>
    </row>
    <row r="738">
      <c r="A738" s="35"/>
      <c r="B738" s="35"/>
      <c r="C738" s="35"/>
      <c r="D738" s="35"/>
      <c r="E738" s="35"/>
      <c r="F738" s="35"/>
      <c r="G738" s="35"/>
      <c r="H738" s="35"/>
    </row>
    <row r="739">
      <c r="A739" s="35"/>
      <c r="B739" s="35"/>
      <c r="C739" s="35"/>
      <c r="D739" s="35"/>
      <c r="E739" s="35"/>
      <c r="F739" s="35"/>
      <c r="G739" s="35"/>
      <c r="H739" s="35"/>
    </row>
    <row r="740">
      <c r="A740" s="35"/>
      <c r="B740" s="35"/>
      <c r="C740" s="35"/>
      <c r="D740" s="35"/>
      <c r="E740" s="35"/>
      <c r="F740" s="35"/>
      <c r="G740" s="35"/>
      <c r="H740" s="35"/>
    </row>
    <row r="741">
      <c r="A741" s="35"/>
      <c r="B741" s="35"/>
      <c r="C741" s="35"/>
      <c r="D741" s="35"/>
      <c r="E741" s="35"/>
      <c r="F741" s="35"/>
      <c r="G741" s="35"/>
      <c r="H741" s="35"/>
    </row>
    <row r="742">
      <c r="A742" s="35"/>
      <c r="B742" s="35"/>
      <c r="C742" s="35"/>
      <c r="D742" s="35"/>
      <c r="E742" s="35"/>
      <c r="F742" s="35"/>
      <c r="G742" s="35"/>
      <c r="H742" s="35"/>
    </row>
    <row r="743">
      <c r="A743" s="35"/>
      <c r="B743" s="35"/>
      <c r="C743" s="35"/>
      <c r="D743" s="35"/>
      <c r="E743" s="35"/>
      <c r="F743" s="35"/>
      <c r="G743" s="35"/>
      <c r="H743" s="35"/>
    </row>
    <row r="744">
      <c r="A744" s="35"/>
      <c r="B744" s="35"/>
      <c r="C744" s="35"/>
      <c r="D744" s="35"/>
      <c r="E744" s="35"/>
      <c r="F744" s="35"/>
      <c r="G744" s="35"/>
      <c r="H744" s="35"/>
    </row>
    <row r="745">
      <c r="A745" s="35"/>
      <c r="B745" s="35"/>
      <c r="C745" s="35"/>
      <c r="D745" s="35"/>
      <c r="E745" s="35"/>
      <c r="F745" s="35"/>
      <c r="G745" s="35"/>
      <c r="H745" s="35"/>
    </row>
    <row r="746">
      <c r="A746" s="35"/>
      <c r="B746" s="35"/>
      <c r="C746" s="35"/>
      <c r="D746" s="35"/>
      <c r="E746" s="35"/>
      <c r="F746" s="35"/>
      <c r="G746" s="35"/>
      <c r="H746" s="35"/>
    </row>
    <row r="747">
      <c r="A747" s="35"/>
      <c r="B747" s="35"/>
      <c r="C747" s="35"/>
      <c r="D747" s="35"/>
      <c r="E747" s="35"/>
      <c r="F747" s="35"/>
      <c r="G747" s="35"/>
      <c r="H747" s="35"/>
    </row>
    <row r="748">
      <c r="A748" s="35"/>
      <c r="B748" s="35"/>
      <c r="C748" s="35"/>
      <c r="D748" s="35"/>
      <c r="E748" s="35"/>
      <c r="F748" s="35"/>
      <c r="G748" s="35"/>
      <c r="H748" s="35"/>
    </row>
    <row r="749">
      <c r="A749" s="35"/>
      <c r="B749" s="35"/>
      <c r="C749" s="35"/>
      <c r="D749" s="35"/>
      <c r="E749" s="35"/>
      <c r="F749" s="35"/>
      <c r="G749" s="35"/>
      <c r="H749" s="35"/>
    </row>
    <row r="750">
      <c r="A750" s="35"/>
      <c r="B750" s="35"/>
      <c r="C750" s="35"/>
      <c r="D750" s="35"/>
      <c r="E750" s="35"/>
      <c r="F750" s="35"/>
      <c r="G750" s="35"/>
      <c r="H750" s="35"/>
    </row>
    <row r="751">
      <c r="A751" s="35"/>
      <c r="B751" s="35"/>
      <c r="C751" s="35"/>
      <c r="D751" s="35"/>
      <c r="E751" s="35"/>
      <c r="F751" s="35"/>
      <c r="G751" s="35"/>
      <c r="H751" s="35"/>
    </row>
    <row r="752">
      <c r="A752" s="35"/>
      <c r="B752" s="35"/>
      <c r="C752" s="35"/>
      <c r="D752" s="35"/>
      <c r="E752" s="35"/>
      <c r="F752" s="35"/>
      <c r="G752" s="35"/>
      <c r="H752" s="35"/>
    </row>
    <row r="753">
      <c r="A753" s="35"/>
      <c r="B753" s="35"/>
      <c r="C753" s="35"/>
      <c r="D753" s="35"/>
      <c r="E753" s="35"/>
      <c r="F753" s="35"/>
      <c r="G753" s="35"/>
      <c r="H753" s="35"/>
    </row>
    <row r="754">
      <c r="A754" s="35"/>
      <c r="B754" s="35"/>
      <c r="C754" s="35"/>
      <c r="D754" s="35"/>
      <c r="E754" s="35"/>
      <c r="F754" s="35"/>
      <c r="G754" s="35"/>
      <c r="H754" s="35"/>
    </row>
    <row r="755">
      <c r="A755" s="35"/>
      <c r="B755" s="35"/>
      <c r="C755" s="35"/>
      <c r="D755" s="35"/>
      <c r="E755" s="35"/>
      <c r="F755" s="35"/>
      <c r="G755" s="35"/>
      <c r="H755" s="35"/>
    </row>
    <row r="756">
      <c r="A756" s="35"/>
      <c r="B756" s="35"/>
      <c r="C756" s="35"/>
      <c r="D756" s="35"/>
      <c r="E756" s="35"/>
      <c r="F756" s="35"/>
      <c r="G756" s="35"/>
      <c r="H756" s="35"/>
    </row>
    <row r="757">
      <c r="A757" s="35"/>
      <c r="B757" s="35"/>
      <c r="C757" s="35"/>
      <c r="D757" s="35"/>
      <c r="E757" s="35"/>
      <c r="F757" s="35"/>
      <c r="G757" s="35"/>
      <c r="H757" s="35"/>
    </row>
    <row r="758">
      <c r="A758" s="35"/>
      <c r="B758" s="35"/>
      <c r="C758" s="35"/>
      <c r="D758" s="35"/>
      <c r="E758" s="35"/>
      <c r="F758" s="35"/>
      <c r="G758" s="35"/>
      <c r="H758" s="35"/>
    </row>
    <row r="759">
      <c r="A759" s="35"/>
      <c r="B759" s="35"/>
      <c r="C759" s="35"/>
      <c r="D759" s="35"/>
      <c r="E759" s="35"/>
      <c r="F759" s="35"/>
      <c r="G759" s="35"/>
      <c r="H759" s="35"/>
    </row>
    <row r="760">
      <c r="A760" s="35"/>
      <c r="B760" s="35"/>
      <c r="C760" s="35"/>
      <c r="D760" s="35"/>
      <c r="E760" s="35"/>
      <c r="F760" s="35"/>
      <c r="G760" s="35"/>
      <c r="H760" s="35"/>
    </row>
    <row r="761">
      <c r="A761" s="35"/>
      <c r="B761" s="35"/>
      <c r="C761" s="35"/>
      <c r="D761" s="35"/>
      <c r="E761" s="35"/>
      <c r="F761" s="35"/>
      <c r="G761" s="35"/>
      <c r="H761" s="35"/>
    </row>
    <row r="762">
      <c r="A762" s="35"/>
      <c r="B762" s="35"/>
      <c r="C762" s="35"/>
      <c r="D762" s="35"/>
      <c r="E762" s="35"/>
      <c r="F762" s="35"/>
      <c r="G762" s="35"/>
      <c r="H762" s="35"/>
    </row>
    <row r="763">
      <c r="A763" s="35"/>
      <c r="B763" s="35"/>
      <c r="C763" s="35"/>
      <c r="D763" s="35"/>
      <c r="E763" s="35"/>
      <c r="F763" s="35"/>
      <c r="G763" s="35"/>
      <c r="H763" s="35"/>
    </row>
    <row r="764">
      <c r="A764" s="35"/>
      <c r="B764" s="35"/>
      <c r="C764" s="35"/>
      <c r="D764" s="35"/>
      <c r="E764" s="35"/>
      <c r="F764" s="35"/>
      <c r="G764" s="35"/>
      <c r="H764" s="35"/>
    </row>
    <row r="765">
      <c r="A765" s="35"/>
      <c r="B765" s="35"/>
      <c r="C765" s="35"/>
      <c r="D765" s="35"/>
      <c r="E765" s="35"/>
      <c r="F765" s="35"/>
      <c r="G765" s="35"/>
      <c r="H765" s="35"/>
    </row>
    <row r="766">
      <c r="A766" s="35"/>
      <c r="B766" s="35"/>
      <c r="C766" s="35"/>
      <c r="D766" s="35"/>
      <c r="E766" s="35"/>
      <c r="F766" s="35"/>
      <c r="G766" s="35"/>
      <c r="H766" s="35"/>
    </row>
    <row r="767">
      <c r="A767" s="35"/>
      <c r="B767" s="35"/>
      <c r="C767" s="35"/>
      <c r="D767" s="35"/>
      <c r="E767" s="35"/>
      <c r="F767" s="35"/>
      <c r="G767" s="35"/>
      <c r="H767" s="35"/>
    </row>
    <row r="768">
      <c r="A768" s="35"/>
      <c r="B768" s="35"/>
      <c r="C768" s="35"/>
      <c r="D768" s="35"/>
      <c r="E768" s="35"/>
      <c r="F768" s="35"/>
      <c r="G768" s="35"/>
      <c r="H768" s="35"/>
    </row>
    <row r="769">
      <c r="A769" s="35"/>
      <c r="B769" s="35"/>
      <c r="C769" s="35"/>
      <c r="D769" s="35"/>
      <c r="E769" s="35"/>
      <c r="F769" s="35"/>
      <c r="G769" s="35"/>
      <c r="H769" s="35"/>
    </row>
    <row r="770">
      <c r="A770" s="35"/>
      <c r="B770" s="35"/>
      <c r="C770" s="35"/>
      <c r="D770" s="35"/>
      <c r="E770" s="35"/>
      <c r="F770" s="35"/>
      <c r="G770" s="35"/>
      <c r="H770" s="35"/>
    </row>
    <row r="771">
      <c r="A771" s="35"/>
      <c r="B771" s="35"/>
      <c r="C771" s="35"/>
      <c r="D771" s="35"/>
      <c r="E771" s="35"/>
      <c r="F771" s="35"/>
      <c r="G771" s="35"/>
      <c r="H771" s="35"/>
    </row>
    <row r="772">
      <c r="A772" s="35"/>
      <c r="B772" s="35"/>
      <c r="C772" s="35"/>
      <c r="D772" s="35"/>
      <c r="E772" s="35"/>
      <c r="F772" s="35"/>
      <c r="G772" s="35"/>
      <c r="H772" s="35"/>
    </row>
    <row r="773">
      <c r="A773" s="35"/>
      <c r="B773" s="35"/>
      <c r="C773" s="35"/>
      <c r="D773" s="35"/>
      <c r="E773" s="35"/>
      <c r="F773" s="35"/>
      <c r="G773" s="35"/>
      <c r="H773" s="35"/>
    </row>
    <row r="774">
      <c r="A774" s="35"/>
      <c r="B774" s="35"/>
      <c r="C774" s="35"/>
      <c r="D774" s="35"/>
      <c r="E774" s="35"/>
      <c r="F774" s="35"/>
      <c r="G774" s="35"/>
      <c r="H774" s="35"/>
    </row>
    <row r="775">
      <c r="A775" s="35"/>
      <c r="B775" s="35"/>
      <c r="C775" s="35"/>
      <c r="D775" s="35"/>
      <c r="E775" s="35"/>
      <c r="F775" s="35"/>
      <c r="G775" s="35"/>
      <c r="H775" s="35"/>
    </row>
    <row r="776">
      <c r="A776" s="35"/>
      <c r="B776" s="35"/>
      <c r="C776" s="35"/>
      <c r="D776" s="35"/>
      <c r="E776" s="35"/>
      <c r="F776" s="35"/>
      <c r="G776" s="35"/>
      <c r="H776" s="35"/>
    </row>
    <row r="777">
      <c r="A777" s="35"/>
      <c r="B777" s="35"/>
      <c r="C777" s="35"/>
      <c r="D777" s="35"/>
      <c r="E777" s="35"/>
      <c r="F777" s="35"/>
      <c r="G777" s="35"/>
      <c r="H777" s="35"/>
    </row>
    <row r="778">
      <c r="A778" s="35"/>
      <c r="B778" s="35"/>
      <c r="C778" s="35"/>
      <c r="D778" s="35"/>
      <c r="E778" s="35"/>
      <c r="F778" s="35"/>
      <c r="G778" s="35"/>
      <c r="H778" s="35"/>
    </row>
    <row r="779">
      <c r="A779" s="35"/>
      <c r="B779" s="35"/>
      <c r="C779" s="35"/>
      <c r="D779" s="35"/>
      <c r="E779" s="35"/>
      <c r="F779" s="35"/>
      <c r="G779" s="35"/>
      <c r="H779" s="35"/>
    </row>
    <row r="780">
      <c r="A780" s="35"/>
      <c r="B780" s="35"/>
      <c r="C780" s="35"/>
      <c r="D780" s="35"/>
      <c r="E780" s="35"/>
      <c r="F780" s="35"/>
      <c r="G780" s="35"/>
      <c r="H780" s="35"/>
    </row>
    <row r="781">
      <c r="A781" s="35"/>
      <c r="B781" s="35"/>
      <c r="C781" s="35"/>
      <c r="D781" s="35"/>
      <c r="E781" s="35"/>
      <c r="F781" s="35"/>
      <c r="G781" s="35"/>
      <c r="H781" s="35"/>
    </row>
    <row r="782">
      <c r="A782" s="35"/>
      <c r="B782" s="35"/>
      <c r="C782" s="35"/>
      <c r="D782" s="35"/>
      <c r="E782" s="35"/>
      <c r="F782" s="35"/>
      <c r="G782" s="35"/>
      <c r="H782" s="35"/>
    </row>
    <row r="783">
      <c r="A783" s="35"/>
      <c r="B783" s="35"/>
      <c r="C783" s="35"/>
      <c r="D783" s="35"/>
      <c r="E783" s="35"/>
      <c r="F783" s="35"/>
      <c r="G783" s="35"/>
      <c r="H783" s="35"/>
    </row>
    <row r="784">
      <c r="A784" s="35"/>
      <c r="B784" s="35"/>
      <c r="C784" s="35"/>
      <c r="D784" s="35"/>
      <c r="E784" s="35"/>
      <c r="F784" s="35"/>
      <c r="G784" s="35"/>
      <c r="H784" s="35"/>
    </row>
    <row r="785">
      <c r="A785" s="35"/>
      <c r="B785" s="35"/>
      <c r="C785" s="35"/>
      <c r="D785" s="35"/>
      <c r="E785" s="35"/>
      <c r="F785" s="35"/>
      <c r="G785" s="35"/>
      <c r="H785" s="35"/>
    </row>
    <row r="786">
      <c r="A786" s="35"/>
      <c r="B786" s="35"/>
      <c r="C786" s="35"/>
      <c r="D786" s="35"/>
      <c r="E786" s="35"/>
      <c r="F786" s="35"/>
      <c r="G786" s="35"/>
      <c r="H786" s="35"/>
    </row>
    <row r="787">
      <c r="A787" s="35"/>
      <c r="B787" s="35"/>
      <c r="C787" s="35"/>
      <c r="D787" s="35"/>
      <c r="E787" s="35"/>
      <c r="F787" s="35"/>
      <c r="G787" s="35"/>
      <c r="H787" s="35"/>
    </row>
    <row r="788">
      <c r="A788" s="35"/>
      <c r="B788" s="35"/>
      <c r="C788" s="35"/>
      <c r="D788" s="35"/>
      <c r="E788" s="35"/>
      <c r="F788" s="35"/>
      <c r="G788" s="35"/>
      <c r="H788" s="35"/>
    </row>
    <row r="789">
      <c r="A789" s="35"/>
      <c r="B789" s="35"/>
      <c r="C789" s="35"/>
      <c r="D789" s="35"/>
      <c r="E789" s="35"/>
      <c r="F789" s="35"/>
      <c r="G789" s="35"/>
      <c r="H789" s="35"/>
    </row>
    <row r="790">
      <c r="A790" s="35"/>
      <c r="B790" s="35"/>
      <c r="C790" s="35"/>
      <c r="D790" s="35"/>
      <c r="E790" s="35"/>
      <c r="F790" s="35"/>
      <c r="G790" s="35"/>
      <c r="H790" s="35"/>
    </row>
    <row r="791">
      <c r="A791" s="35"/>
      <c r="B791" s="35"/>
      <c r="C791" s="35"/>
      <c r="D791" s="35"/>
      <c r="E791" s="35"/>
      <c r="F791" s="35"/>
      <c r="G791" s="35"/>
      <c r="H791" s="35"/>
    </row>
    <row r="792">
      <c r="A792" s="35"/>
      <c r="B792" s="35"/>
      <c r="C792" s="35"/>
      <c r="D792" s="35"/>
      <c r="E792" s="35"/>
      <c r="F792" s="35"/>
      <c r="G792" s="35"/>
      <c r="H792" s="35"/>
    </row>
    <row r="793">
      <c r="A793" s="35"/>
      <c r="B793" s="35"/>
      <c r="C793" s="35"/>
      <c r="D793" s="35"/>
      <c r="E793" s="35"/>
      <c r="F793" s="35"/>
      <c r="G793" s="35"/>
      <c r="H793" s="35"/>
    </row>
    <row r="794">
      <c r="A794" s="35"/>
      <c r="B794" s="35"/>
      <c r="C794" s="35"/>
      <c r="D794" s="35"/>
      <c r="E794" s="35"/>
      <c r="F794" s="35"/>
      <c r="G794" s="35"/>
      <c r="H794" s="35"/>
    </row>
    <row r="795">
      <c r="A795" s="35"/>
      <c r="B795" s="35"/>
      <c r="C795" s="35"/>
      <c r="D795" s="35"/>
      <c r="E795" s="35"/>
      <c r="F795" s="35"/>
      <c r="G795" s="35"/>
      <c r="H795" s="35"/>
    </row>
    <row r="796">
      <c r="A796" s="35"/>
      <c r="B796" s="35"/>
      <c r="C796" s="35"/>
      <c r="D796" s="35"/>
      <c r="E796" s="35"/>
      <c r="F796" s="35"/>
      <c r="G796" s="35"/>
      <c r="H796" s="35"/>
    </row>
    <row r="797">
      <c r="A797" s="35"/>
      <c r="B797" s="35"/>
      <c r="C797" s="35"/>
      <c r="D797" s="35"/>
      <c r="E797" s="35"/>
      <c r="F797" s="35"/>
      <c r="G797" s="35"/>
      <c r="H797" s="35"/>
    </row>
    <row r="798">
      <c r="A798" s="35"/>
      <c r="B798" s="35"/>
      <c r="C798" s="35"/>
      <c r="D798" s="35"/>
      <c r="E798" s="35"/>
      <c r="F798" s="35"/>
      <c r="G798" s="35"/>
      <c r="H798" s="35"/>
    </row>
    <row r="799">
      <c r="A799" s="35"/>
      <c r="B799" s="35"/>
      <c r="C799" s="35"/>
      <c r="D799" s="35"/>
      <c r="E799" s="35"/>
      <c r="F799" s="35"/>
      <c r="G799" s="35"/>
      <c r="H799" s="35"/>
    </row>
    <row r="800">
      <c r="A800" s="35"/>
      <c r="B800" s="35"/>
      <c r="C800" s="35"/>
      <c r="D800" s="35"/>
      <c r="E800" s="35"/>
      <c r="F800" s="35"/>
      <c r="G800" s="35"/>
      <c r="H800" s="35"/>
    </row>
    <row r="801">
      <c r="A801" s="35"/>
      <c r="B801" s="35"/>
      <c r="C801" s="35"/>
      <c r="D801" s="35"/>
      <c r="E801" s="35"/>
      <c r="F801" s="35"/>
      <c r="G801" s="35"/>
      <c r="H801" s="35"/>
    </row>
    <row r="802">
      <c r="A802" s="35"/>
      <c r="B802" s="35"/>
      <c r="C802" s="35"/>
      <c r="D802" s="35"/>
      <c r="E802" s="35"/>
      <c r="F802" s="35"/>
      <c r="G802" s="35"/>
      <c r="H802" s="35"/>
    </row>
    <row r="803">
      <c r="A803" s="35"/>
      <c r="B803" s="35"/>
      <c r="C803" s="35"/>
      <c r="D803" s="35"/>
      <c r="E803" s="35"/>
      <c r="F803" s="35"/>
      <c r="G803" s="35"/>
      <c r="H803" s="35"/>
    </row>
    <row r="804">
      <c r="A804" s="35"/>
      <c r="B804" s="35"/>
      <c r="C804" s="35"/>
      <c r="D804" s="35"/>
      <c r="E804" s="35"/>
      <c r="F804" s="35"/>
      <c r="G804" s="35"/>
      <c r="H804" s="35"/>
    </row>
    <row r="805">
      <c r="A805" s="35"/>
      <c r="B805" s="35"/>
      <c r="C805" s="35"/>
      <c r="D805" s="35"/>
      <c r="E805" s="35"/>
      <c r="F805" s="35"/>
      <c r="G805" s="35"/>
      <c r="H805" s="35"/>
    </row>
    <row r="806">
      <c r="A806" s="35"/>
      <c r="B806" s="35"/>
      <c r="C806" s="35"/>
      <c r="D806" s="35"/>
      <c r="E806" s="35"/>
      <c r="F806" s="35"/>
      <c r="G806" s="35"/>
      <c r="H806" s="35"/>
    </row>
    <row r="807">
      <c r="A807" s="35"/>
      <c r="B807" s="35"/>
      <c r="C807" s="35"/>
      <c r="D807" s="35"/>
      <c r="E807" s="35"/>
      <c r="F807" s="35"/>
      <c r="G807" s="35"/>
      <c r="H807" s="35"/>
    </row>
    <row r="808">
      <c r="A808" s="35"/>
      <c r="B808" s="35"/>
      <c r="C808" s="35"/>
      <c r="D808" s="35"/>
      <c r="E808" s="35"/>
      <c r="F808" s="35"/>
      <c r="G808" s="35"/>
      <c r="H808" s="35"/>
    </row>
    <row r="809">
      <c r="A809" s="35"/>
      <c r="B809" s="35"/>
      <c r="C809" s="35"/>
      <c r="D809" s="35"/>
      <c r="E809" s="35"/>
      <c r="F809" s="35"/>
      <c r="G809" s="35"/>
      <c r="H809" s="35"/>
    </row>
    <row r="810">
      <c r="A810" s="35"/>
      <c r="B810" s="35"/>
      <c r="C810" s="35"/>
      <c r="D810" s="35"/>
      <c r="E810" s="35"/>
      <c r="F810" s="35"/>
      <c r="G810" s="35"/>
      <c r="H810" s="35"/>
    </row>
    <row r="811">
      <c r="A811" s="35"/>
      <c r="B811" s="35"/>
      <c r="C811" s="35"/>
      <c r="D811" s="35"/>
      <c r="E811" s="35"/>
      <c r="F811" s="35"/>
      <c r="G811" s="35"/>
      <c r="H811" s="35"/>
    </row>
    <row r="812">
      <c r="A812" s="35"/>
      <c r="B812" s="35"/>
      <c r="C812" s="35"/>
      <c r="D812" s="35"/>
      <c r="E812" s="35"/>
      <c r="F812" s="35"/>
      <c r="G812" s="35"/>
      <c r="H812" s="35"/>
    </row>
    <row r="813">
      <c r="A813" s="35"/>
      <c r="B813" s="35"/>
      <c r="C813" s="35"/>
      <c r="D813" s="35"/>
      <c r="E813" s="35"/>
      <c r="F813" s="35"/>
      <c r="G813" s="35"/>
      <c r="H813" s="35"/>
    </row>
    <row r="814">
      <c r="A814" s="35"/>
      <c r="B814" s="35"/>
      <c r="C814" s="35"/>
      <c r="D814" s="35"/>
      <c r="E814" s="35"/>
      <c r="F814" s="35"/>
      <c r="G814" s="35"/>
      <c r="H814" s="35"/>
    </row>
    <row r="815">
      <c r="A815" s="35"/>
      <c r="B815" s="35"/>
      <c r="C815" s="35"/>
      <c r="D815" s="35"/>
      <c r="E815" s="35"/>
      <c r="F815" s="35"/>
      <c r="G815" s="35"/>
      <c r="H815" s="35"/>
    </row>
    <row r="816">
      <c r="A816" s="35"/>
      <c r="B816" s="35"/>
      <c r="C816" s="35"/>
      <c r="D816" s="35"/>
      <c r="E816" s="35"/>
      <c r="F816" s="35"/>
      <c r="G816" s="35"/>
      <c r="H816" s="35"/>
    </row>
    <row r="817">
      <c r="A817" s="35"/>
      <c r="B817" s="35"/>
      <c r="C817" s="35"/>
      <c r="D817" s="35"/>
      <c r="E817" s="35"/>
      <c r="F817" s="35"/>
      <c r="G817" s="35"/>
      <c r="H817" s="35"/>
    </row>
    <row r="818">
      <c r="A818" s="35"/>
      <c r="B818" s="35"/>
      <c r="C818" s="35"/>
      <c r="D818" s="35"/>
      <c r="E818" s="35"/>
      <c r="F818" s="35"/>
      <c r="G818" s="35"/>
      <c r="H818" s="35"/>
    </row>
    <row r="819">
      <c r="A819" s="35"/>
      <c r="B819" s="35"/>
      <c r="C819" s="35"/>
      <c r="D819" s="35"/>
      <c r="E819" s="35"/>
      <c r="F819" s="35"/>
      <c r="G819" s="35"/>
      <c r="H819" s="35"/>
    </row>
    <row r="820">
      <c r="A820" s="35"/>
      <c r="B820" s="35"/>
      <c r="C820" s="35"/>
      <c r="D820" s="35"/>
      <c r="E820" s="35"/>
      <c r="F820" s="35"/>
      <c r="G820" s="35"/>
      <c r="H820" s="35"/>
    </row>
    <row r="821">
      <c r="A821" s="35"/>
      <c r="B821" s="35"/>
      <c r="C821" s="35"/>
      <c r="D821" s="35"/>
      <c r="E821" s="35"/>
      <c r="F821" s="35"/>
      <c r="G821" s="35"/>
      <c r="H821" s="35"/>
    </row>
    <row r="822">
      <c r="A822" s="35"/>
      <c r="B822" s="35"/>
      <c r="C822" s="35"/>
      <c r="D822" s="35"/>
      <c r="E822" s="35"/>
      <c r="F822" s="35"/>
      <c r="G822" s="35"/>
      <c r="H822" s="35"/>
    </row>
    <row r="823">
      <c r="A823" s="35"/>
      <c r="B823" s="35"/>
      <c r="C823" s="35"/>
      <c r="D823" s="35"/>
      <c r="E823" s="35"/>
      <c r="F823" s="35"/>
      <c r="G823" s="35"/>
      <c r="H823" s="35"/>
    </row>
    <row r="824">
      <c r="A824" s="35"/>
      <c r="B824" s="35"/>
      <c r="C824" s="35"/>
      <c r="D824" s="35"/>
      <c r="E824" s="35"/>
      <c r="F824" s="35"/>
      <c r="G824" s="35"/>
      <c r="H824" s="35"/>
    </row>
    <row r="825">
      <c r="A825" s="35"/>
      <c r="B825" s="35"/>
      <c r="C825" s="35"/>
      <c r="D825" s="35"/>
      <c r="E825" s="35"/>
      <c r="F825" s="35"/>
      <c r="G825" s="35"/>
      <c r="H825" s="35"/>
    </row>
    <row r="826">
      <c r="A826" s="35"/>
      <c r="B826" s="35"/>
      <c r="C826" s="35"/>
      <c r="D826" s="35"/>
      <c r="E826" s="35"/>
      <c r="F826" s="35"/>
      <c r="G826" s="35"/>
      <c r="H826" s="35"/>
    </row>
    <row r="827">
      <c r="A827" s="35"/>
      <c r="B827" s="35"/>
      <c r="C827" s="35"/>
      <c r="D827" s="35"/>
      <c r="E827" s="35"/>
      <c r="F827" s="35"/>
      <c r="G827" s="35"/>
      <c r="H827" s="35"/>
    </row>
    <row r="828">
      <c r="A828" s="35"/>
      <c r="B828" s="35"/>
      <c r="C828" s="35"/>
      <c r="D828" s="35"/>
      <c r="E828" s="35"/>
      <c r="F828" s="35"/>
      <c r="G828" s="35"/>
      <c r="H828" s="35"/>
    </row>
    <row r="829">
      <c r="A829" s="35"/>
      <c r="B829" s="35"/>
      <c r="C829" s="35"/>
      <c r="D829" s="35"/>
      <c r="E829" s="35"/>
      <c r="F829" s="35"/>
      <c r="G829" s="35"/>
      <c r="H829" s="35"/>
    </row>
    <row r="830">
      <c r="A830" s="35"/>
      <c r="B830" s="35"/>
      <c r="C830" s="35"/>
      <c r="D830" s="35"/>
      <c r="E830" s="35"/>
      <c r="F830" s="35"/>
      <c r="G830" s="35"/>
      <c r="H830" s="35"/>
    </row>
    <row r="831">
      <c r="A831" s="35"/>
      <c r="B831" s="35"/>
      <c r="C831" s="35"/>
      <c r="D831" s="35"/>
      <c r="E831" s="35"/>
      <c r="F831" s="35"/>
      <c r="G831" s="35"/>
      <c r="H831" s="35"/>
    </row>
    <row r="832">
      <c r="A832" s="35"/>
      <c r="B832" s="35"/>
      <c r="C832" s="35"/>
      <c r="D832" s="35"/>
      <c r="E832" s="35"/>
      <c r="F832" s="35"/>
      <c r="G832" s="35"/>
      <c r="H832" s="35"/>
    </row>
    <row r="833">
      <c r="A833" s="35"/>
      <c r="B833" s="35"/>
      <c r="C833" s="35"/>
      <c r="D833" s="35"/>
      <c r="E833" s="35"/>
      <c r="F833" s="35"/>
      <c r="G833" s="35"/>
      <c r="H833" s="35"/>
    </row>
    <row r="834">
      <c r="A834" s="35"/>
      <c r="B834" s="35"/>
      <c r="C834" s="35"/>
      <c r="D834" s="35"/>
      <c r="E834" s="35"/>
      <c r="F834" s="35"/>
      <c r="G834" s="35"/>
      <c r="H834" s="35"/>
    </row>
    <row r="835">
      <c r="A835" s="35"/>
      <c r="B835" s="35"/>
      <c r="C835" s="35"/>
      <c r="D835" s="35"/>
      <c r="E835" s="35"/>
      <c r="F835" s="35"/>
      <c r="G835" s="35"/>
      <c r="H835" s="35"/>
    </row>
    <row r="836">
      <c r="A836" s="35"/>
      <c r="B836" s="35"/>
      <c r="C836" s="35"/>
      <c r="D836" s="35"/>
      <c r="E836" s="35"/>
      <c r="F836" s="35"/>
      <c r="G836" s="35"/>
      <c r="H836" s="35"/>
    </row>
    <row r="837">
      <c r="A837" s="35"/>
      <c r="B837" s="35"/>
      <c r="C837" s="35"/>
      <c r="D837" s="35"/>
      <c r="E837" s="35"/>
      <c r="F837" s="35"/>
      <c r="G837" s="35"/>
      <c r="H837" s="35"/>
    </row>
    <row r="838">
      <c r="A838" s="35"/>
      <c r="B838" s="35"/>
      <c r="C838" s="35"/>
      <c r="D838" s="35"/>
      <c r="E838" s="35"/>
      <c r="F838" s="35"/>
      <c r="G838" s="35"/>
      <c r="H838" s="35"/>
    </row>
    <row r="839">
      <c r="A839" s="35"/>
      <c r="B839" s="35"/>
      <c r="C839" s="35"/>
      <c r="D839" s="35"/>
      <c r="E839" s="35"/>
      <c r="F839" s="35"/>
      <c r="G839" s="35"/>
      <c r="H839" s="35"/>
    </row>
    <row r="840">
      <c r="A840" s="35"/>
      <c r="B840" s="35"/>
      <c r="C840" s="35"/>
      <c r="D840" s="35"/>
      <c r="E840" s="35"/>
      <c r="F840" s="35"/>
      <c r="G840" s="35"/>
      <c r="H840" s="35"/>
    </row>
    <row r="841">
      <c r="A841" s="35"/>
      <c r="B841" s="35"/>
      <c r="C841" s="35"/>
      <c r="D841" s="35"/>
      <c r="E841" s="35"/>
      <c r="F841" s="35"/>
      <c r="G841" s="35"/>
      <c r="H841" s="35"/>
    </row>
    <row r="842">
      <c r="A842" s="35"/>
      <c r="B842" s="35"/>
      <c r="C842" s="35"/>
      <c r="D842" s="35"/>
      <c r="E842" s="35"/>
      <c r="F842" s="35"/>
      <c r="G842" s="35"/>
      <c r="H842" s="35"/>
    </row>
    <row r="843">
      <c r="A843" s="35"/>
      <c r="B843" s="35"/>
      <c r="C843" s="35"/>
      <c r="D843" s="35"/>
      <c r="E843" s="35"/>
      <c r="F843" s="35"/>
      <c r="G843" s="35"/>
      <c r="H843" s="35"/>
    </row>
    <row r="844">
      <c r="A844" s="35"/>
      <c r="B844" s="35"/>
      <c r="C844" s="35"/>
      <c r="D844" s="35"/>
      <c r="E844" s="35"/>
      <c r="F844" s="35"/>
      <c r="G844" s="35"/>
      <c r="H844" s="35"/>
    </row>
    <row r="845">
      <c r="A845" s="35"/>
      <c r="B845" s="35"/>
      <c r="C845" s="35"/>
      <c r="D845" s="35"/>
      <c r="E845" s="35"/>
      <c r="F845" s="35"/>
      <c r="G845" s="35"/>
      <c r="H845" s="35"/>
    </row>
    <row r="846">
      <c r="A846" s="35"/>
      <c r="B846" s="35"/>
      <c r="C846" s="35"/>
      <c r="D846" s="35"/>
      <c r="E846" s="35"/>
      <c r="F846" s="35"/>
      <c r="G846" s="35"/>
      <c r="H846" s="35"/>
    </row>
    <row r="847">
      <c r="A847" s="35"/>
      <c r="B847" s="35"/>
      <c r="C847" s="35"/>
      <c r="D847" s="35"/>
      <c r="E847" s="35"/>
      <c r="F847" s="35"/>
      <c r="G847" s="35"/>
      <c r="H847" s="35"/>
    </row>
    <row r="848">
      <c r="A848" s="35"/>
      <c r="B848" s="35"/>
      <c r="C848" s="35"/>
      <c r="D848" s="35"/>
      <c r="E848" s="35"/>
      <c r="F848" s="35"/>
      <c r="G848" s="35"/>
      <c r="H848" s="35"/>
    </row>
    <row r="849">
      <c r="A849" s="35"/>
      <c r="B849" s="35"/>
      <c r="C849" s="35"/>
      <c r="D849" s="35"/>
      <c r="E849" s="35"/>
      <c r="F849" s="35"/>
      <c r="G849" s="35"/>
      <c r="H849" s="35"/>
    </row>
    <row r="850">
      <c r="A850" s="35"/>
      <c r="B850" s="35"/>
      <c r="C850" s="35"/>
      <c r="D850" s="35"/>
      <c r="E850" s="35"/>
      <c r="F850" s="35"/>
      <c r="G850" s="35"/>
      <c r="H850" s="35"/>
    </row>
    <row r="851">
      <c r="A851" s="35"/>
      <c r="B851" s="35"/>
      <c r="C851" s="35"/>
      <c r="D851" s="35"/>
      <c r="E851" s="35"/>
      <c r="F851" s="35"/>
      <c r="G851" s="35"/>
      <c r="H851" s="35"/>
    </row>
    <row r="852">
      <c r="A852" s="35"/>
      <c r="B852" s="35"/>
      <c r="C852" s="35"/>
      <c r="D852" s="35"/>
      <c r="E852" s="35"/>
      <c r="F852" s="35"/>
      <c r="G852" s="35"/>
      <c r="H852" s="35"/>
    </row>
    <row r="853">
      <c r="A853" s="35"/>
      <c r="B853" s="35"/>
      <c r="C853" s="35"/>
      <c r="D853" s="35"/>
      <c r="E853" s="35"/>
      <c r="F853" s="35"/>
      <c r="G853" s="35"/>
      <c r="H853" s="35"/>
    </row>
    <row r="854">
      <c r="A854" s="35"/>
      <c r="B854" s="35"/>
      <c r="C854" s="35"/>
      <c r="D854" s="35"/>
      <c r="E854" s="35"/>
      <c r="F854" s="35"/>
      <c r="G854" s="35"/>
      <c r="H854" s="35"/>
    </row>
    <row r="855">
      <c r="A855" s="35"/>
      <c r="B855" s="35"/>
      <c r="C855" s="35"/>
      <c r="D855" s="35"/>
      <c r="E855" s="35"/>
      <c r="F855" s="35"/>
      <c r="G855" s="35"/>
      <c r="H855" s="35"/>
    </row>
    <row r="856">
      <c r="A856" s="35"/>
      <c r="B856" s="35"/>
      <c r="C856" s="35"/>
      <c r="D856" s="35"/>
      <c r="E856" s="35"/>
      <c r="F856" s="35"/>
      <c r="G856" s="35"/>
      <c r="H856" s="35"/>
    </row>
    <row r="857">
      <c r="A857" s="35"/>
      <c r="B857" s="35"/>
      <c r="C857" s="35"/>
      <c r="D857" s="35"/>
      <c r="E857" s="35"/>
      <c r="F857" s="35"/>
      <c r="G857" s="35"/>
      <c r="H857" s="35"/>
    </row>
    <row r="858">
      <c r="A858" s="35"/>
      <c r="B858" s="35"/>
      <c r="C858" s="35"/>
      <c r="D858" s="35"/>
      <c r="E858" s="35"/>
      <c r="F858" s="35"/>
      <c r="G858" s="35"/>
      <c r="H858" s="35"/>
    </row>
    <row r="859">
      <c r="A859" s="35"/>
      <c r="B859" s="35"/>
      <c r="C859" s="35"/>
      <c r="D859" s="35"/>
      <c r="E859" s="35"/>
      <c r="F859" s="35"/>
      <c r="G859" s="35"/>
      <c r="H859" s="35"/>
    </row>
    <row r="860">
      <c r="A860" s="35"/>
      <c r="B860" s="35"/>
      <c r="C860" s="35"/>
      <c r="D860" s="35"/>
      <c r="E860" s="35"/>
      <c r="F860" s="35"/>
      <c r="G860" s="35"/>
      <c r="H860" s="35"/>
    </row>
    <row r="861">
      <c r="A861" s="35"/>
      <c r="B861" s="35"/>
      <c r="C861" s="35"/>
      <c r="D861" s="35"/>
      <c r="E861" s="35"/>
      <c r="F861" s="35"/>
      <c r="G861" s="35"/>
      <c r="H861" s="35"/>
    </row>
    <row r="862">
      <c r="A862" s="35"/>
      <c r="B862" s="35"/>
      <c r="C862" s="35"/>
      <c r="D862" s="35"/>
      <c r="E862" s="35"/>
      <c r="F862" s="35"/>
      <c r="G862" s="35"/>
      <c r="H862" s="35"/>
    </row>
    <row r="863">
      <c r="A863" s="35"/>
      <c r="B863" s="35"/>
      <c r="C863" s="35"/>
      <c r="D863" s="35"/>
      <c r="E863" s="35"/>
      <c r="F863" s="35"/>
      <c r="G863" s="35"/>
      <c r="H863" s="35"/>
    </row>
    <row r="864">
      <c r="A864" s="35"/>
      <c r="B864" s="35"/>
      <c r="C864" s="35"/>
      <c r="D864" s="35"/>
      <c r="E864" s="35"/>
      <c r="F864" s="35"/>
      <c r="G864" s="35"/>
      <c r="H864" s="35"/>
    </row>
    <row r="865">
      <c r="A865" s="35"/>
      <c r="B865" s="35"/>
      <c r="C865" s="35"/>
      <c r="D865" s="35"/>
      <c r="E865" s="35"/>
      <c r="F865" s="35"/>
      <c r="G865" s="35"/>
      <c r="H865" s="35"/>
    </row>
    <row r="866">
      <c r="A866" s="35"/>
      <c r="B866" s="35"/>
      <c r="C866" s="35"/>
      <c r="D866" s="35"/>
      <c r="E866" s="35"/>
      <c r="F866" s="35"/>
      <c r="G866" s="35"/>
      <c r="H866" s="35"/>
    </row>
    <row r="867">
      <c r="A867" s="35"/>
      <c r="B867" s="35"/>
      <c r="C867" s="35"/>
      <c r="D867" s="35"/>
      <c r="E867" s="35"/>
      <c r="F867" s="35"/>
      <c r="G867" s="35"/>
      <c r="H867" s="35"/>
    </row>
    <row r="868">
      <c r="A868" s="35"/>
      <c r="B868" s="35"/>
      <c r="C868" s="35"/>
      <c r="D868" s="35"/>
      <c r="E868" s="35"/>
      <c r="F868" s="35"/>
      <c r="G868" s="35"/>
      <c r="H868" s="35"/>
    </row>
    <row r="869">
      <c r="A869" s="35"/>
      <c r="B869" s="35"/>
      <c r="C869" s="35"/>
      <c r="D869" s="35"/>
      <c r="E869" s="35"/>
      <c r="F869" s="35"/>
      <c r="G869" s="35"/>
      <c r="H869" s="35"/>
    </row>
    <row r="870">
      <c r="A870" s="35"/>
      <c r="B870" s="35"/>
      <c r="C870" s="35"/>
      <c r="D870" s="35"/>
      <c r="E870" s="35"/>
      <c r="F870" s="35"/>
      <c r="G870" s="35"/>
      <c r="H870" s="35"/>
    </row>
    <row r="871">
      <c r="A871" s="35"/>
      <c r="B871" s="35"/>
      <c r="C871" s="35"/>
      <c r="D871" s="35"/>
      <c r="E871" s="35"/>
      <c r="F871" s="35"/>
      <c r="G871" s="35"/>
      <c r="H871" s="35"/>
    </row>
    <row r="872">
      <c r="A872" s="35"/>
      <c r="B872" s="35"/>
      <c r="C872" s="35"/>
      <c r="D872" s="35"/>
      <c r="E872" s="35"/>
      <c r="F872" s="35"/>
      <c r="G872" s="35"/>
      <c r="H872" s="35"/>
    </row>
    <row r="873">
      <c r="A873" s="35"/>
      <c r="B873" s="35"/>
      <c r="C873" s="35"/>
      <c r="D873" s="35"/>
      <c r="E873" s="35"/>
      <c r="F873" s="35"/>
      <c r="G873" s="35"/>
      <c r="H873" s="35"/>
    </row>
    <row r="874">
      <c r="A874" s="35"/>
      <c r="B874" s="35"/>
      <c r="C874" s="35"/>
      <c r="D874" s="35"/>
      <c r="E874" s="35"/>
      <c r="F874" s="35"/>
      <c r="G874" s="35"/>
      <c r="H874" s="35"/>
    </row>
    <row r="875">
      <c r="A875" s="35"/>
      <c r="B875" s="35"/>
      <c r="C875" s="35"/>
      <c r="D875" s="35"/>
      <c r="E875" s="35"/>
      <c r="F875" s="35"/>
      <c r="G875" s="35"/>
      <c r="H875" s="35"/>
    </row>
    <row r="876">
      <c r="A876" s="35"/>
      <c r="B876" s="35"/>
      <c r="C876" s="35"/>
      <c r="D876" s="35"/>
      <c r="E876" s="35"/>
      <c r="F876" s="35"/>
      <c r="G876" s="35"/>
      <c r="H876" s="35"/>
    </row>
    <row r="877">
      <c r="A877" s="35"/>
      <c r="B877" s="35"/>
      <c r="C877" s="35"/>
      <c r="D877" s="35"/>
      <c r="E877" s="35"/>
      <c r="F877" s="35"/>
      <c r="G877" s="35"/>
      <c r="H877" s="35"/>
    </row>
    <row r="878">
      <c r="A878" s="35"/>
      <c r="B878" s="35"/>
      <c r="C878" s="35"/>
      <c r="D878" s="35"/>
      <c r="E878" s="35"/>
      <c r="F878" s="35"/>
      <c r="G878" s="35"/>
      <c r="H878" s="35"/>
    </row>
    <row r="879">
      <c r="A879" s="35"/>
      <c r="B879" s="35"/>
      <c r="C879" s="35"/>
      <c r="D879" s="35"/>
      <c r="E879" s="35"/>
      <c r="F879" s="35"/>
      <c r="G879" s="35"/>
      <c r="H879" s="35"/>
    </row>
    <row r="880">
      <c r="A880" s="35"/>
      <c r="B880" s="35"/>
      <c r="C880" s="35"/>
      <c r="D880" s="35"/>
      <c r="E880" s="35"/>
      <c r="F880" s="35"/>
      <c r="G880" s="35"/>
      <c r="H880" s="35"/>
    </row>
    <row r="881">
      <c r="A881" s="35"/>
      <c r="B881" s="35"/>
      <c r="C881" s="35"/>
      <c r="D881" s="35"/>
      <c r="E881" s="35"/>
      <c r="F881" s="35"/>
      <c r="G881" s="35"/>
      <c r="H881" s="35"/>
    </row>
    <row r="882">
      <c r="A882" s="35"/>
      <c r="B882" s="35"/>
      <c r="C882" s="35"/>
      <c r="D882" s="35"/>
      <c r="E882" s="35"/>
      <c r="F882" s="35"/>
      <c r="G882" s="35"/>
      <c r="H882" s="35"/>
    </row>
    <row r="883">
      <c r="A883" s="35"/>
      <c r="B883" s="35"/>
      <c r="C883" s="35"/>
      <c r="D883" s="35"/>
      <c r="E883" s="35"/>
      <c r="F883" s="35"/>
      <c r="G883" s="35"/>
      <c r="H883" s="35"/>
    </row>
    <row r="884">
      <c r="A884" s="35"/>
      <c r="B884" s="35"/>
      <c r="C884" s="35"/>
      <c r="D884" s="35"/>
      <c r="E884" s="35"/>
      <c r="F884" s="35"/>
      <c r="G884" s="35"/>
      <c r="H884" s="35"/>
    </row>
    <row r="885">
      <c r="A885" s="35"/>
      <c r="B885" s="35"/>
      <c r="C885" s="35"/>
      <c r="D885" s="35"/>
      <c r="E885" s="35"/>
      <c r="F885" s="35"/>
      <c r="G885" s="35"/>
      <c r="H885" s="35"/>
    </row>
    <row r="886">
      <c r="A886" s="35"/>
      <c r="B886" s="35"/>
      <c r="C886" s="35"/>
      <c r="D886" s="35"/>
      <c r="E886" s="35"/>
      <c r="F886" s="35"/>
      <c r="G886" s="35"/>
      <c r="H886" s="35"/>
    </row>
    <row r="887">
      <c r="A887" s="35"/>
      <c r="B887" s="35"/>
      <c r="C887" s="35"/>
      <c r="D887" s="35"/>
      <c r="E887" s="35"/>
      <c r="F887" s="35"/>
      <c r="G887" s="35"/>
      <c r="H887" s="35"/>
    </row>
    <row r="888">
      <c r="A888" s="35"/>
      <c r="B888" s="35"/>
      <c r="C888" s="35"/>
      <c r="D888" s="35"/>
      <c r="E888" s="35"/>
      <c r="F888" s="35"/>
      <c r="G888" s="35"/>
      <c r="H888" s="35"/>
    </row>
    <row r="889">
      <c r="A889" s="35"/>
      <c r="B889" s="35"/>
      <c r="C889" s="35"/>
      <c r="D889" s="35"/>
      <c r="E889" s="35"/>
      <c r="F889" s="35"/>
      <c r="G889" s="35"/>
      <c r="H889" s="35"/>
    </row>
    <row r="890">
      <c r="A890" s="35"/>
      <c r="B890" s="35"/>
      <c r="C890" s="35"/>
      <c r="D890" s="35"/>
      <c r="E890" s="35"/>
      <c r="F890" s="35"/>
      <c r="G890" s="35"/>
      <c r="H890" s="35"/>
    </row>
    <row r="891">
      <c r="A891" s="35"/>
      <c r="B891" s="35"/>
      <c r="C891" s="35"/>
      <c r="D891" s="35"/>
      <c r="E891" s="35"/>
      <c r="F891" s="35"/>
      <c r="G891" s="35"/>
      <c r="H891" s="35"/>
    </row>
    <row r="892">
      <c r="A892" s="35"/>
      <c r="B892" s="35"/>
      <c r="C892" s="35"/>
      <c r="D892" s="35"/>
      <c r="E892" s="35"/>
      <c r="F892" s="35"/>
      <c r="G892" s="35"/>
      <c r="H892" s="35"/>
    </row>
    <row r="893">
      <c r="A893" s="35"/>
      <c r="B893" s="35"/>
      <c r="C893" s="35"/>
      <c r="D893" s="35"/>
      <c r="E893" s="35"/>
      <c r="F893" s="35"/>
      <c r="G893" s="35"/>
      <c r="H893" s="35"/>
    </row>
    <row r="894">
      <c r="A894" s="35"/>
      <c r="B894" s="35"/>
      <c r="C894" s="35"/>
      <c r="D894" s="35"/>
      <c r="E894" s="35"/>
      <c r="F894" s="35"/>
      <c r="G894" s="35"/>
      <c r="H894" s="35"/>
    </row>
    <row r="895">
      <c r="A895" s="35"/>
      <c r="B895" s="35"/>
      <c r="C895" s="35"/>
      <c r="D895" s="35"/>
      <c r="E895" s="35"/>
      <c r="F895" s="35"/>
      <c r="G895" s="35"/>
      <c r="H895" s="35"/>
    </row>
    <row r="896">
      <c r="A896" s="35"/>
      <c r="B896" s="35"/>
      <c r="C896" s="35"/>
      <c r="D896" s="35"/>
      <c r="E896" s="35"/>
      <c r="F896" s="35"/>
      <c r="G896" s="35"/>
      <c r="H896" s="35"/>
    </row>
    <row r="897">
      <c r="A897" s="35"/>
      <c r="B897" s="35"/>
      <c r="C897" s="35"/>
      <c r="D897" s="35"/>
      <c r="E897" s="35"/>
      <c r="F897" s="35"/>
      <c r="G897" s="35"/>
      <c r="H897" s="35"/>
    </row>
    <row r="898">
      <c r="A898" s="35"/>
      <c r="B898" s="35"/>
      <c r="C898" s="35"/>
      <c r="D898" s="35"/>
      <c r="E898" s="35"/>
      <c r="F898" s="35"/>
      <c r="G898" s="35"/>
      <c r="H898" s="35"/>
    </row>
    <row r="899">
      <c r="A899" s="35"/>
      <c r="B899" s="35"/>
      <c r="C899" s="35"/>
      <c r="D899" s="35"/>
      <c r="E899" s="35"/>
      <c r="F899" s="35"/>
      <c r="G899" s="35"/>
      <c r="H899" s="35"/>
    </row>
    <row r="900">
      <c r="A900" s="35"/>
      <c r="B900" s="35"/>
      <c r="C900" s="35"/>
      <c r="D900" s="35"/>
      <c r="E900" s="35"/>
      <c r="F900" s="35"/>
      <c r="G900" s="35"/>
      <c r="H900" s="35"/>
    </row>
    <row r="901">
      <c r="A901" s="35"/>
      <c r="B901" s="35"/>
      <c r="C901" s="35"/>
      <c r="D901" s="35"/>
      <c r="E901" s="35"/>
      <c r="F901" s="35"/>
      <c r="G901" s="35"/>
      <c r="H901" s="35"/>
    </row>
    <row r="902">
      <c r="A902" s="35"/>
      <c r="B902" s="35"/>
      <c r="C902" s="35"/>
      <c r="D902" s="35"/>
      <c r="E902" s="35"/>
      <c r="F902" s="35"/>
      <c r="G902" s="35"/>
      <c r="H902" s="35"/>
    </row>
    <row r="903">
      <c r="A903" s="35"/>
      <c r="B903" s="35"/>
      <c r="C903" s="35"/>
      <c r="D903" s="35"/>
      <c r="E903" s="35"/>
      <c r="F903" s="35"/>
      <c r="G903" s="35"/>
      <c r="H903" s="35"/>
    </row>
    <row r="904">
      <c r="A904" s="35"/>
      <c r="B904" s="35"/>
      <c r="C904" s="35"/>
      <c r="D904" s="35"/>
      <c r="E904" s="35"/>
      <c r="F904" s="35"/>
      <c r="G904" s="35"/>
      <c r="H904" s="35"/>
    </row>
    <row r="905">
      <c r="A905" s="35"/>
      <c r="B905" s="35"/>
      <c r="C905" s="35"/>
      <c r="D905" s="35"/>
      <c r="E905" s="35"/>
      <c r="F905" s="35"/>
      <c r="G905" s="35"/>
      <c r="H905" s="35"/>
    </row>
    <row r="906">
      <c r="A906" s="35"/>
      <c r="B906" s="35"/>
      <c r="C906" s="35"/>
      <c r="D906" s="35"/>
      <c r="E906" s="35"/>
      <c r="F906" s="35"/>
      <c r="G906" s="35"/>
      <c r="H906" s="35"/>
    </row>
    <row r="907">
      <c r="A907" s="35"/>
      <c r="B907" s="35"/>
      <c r="C907" s="35"/>
      <c r="D907" s="35"/>
      <c r="E907" s="35"/>
      <c r="F907" s="35"/>
      <c r="G907" s="35"/>
      <c r="H907" s="35"/>
    </row>
    <row r="908">
      <c r="A908" s="35"/>
      <c r="B908" s="35"/>
      <c r="C908" s="35"/>
      <c r="D908" s="35"/>
      <c r="E908" s="35"/>
      <c r="F908" s="35"/>
      <c r="G908" s="35"/>
      <c r="H908" s="35"/>
    </row>
    <row r="909">
      <c r="A909" s="35"/>
      <c r="B909" s="35"/>
      <c r="C909" s="35"/>
      <c r="D909" s="35"/>
      <c r="E909" s="35"/>
      <c r="F909" s="35"/>
      <c r="G909" s="35"/>
      <c r="H909" s="35"/>
    </row>
    <row r="910">
      <c r="A910" s="35"/>
      <c r="B910" s="35"/>
      <c r="C910" s="35"/>
      <c r="D910" s="35"/>
      <c r="E910" s="35"/>
      <c r="F910" s="35"/>
      <c r="G910" s="35"/>
      <c r="H910" s="35"/>
    </row>
    <row r="911">
      <c r="A911" s="35"/>
      <c r="B911" s="35"/>
      <c r="C911" s="35"/>
      <c r="D911" s="35"/>
      <c r="E911" s="35"/>
      <c r="F911" s="35"/>
      <c r="G911" s="35"/>
      <c r="H911" s="35"/>
    </row>
    <row r="912">
      <c r="A912" s="35"/>
      <c r="B912" s="35"/>
      <c r="C912" s="35"/>
      <c r="D912" s="35"/>
      <c r="E912" s="35"/>
      <c r="F912" s="35"/>
      <c r="G912" s="35"/>
      <c r="H912" s="35"/>
    </row>
    <row r="913">
      <c r="A913" s="35"/>
      <c r="B913" s="35"/>
      <c r="C913" s="35"/>
      <c r="D913" s="35"/>
      <c r="E913" s="35"/>
      <c r="F913" s="35"/>
      <c r="G913" s="35"/>
      <c r="H913" s="35"/>
    </row>
    <row r="914">
      <c r="A914" s="35"/>
      <c r="B914" s="35"/>
      <c r="C914" s="35"/>
      <c r="D914" s="35"/>
      <c r="E914" s="35"/>
      <c r="F914" s="35"/>
      <c r="G914" s="35"/>
      <c r="H914" s="35"/>
    </row>
    <row r="915">
      <c r="A915" s="35"/>
      <c r="B915" s="35"/>
      <c r="C915" s="35"/>
      <c r="D915" s="35"/>
      <c r="E915" s="35"/>
      <c r="F915" s="35"/>
      <c r="G915" s="35"/>
      <c r="H915" s="35"/>
    </row>
    <row r="916">
      <c r="A916" s="35"/>
      <c r="B916" s="35"/>
      <c r="C916" s="35"/>
      <c r="D916" s="35"/>
      <c r="E916" s="35"/>
      <c r="F916" s="35"/>
      <c r="G916" s="35"/>
      <c r="H916" s="35"/>
    </row>
    <row r="917">
      <c r="A917" s="35"/>
      <c r="B917" s="35"/>
      <c r="C917" s="35"/>
      <c r="D917" s="35"/>
      <c r="E917" s="35"/>
      <c r="F917" s="35"/>
      <c r="G917" s="35"/>
      <c r="H917" s="35"/>
    </row>
    <row r="918">
      <c r="A918" s="35"/>
      <c r="B918" s="35"/>
      <c r="C918" s="35"/>
      <c r="D918" s="35"/>
      <c r="E918" s="35"/>
      <c r="F918" s="35"/>
      <c r="G918" s="35"/>
      <c r="H918" s="35"/>
    </row>
    <row r="919">
      <c r="A919" s="35"/>
      <c r="B919" s="35"/>
      <c r="C919" s="35"/>
      <c r="D919" s="35"/>
      <c r="E919" s="35"/>
      <c r="F919" s="35"/>
      <c r="G919" s="35"/>
      <c r="H919" s="35"/>
    </row>
    <row r="920">
      <c r="A920" s="35"/>
      <c r="B920" s="35"/>
      <c r="C920" s="35"/>
      <c r="D920" s="35"/>
      <c r="E920" s="35"/>
      <c r="F920" s="35"/>
      <c r="G920" s="35"/>
      <c r="H920" s="35"/>
    </row>
    <row r="921">
      <c r="A921" s="35"/>
      <c r="B921" s="35"/>
      <c r="C921" s="35"/>
      <c r="D921" s="35"/>
      <c r="E921" s="35"/>
      <c r="F921" s="35"/>
      <c r="G921" s="35"/>
      <c r="H921" s="35"/>
    </row>
    <row r="922">
      <c r="A922" s="35"/>
      <c r="B922" s="35"/>
      <c r="C922" s="35"/>
      <c r="D922" s="35"/>
      <c r="E922" s="35"/>
      <c r="F922" s="35"/>
      <c r="G922" s="35"/>
      <c r="H922" s="35"/>
    </row>
    <row r="923">
      <c r="A923" s="35"/>
      <c r="B923" s="35"/>
      <c r="C923" s="35"/>
      <c r="D923" s="35"/>
      <c r="E923" s="35"/>
      <c r="F923" s="35"/>
      <c r="G923" s="35"/>
      <c r="H923" s="35"/>
    </row>
    <row r="924">
      <c r="A924" s="35"/>
      <c r="B924" s="35"/>
      <c r="C924" s="35"/>
      <c r="D924" s="35"/>
      <c r="E924" s="35"/>
      <c r="F924" s="35"/>
      <c r="G924" s="35"/>
      <c r="H924" s="35"/>
    </row>
    <row r="925">
      <c r="A925" s="35"/>
      <c r="B925" s="35"/>
      <c r="C925" s="35"/>
      <c r="D925" s="35"/>
      <c r="E925" s="35"/>
      <c r="F925" s="35"/>
      <c r="G925" s="35"/>
      <c r="H925" s="35"/>
    </row>
    <row r="926">
      <c r="A926" s="35"/>
      <c r="B926" s="35"/>
      <c r="C926" s="35"/>
      <c r="D926" s="35"/>
      <c r="E926" s="35"/>
      <c r="F926" s="35"/>
      <c r="G926" s="35"/>
      <c r="H926" s="35"/>
    </row>
    <row r="927">
      <c r="A927" s="35"/>
      <c r="B927" s="35"/>
      <c r="C927" s="35"/>
      <c r="D927" s="35"/>
      <c r="E927" s="35"/>
      <c r="F927" s="35"/>
      <c r="G927" s="35"/>
      <c r="H927" s="35"/>
    </row>
    <row r="928">
      <c r="A928" s="35"/>
      <c r="B928" s="35"/>
      <c r="C928" s="35"/>
      <c r="D928" s="35"/>
      <c r="E928" s="35"/>
      <c r="F928" s="35"/>
      <c r="G928" s="35"/>
      <c r="H928" s="35"/>
    </row>
    <row r="929">
      <c r="A929" s="35"/>
      <c r="B929" s="35"/>
      <c r="C929" s="35"/>
      <c r="D929" s="35"/>
      <c r="E929" s="35"/>
      <c r="F929" s="35"/>
      <c r="G929" s="35"/>
      <c r="H929" s="35"/>
    </row>
    <row r="930">
      <c r="A930" s="35"/>
      <c r="B930" s="35"/>
      <c r="C930" s="35"/>
      <c r="D930" s="35"/>
      <c r="E930" s="35"/>
      <c r="F930" s="35"/>
      <c r="G930" s="35"/>
      <c r="H930" s="35"/>
    </row>
    <row r="931">
      <c r="A931" s="35"/>
      <c r="B931" s="35"/>
      <c r="C931" s="35"/>
      <c r="D931" s="35"/>
      <c r="E931" s="35"/>
      <c r="F931" s="35"/>
      <c r="G931" s="35"/>
      <c r="H931" s="35"/>
    </row>
    <row r="932">
      <c r="A932" s="35"/>
      <c r="B932" s="35"/>
      <c r="C932" s="35"/>
      <c r="D932" s="35"/>
      <c r="E932" s="35"/>
      <c r="F932" s="35"/>
      <c r="G932" s="35"/>
      <c r="H932" s="35"/>
    </row>
    <row r="933">
      <c r="A933" s="35"/>
      <c r="B933" s="35"/>
      <c r="C933" s="35"/>
      <c r="D933" s="35"/>
      <c r="E933" s="35"/>
      <c r="F933" s="35"/>
      <c r="G933" s="35"/>
      <c r="H933" s="35"/>
    </row>
    <row r="934">
      <c r="A934" s="35"/>
      <c r="B934" s="35"/>
      <c r="C934" s="35"/>
      <c r="D934" s="35"/>
      <c r="E934" s="35"/>
      <c r="F934" s="35"/>
      <c r="G934" s="35"/>
      <c r="H934" s="35"/>
    </row>
    <row r="935">
      <c r="A935" s="35"/>
      <c r="B935" s="35"/>
      <c r="C935" s="35"/>
      <c r="D935" s="35"/>
      <c r="E935" s="35"/>
      <c r="F935" s="35"/>
      <c r="G935" s="35"/>
      <c r="H935" s="35"/>
    </row>
    <row r="936">
      <c r="A936" s="35"/>
      <c r="B936" s="35"/>
      <c r="C936" s="35"/>
      <c r="D936" s="35"/>
      <c r="E936" s="35"/>
      <c r="F936" s="35"/>
      <c r="G936" s="35"/>
      <c r="H936" s="35"/>
    </row>
    <row r="937">
      <c r="A937" s="35"/>
      <c r="B937" s="35"/>
      <c r="C937" s="35"/>
      <c r="D937" s="35"/>
      <c r="E937" s="35"/>
      <c r="F937" s="35"/>
      <c r="G937" s="35"/>
      <c r="H937" s="35"/>
    </row>
    <row r="938">
      <c r="A938" s="35"/>
      <c r="B938" s="35"/>
      <c r="C938" s="35"/>
      <c r="D938" s="35"/>
      <c r="E938" s="35"/>
      <c r="F938" s="35"/>
      <c r="G938" s="35"/>
      <c r="H938" s="35"/>
    </row>
    <row r="939">
      <c r="A939" s="35"/>
      <c r="B939" s="35"/>
      <c r="C939" s="35"/>
      <c r="D939" s="35"/>
      <c r="E939" s="35"/>
      <c r="F939" s="35"/>
      <c r="G939" s="35"/>
      <c r="H939" s="35"/>
    </row>
    <row r="940">
      <c r="A940" s="35"/>
      <c r="B940" s="35"/>
      <c r="C940" s="35"/>
      <c r="D940" s="35"/>
      <c r="E940" s="35"/>
      <c r="F940" s="35"/>
      <c r="G940" s="35"/>
      <c r="H940" s="35"/>
    </row>
    <row r="941">
      <c r="A941" s="35"/>
      <c r="B941" s="35"/>
      <c r="C941" s="35"/>
      <c r="D941" s="35"/>
      <c r="E941" s="35"/>
      <c r="F941" s="35"/>
      <c r="G941" s="35"/>
      <c r="H941" s="35"/>
    </row>
    <row r="942">
      <c r="A942" s="35"/>
      <c r="B942" s="35"/>
      <c r="C942" s="35"/>
      <c r="D942" s="35"/>
      <c r="E942" s="35"/>
      <c r="F942" s="35"/>
      <c r="G942" s="35"/>
      <c r="H942" s="35"/>
    </row>
    <row r="943">
      <c r="A943" s="35"/>
      <c r="B943" s="35"/>
      <c r="C943" s="35"/>
      <c r="D943" s="35"/>
      <c r="E943" s="35"/>
      <c r="F943" s="35"/>
      <c r="G943" s="35"/>
      <c r="H943" s="35"/>
    </row>
    <row r="944">
      <c r="A944" s="35"/>
      <c r="B944" s="35"/>
      <c r="C944" s="35"/>
      <c r="D944" s="35"/>
      <c r="E944" s="35"/>
      <c r="F944" s="35"/>
      <c r="G944" s="35"/>
      <c r="H944" s="35"/>
    </row>
    <row r="945">
      <c r="A945" s="35"/>
      <c r="B945" s="35"/>
      <c r="C945" s="35"/>
      <c r="D945" s="35"/>
      <c r="E945" s="35"/>
      <c r="F945" s="35"/>
      <c r="G945" s="35"/>
      <c r="H945" s="35"/>
    </row>
    <row r="946">
      <c r="A946" s="35"/>
      <c r="B946" s="35"/>
      <c r="C946" s="35"/>
      <c r="D946" s="35"/>
      <c r="E946" s="35"/>
      <c r="F946" s="35"/>
      <c r="G946" s="35"/>
      <c r="H946" s="35"/>
    </row>
    <row r="947">
      <c r="A947" s="35"/>
      <c r="B947" s="35"/>
      <c r="C947" s="35"/>
      <c r="D947" s="35"/>
      <c r="E947" s="35"/>
      <c r="F947" s="35"/>
      <c r="G947" s="35"/>
      <c r="H947" s="35"/>
    </row>
    <row r="948">
      <c r="A948" s="35"/>
      <c r="B948" s="35"/>
      <c r="C948" s="35"/>
      <c r="D948" s="35"/>
      <c r="E948" s="35"/>
      <c r="F948" s="35"/>
      <c r="G948" s="35"/>
      <c r="H948" s="35"/>
    </row>
    <row r="949">
      <c r="A949" s="35"/>
      <c r="B949" s="35"/>
      <c r="C949" s="35"/>
      <c r="D949" s="35"/>
      <c r="E949" s="35"/>
      <c r="F949" s="35"/>
      <c r="G949" s="35"/>
      <c r="H949" s="35"/>
    </row>
    <row r="950">
      <c r="A950" s="35"/>
      <c r="B950" s="35"/>
      <c r="C950" s="35"/>
      <c r="D950" s="35"/>
      <c r="E950" s="35"/>
      <c r="F950" s="35"/>
      <c r="G950" s="35"/>
      <c r="H950" s="35"/>
    </row>
    <row r="951">
      <c r="A951" s="35"/>
      <c r="B951" s="35"/>
      <c r="C951" s="35"/>
      <c r="D951" s="35"/>
      <c r="E951" s="35"/>
      <c r="F951" s="35"/>
      <c r="G951" s="35"/>
      <c r="H951" s="35"/>
    </row>
    <row r="952">
      <c r="A952" s="35"/>
      <c r="B952" s="35"/>
      <c r="C952" s="35"/>
      <c r="D952" s="35"/>
      <c r="E952" s="35"/>
      <c r="F952" s="35"/>
      <c r="G952" s="35"/>
      <c r="H952" s="35"/>
    </row>
    <row r="953">
      <c r="A953" s="35"/>
      <c r="B953" s="35"/>
      <c r="C953" s="35"/>
      <c r="D953" s="35"/>
      <c r="E953" s="35"/>
      <c r="F953" s="35"/>
      <c r="G953" s="35"/>
      <c r="H953" s="35"/>
    </row>
    <row r="954">
      <c r="A954" s="35"/>
      <c r="B954" s="35"/>
      <c r="C954" s="35"/>
      <c r="D954" s="35"/>
      <c r="E954" s="35"/>
      <c r="F954" s="35"/>
      <c r="G954" s="35"/>
      <c r="H954" s="35"/>
    </row>
    <row r="955">
      <c r="A955" s="35"/>
      <c r="B955" s="35"/>
      <c r="C955" s="35"/>
      <c r="D955" s="35"/>
      <c r="E955" s="35"/>
      <c r="F955" s="35"/>
      <c r="G955" s="35"/>
      <c r="H955" s="35"/>
    </row>
    <row r="956">
      <c r="A956" s="35"/>
      <c r="B956" s="35"/>
      <c r="C956" s="35"/>
      <c r="D956" s="35"/>
      <c r="E956" s="35"/>
      <c r="F956" s="35"/>
      <c r="G956" s="35"/>
      <c r="H956" s="35"/>
    </row>
    <row r="957">
      <c r="A957" s="35"/>
      <c r="B957" s="35"/>
      <c r="C957" s="35"/>
      <c r="D957" s="35"/>
      <c r="E957" s="35"/>
      <c r="F957" s="35"/>
      <c r="G957" s="35"/>
      <c r="H957" s="35"/>
    </row>
    <row r="958">
      <c r="A958" s="35"/>
      <c r="B958" s="35"/>
      <c r="C958" s="35"/>
      <c r="D958" s="35"/>
      <c r="E958" s="35"/>
      <c r="F958" s="35"/>
      <c r="G958" s="35"/>
      <c r="H958" s="35"/>
    </row>
    <row r="959">
      <c r="A959" s="35"/>
      <c r="B959" s="35"/>
      <c r="C959" s="35"/>
      <c r="D959" s="35"/>
      <c r="E959" s="35"/>
      <c r="F959" s="35"/>
      <c r="G959" s="35"/>
      <c r="H959" s="35"/>
    </row>
    <row r="960">
      <c r="A960" s="35"/>
      <c r="B960" s="35"/>
      <c r="C960" s="35"/>
      <c r="D960" s="35"/>
      <c r="E960" s="35"/>
      <c r="F960" s="35"/>
      <c r="G960" s="35"/>
      <c r="H960" s="35"/>
    </row>
    <row r="961">
      <c r="A961" s="35"/>
      <c r="B961" s="35"/>
      <c r="C961" s="35"/>
      <c r="D961" s="35"/>
      <c r="E961" s="35"/>
      <c r="F961" s="35"/>
      <c r="G961" s="35"/>
      <c r="H961" s="35"/>
    </row>
    <row r="962">
      <c r="A962" s="35"/>
      <c r="B962" s="35"/>
      <c r="C962" s="35"/>
      <c r="D962" s="35"/>
      <c r="E962" s="35"/>
      <c r="F962" s="35"/>
      <c r="G962" s="35"/>
      <c r="H962" s="35"/>
    </row>
    <row r="963">
      <c r="A963" s="35"/>
      <c r="B963" s="35"/>
      <c r="C963" s="35"/>
      <c r="D963" s="35"/>
      <c r="E963" s="35"/>
      <c r="F963" s="35"/>
      <c r="G963" s="35"/>
      <c r="H963" s="35"/>
    </row>
    <row r="964">
      <c r="A964" s="35"/>
      <c r="B964" s="35"/>
      <c r="C964" s="35"/>
      <c r="D964" s="35"/>
      <c r="E964" s="35"/>
      <c r="F964" s="35"/>
      <c r="G964" s="35"/>
      <c r="H964" s="35"/>
    </row>
    <row r="965">
      <c r="A965" s="35"/>
      <c r="B965" s="35"/>
      <c r="C965" s="35"/>
      <c r="D965" s="35"/>
      <c r="E965" s="35"/>
      <c r="F965" s="35"/>
      <c r="G965" s="35"/>
      <c r="H965" s="35"/>
    </row>
    <row r="966">
      <c r="A966" s="35"/>
      <c r="B966" s="35"/>
      <c r="C966" s="35"/>
      <c r="D966" s="35"/>
      <c r="E966" s="35"/>
      <c r="F966" s="35"/>
      <c r="G966" s="35"/>
      <c r="H966" s="35"/>
    </row>
    <row r="967">
      <c r="A967" s="35"/>
      <c r="B967" s="35"/>
      <c r="C967" s="35"/>
      <c r="D967" s="35"/>
      <c r="E967" s="35"/>
      <c r="F967" s="35"/>
      <c r="G967" s="35"/>
      <c r="H967" s="35"/>
    </row>
    <row r="968">
      <c r="A968" s="35"/>
      <c r="B968" s="35"/>
      <c r="C968" s="35"/>
      <c r="D968" s="35"/>
      <c r="E968" s="35"/>
      <c r="F968" s="35"/>
      <c r="G968" s="35"/>
      <c r="H968" s="35"/>
    </row>
    <row r="969">
      <c r="A969" s="35"/>
      <c r="B969" s="35"/>
      <c r="C969" s="35"/>
      <c r="D969" s="35"/>
      <c r="E969" s="35"/>
      <c r="F969" s="35"/>
      <c r="G969" s="35"/>
      <c r="H969" s="35"/>
    </row>
    <row r="970">
      <c r="A970" s="35"/>
      <c r="B970" s="35"/>
      <c r="C970" s="35"/>
      <c r="D970" s="35"/>
      <c r="E970" s="35"/>
      <c r="F970" s="35"/>
      <c r="G970" s="35"/>
      <c r="H970" s="35"/>
    </row>
    <row r="971">
      <c r="A971" s="35"/>
      <c r="B971" s="35"/>
      <c r="C971" s="35"/>
      <c r="D971" s="35"/>
      <c r="E971" s="35"/>
      <c r="F971" s="35"/>
      <c r="G971" s="35"/>
      <c r="H971" s="35"/>
    </row>
    <row r="972">
      <c r="A972" s="35"/>
      <c r="B972" s="35"/>
      <c r="C972" s="35"/>
      <c r="D972" s="35"/>
      <c r="E972" s="35"/>
      <c r="F972" s="35"/>
      <c r="G972" s="35"/>
      <c r="H972" s="35"/>
    </row>
    <row r="973">
      <c r="A973" s="35"/>
      <c r="B973" s="35"/>
      <c r="C973" s="35"/>
      <c r="D973" s="35"/>
      <c r="E973" s="35"/>
      <c r="F973" s="35"/>
      <c r="G973" s="35"/>
      <c r="H973" s="35"/>
    </row>
    <row r="974">
      <c r="A974" s="35"/>
      <c r="B974" s="35"/>
      <c r="C974" s="35"/>
      <c r="D974" s="35"/>
      <c r="E974" s="35"/>
      <c r="F974" s="35"/>
      <c r="G974" s="35"/>
      <c r="H974" s="35"/>
    </row>
    <row r="975">
      <c r="A975" s="35"/>
      <c r="B975" s="35"/>
      <c r="C975" s="35"/>
      <c r="D975" s="35"/>
      <c r="E975" s="35"/>
      <c r="F975" s="35"/>
      <c r="G975" s="35"/>
      <c r="H975" s="35"/>
    </row>
    <row r="976">
      <c r="A976" s="35"/>
      <c r="B976" s="35"/>
      <c r="C976" s="35"/>
      <c r="D976" s="35"/>
      <c r="E976" s="35"/>
      <c r="F976" s="35"/>
      <c r="G976" s="35"/>
      <c r="H976" s="35"/>
    </row>
    <row r="977">
      <c r="A977" s="35"/>
      <c r="B977" s="35"/>
      <c r="C977" s="35"/>
      <c r="D977" s="35"/>
      <c r="E977" s="35"/>
      <c r="F977" s="35"/>
      <c r="G977" s="35"/>
      <c r="H977" s="35"/>
    </row>
    <row r="978">
      <c r="A978" s="35"/>
      <c r="B978" s="35"/>
      <c r="C978" s="35"/>
      <c r="D978" s="35"/>
      <c r="E978" s="35"/>
      <c r="F978" s="35"/>
      <c r="G978" s="35"/>
      <c r="H978" s="35"/>
    </row>
    <row r="979">
      <c r="A979" s="35"/>
      <c r="B979" s="35"/>
      <c r="C979" s="35"/>
      <c r="D979" s="35"/>
      <c r="E979" s="35"/>
      <c r="F979" s="35"/>
      <c r="G979" s="35"/>
      <c r="H979" s="35"/>
    </row>
    <row r="980">
      <c r="A980" s="35"/>
      <c r="B980" s="35"/>
      <c r="C980" s="35"/>
      <c r="D980" s="35"/>
      <c r="E980" s="35"/>
      <c r="F980" s="35"/>
      <c r="G980" s="35"/>
      <c r="H980" s="35"/>
    </row>
    <row r="981">
      <c r="A981" s="35"/>
      <c r="B981" s="35"/>
      <c r="C981" s="35"/>
      <c r="D981" s="35"/>
      <c r="E981" s="35"/>
      <c r="F981" s="35"/>
      <c r="G981" s="35"/>
      <c r="H981" s="35"/>
    </row>
    <row r="982">
      <c r="A982" s="35"/>
      <c r="B982" s="35"/>
      <c r="C982" s="35"/>
      <c r="D982" s="35"/>
      <c r="E982" s="35"/>
      <c r="F982" s="35"/>
      <c r="G982" s="35"/>
      <c r="H982" s="35"/>
    </row>
    <row r="983">
      <c r="A983" s="35"/>
      <c r="B983" s="35"/>
      <c r="C983" s="35"/>
      <c r="D983" s="35"/>
      <c r="E983" s="35"/>
      <c r="F983" s="35"/>
      <c r="G983" s="35"/>
      <c r="H983" s="35"/>
    </row>
    <row r="984">
      <c r="A984" s="35"/>
      <c r="B984" s="35"/>
      <c r="C984" s="35"/>
      <c r="D984" s="35"/>
      <c r="E984" s="35"/>
      <c r="F984" s="35"/>
      <c r="G984" s="35"/>
      <c r="H984" s="35"/>
    </row>
    <row r="985">
      <c r="A985" s="35"/>
      <c r="B985" s="35"/>
      <c r="C985" s="35"/>
      <c r="D985" s="35"/>
      <c r="E985" s="35"/>
      <c r="F985" s="35"/>
      <c r="G985" s="35"/>
      <c r="H985" s="35"/>
    </row>
    <row r="986">
      <c r="A986" s="35"/>
      <c r="B986" s="35"/>
      <c r="C986" s="35"/>
      <c r="D986" s="35"/>
      <c r="E986" s="35"/>
      <c r="F986" s="35"/>
      <c r="G986" s="35"/>
      <c r="H986" s="35"/>
    </row>
    <row r="987">
      <c r="A987" s="35"/>
      <c r="B987" s="35"/>
      <c r="C987" s="35"/>
      <c r="D987" s="35"/>
      <c r="E987" s="35"/>
      <c r="F987" s="35"/>
      <c r="G987" s="35"/>
      <c r="H987" s="35"/>
    </row>
    <row r="988">
      <c r="A988" s="35"/>
      <c r="B988" s="35"/>
      <c r="C988" s="35"/>
      <c r="D988" s="35"/>
      <c r="E988" s="35"/>
      <c r="F988" s="35"/>
      <c r="G988" s="35"/>
      <c r="H988" s="35"/>
    </row>
    <row r="989">
      <c r="A989" s="35"/>
      <c r="B989" s="35"/>
      <c r="C989" s="35"/>
      <c r="D989" s="35"/>
      <c r="E989" s="35"/>
      <c r="F989" s="35"/>
      <c r="G989" s="35"/>
      <c r="H989" s="35"/>
    </row>
    <row r="990">
      <c r="A990" s="35"/>
      <c r="B990" s="35"/>
      <c r="C990" s="35"/>
      <c r="D990" s="35"/>
      <c r="E990" s="35"/>
      <c r="F990" s="35"/>
      <c r="G990" s="35"/>
      <c r="H990" s="35"/>
    </row>
    <row r="991">
      <c r="A991" s="35"/>
      <c r="B991" s="35"/>
      <c r="C991" s="35"/>
      <c r="D991" s="35"/>
      <c r="E991" s="35"/>
      <c r="F991" s="35"/>
      <c r="G991" s="35"/>
      <c r="H991" s="35"/>
    </row>
    <row r="992">
      <c r="A992" s="35"/>
      <c r="B992" s="35"/>
      <c r="C992" s="35"/>
      <c r="D992" s="35"/>
      <c r="E992" s="35"/>
      <c r="F992" s="35"/>
      <c r="G992" s="35"/>
      <c r="H992" s="35"/>
    </row>
    <row r="993">
      <c r="A993" s="35"/>
      <c r="B993" s="35"/>
      <c r="C993" s="35"/>
      <c r="D993" s="35"/>
      <c r="E993" s="35"/>
      <c r="F993" s="35"/>
      <c r="G993" s="35"/>
      <c r="H993" s="35"/>
    </row>
    <row r="994">
      <c r="A994" s="35"/>
      <c r="B994" s="35"/>
      <c r="C994" s="35"/>
      <c r="D994" s="35"/>
      <c r="E994" s="35"/>
      <c r="F994" s="35"/>
      <c r="G994" s="35"/>
      <c r="H994" s="35"/>
    </row>
    <row r="995">
      <c r="A995" s="35"/>
      <c r="B995" s="35"/>
      <c r="C995" s="35"/>
      <c r="D995" s="35"/>
      <c r="E995" s="35"/>
      <c r="F995" s="35"/>
      <c r="G995" s="35"/>
      <c r="H995" s="35"/>
    </row>
    <row r="996">
      <c r="A996" s="35"/>
      <c r="B996" s="35"/>
      <c r="C996" s="35"/>
      <c r="D996" s="35"/>
      <c r="E996" s="35"/>
      <c r="F996" s="35"/>
      <c r="G996" s="35"/>
      <c r="H996" s="35"/>
    </row>
    <row r="997">
      <c r="A997" s="35"/>
      <c r="B997" s="35"/>
      <c r="C997" s="35"/>
      <c r="D997" s="35"/>
      <c r="E997" s="35"/>
      <c r="F997" s="35"/>
      <c r="G997" s="35"/>
      <c r="H997" s="35"/>
    </row>
    <row r="998">
      <c r="A998" s="35"/>
      <c r="B998" s="35"/>
      <c r="C998" s="35"/>
      <c r="D998" s="35"/>
      <c r="E998" s="35"/>
      <c r="F998" s="35"/>
      <c r="G998" s="35"/>
      <c r="H998" s="35"/>
    </row>
    <row r="999">
      <c r="A999" s="35"/>
      <c r="B999" s="35"/>
      <c r="C999" s="35"/>
      <c r="D999" s="35"/>
      <c r="E999" s="35"/>
      <c r="F999" s="35"/>
      <c r="G999" s="35"/>
      <c r="H999" s="35"/>
    </row>
    <row r="1000">
      <c r="A1000" s="35"/>
      <c r="B1000" s="35"/>
      <c r="C1000" s="35"/>
      <c r="D1000" s="35"/>
      <c r="E1000" s="35"/>
      <c r="F1000" s="35"/>
      <c r="G1000" s="35"/>
      <c r="H1000" s="35"/>
    </row>
    <row r="1001">
      <c r="A1001" s="35"/>
      <c r="B1001" s="35"/>
      <c r="C1001" s="35"/>
      <c r="D1001" s="35"/>
      <c r="E1001" s="35"/>
      <c r="F1001" s="35"/>
      <c r="G1001" s="35"/>
      <c r="H1001" s="35"/>
    </row>
    <row r="1002">
      <c r="A1002" s="35"/>
      <c r="B1002" s="35"/>
      <c r="C1002" s="35"/>
      <c r="D1002" s="35"/>
      <c r="E1002" s="35"/>
      <c r="F1002" s="35"/>
      <c r="G1002" s="35"/>
      <c r="H1002" s="35"/>
    </row>
    <row r="1003">
      <c r="A1003" s="35"/>
      <c r="B1003" s="35"/>
      <c r="C1003" s="35"/>
      <c r="D1003" s="35"/>
      <c r="E1003" s="35"/>
      <c r="F1003" s="35"/>
      <c r="G1003" s="35"/>
      <c r="H1003" s="35"/>
    </row>
    <row r="1004">
      <c r="A1004" s="35"/>
      <c r="B1004" s="35"/>
      <c r="C1004" s="35"/>
      <c r="D1004" s="35"/>
      <c r="E1004" s="35"/>
      <c r="F1004" s="35"/>
      <c r="G1004" s="35"/>
      <c r="H1004" s="35"/>
    </row>
    <row r="1005">
      <c r="A1005" s="35"/>
      <c r="B1005" s="35"/>
      <c r="C1005" s="35"/>
      <c r="D1005" s="35"/>
      <c r="E1005" s="35"/>
      <c r="F1005" s="35"/>
      <c r="G1005" s="35"/>
      <c r="H1005" s="35"/>
    </row>
  </sheetData>
  <autoFilter ref="$A$1:$H$1005"/>
  <hyperlinks>
    <hyperlink r:id="rId1" ref="B7"/>
    <hyperlink r:id="rId2" ref="C7"/>
    <hyperlink r:id="rId3" ref="D7"/>
    <hyperlink r:id="rId4" ref="F7"/>
    <hyperlink r:id="rId5" ref="B11"/>
    <hyperlink r:id="rId6" ref="C11"/>
    <hyperlink r:id="rId7" ref="D11"/>
    <hyperlink r:id="rId8" ref="F11"/>
    <hyperlink r:id="rId9" ref="C15"/>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8.0"/>
    <col customWidth="1" min="3" max="3" width="21.25"/>
    <col customWidth="1" min="4" max="5" width="8.0"/>
    <col customWidth="1" min="6" max="6" width="19.13"/>
    <col customWidth="1" min="7" max="7" width="6.38"/>
    <col customWidth="1" min="8" max="8" width="10.5"/>
    <col customWidth="1" min="9" max="30" width="6.38"/>
  </cols>
  <sheetData>
    <row r="1">
      <c r="A1" s="52" t="s">
        <v>26</v>
      </c>
      <c r="B1" s="52" t="s">
        <v>82</v>
      </c>
      <c r="C1" s="52" t="s">
        <v>83</v>
      </c>
      <c r="D1" s="53" t="s">
        <v>84</v>
      </c>
      <c r="E1" s="54" t="s">
        <v>85</v>
      </c>
      <c r="F1" s="54" t="s">
        <v>86</v>
      </c>
      <c r="G1" s="52" t="s">
        <v>87</v>
      </c>
      <c r="H1" s="55" t="s">
        <v>88</v>
      </c>
      <c r="I1" s="54" t="s">
        <v>89</v>
      </c>
      <c r="J1" s="54" t="s">
        <v>90</v>
      </c>
      <c r="K1" s="56" t="s">
        <v>91</v>
      </c>
      <c r="L1" s="57" t="s">
        <v>92</v>
      </c>
      <c r="M1" s="57" t="s">
        <v>93</v>
      </c>
      <c r="N1" s="52" t="s">
        <v>94</v>
      </c>
      <c r="O1" s="52" t="s">
        <v>95</v>
      </c>
      <c r="P1" s="52" t="s">
        <v>96</v>
      </c>
      <c r="Q1" s="52" t="s">
        <v>97</v>
      </c>
      <c r="R1" s="52" t="s">
        <v>98</v>
      </c>
      <c r="S1" s="52" t="str">
        <f t="array" ref="S1:V79">LET(
 data,
 IF(
   K2:K79="",
   ,
   LET(
    buy, K2:K79,
    sell, L2:L79,
    qty, J2:J79,
    brokerage, qty*0+40,
    stt, (sell*qty)*0.001,
    exch, (buy*qty + sell*qty)*0.0003503,
    stamp, (buy*qty)*0.00003,
    gst, (brokerage + exch + stamp)*0.18,
    otherCharges, stt + exch + stamp + gst,
    grossPL, (sell-buy)*qty,
    netPL, grossPL - (brokerage + otherCharges),
    HSTACK(brokerage, otherCharges, grossPL, netPL)
   )
  ),
 VSTACK(
  {"Brokerage","Other Charges","Gross P/L","Net P/L"},
  IFERROR(data,"")
 )
)
</f>
        <v>Brokerage</v>
      </c>
      <c r="T1" s="52" t="s">
        <v>99</v>
      </c>
      <c r="U1" s="52" t="s">
        <v>100</v>
      </c>
      <c r="V1" s="52" t="s">
        <v>27</v>
      </c>
      <c r="W1" s="58" t="s">
        <v>101</v>
      </c>
      <c r="X1" s="52" t="s">
        <v>102</v>
      </c>
      <c r="Y1" s="52" t="s">
        <v>103</v>
      </c>
      <c r="Z1" s="52" t="s">
        <v>104</v>
      </c>
      <c r="AA1" s="52" t="s">
        <v>105</v>
      </c>
      <c r="AB1" s="52" t="s">
        <v>106</v>
      </c>
      <c r="AC1" s="52"/>
      <c r="AD1" s="52"/>
    </row>
    <row r="2">
      <c r="A2" s="59">
        <v>46023.0</v>
      </c>
      <c r="B2" s="60" t="s">
        <v>107</v>
      </c>
      <c r="C2" s="61" t="str">
        <f t="shared" ref="C2:C73" si="1">TEXTJOIN(
 " | ",
 TRUE,
 TEXT(A2,"ddd dd - mmm"),
 TEXT(D2,"hh:mm"),
 G2,
 TEXT(I2,"0")
)
</f>
        <v>Thu 01 - Jan | 14:50 | No Record | 1</v>
      </c>
      <c r="D2" s="62">
        <v>0.6183449074074074</v>
      </c>
      <c r="E2" s="62">
        <v>0.6250462962962963</v>
      </c>
      <c r="F2" s="63" t="s">
        <v>108</v>
      </c>
      <c r="G2" s="64" t="s">
        <v>109</v>
      </c>
      <c r="H2" s="64" t="s">
        <v>109</v>
      </c>
      <c r="I2" s="46">
        <v>1.0</v>
      </c>
      <c r="J2" s="64">
        <v>65.0</v>
      </c>
      <c r="K2" s="65">
        <v>69.15</v>
      </c>
      <c r="L2" s="64">
        <v>65.05</v>
      </c>
      <c r="M2" s="66">
        <f t="shared" ref="M2:M73" si="2">L2-K2</f>
        <v>-4.1</v>
      </c>
      <c r="N2" s="66">
        <f t="shared" ref="N2:N73" si="3">K2*J2</f>
        <v>4494.75</v>
      </c>
      <c r="O2" s="67">
        <f t="shared" ref="O2:O73" si="4">M2/K2</f>
        <v>-0.05929139552</v>
      </c>
      <c r="P2" s="67">
        <f>O2</f>
        <v>-0.05929139552</v>
      </c>
      <c r="Q2" s="68">
        <f>M2</f>
        <v>-4.1</v>
      </c>
      <c r="R2" s="69">
        <f t="shared" ref="R2:R73" si="5">E2-D2</f>
        <v>0.006701388889</v>
      </c>
      <c r="S2" s="70">
        <v>40.0</v>
      </c>
      <c r="T2" s="70">
        <v>15.193051092</v>
      </c>
      <c r="U2" s="70">
        <v>-266.50000000000057</v>
      </c>
      <c r="V2" s="70">
        <v>-321.6930510920006</v>
      </c>
      <c r="W2" s="71">
        <f t="shared" ref="W2:W73" si="6">T2+S2</f>
        <v>55.19305109</v>
      </c>
      <c r="X2" s="72"/>
      <c r="Y2" s="72"/>
      <c r="Z2" s="72"/>
      <c r="AA2" s="72"/>
      <c r="AB2" s="72"/>
      <c r="AC2" s="72"/>
      <c r="AD2" s="72"/>
    </row>
    <row r="3">
      <c r="A3" s="59">
        <v>46023.0</v>
      </c>
      <c r="B3" s="60" t="s">
        <v>107</v>
      </c>
      <c r="C3" s="61" t="str">
        <f t="shared" si="1"/>
        <v>Thu 01 - Jan | 15:15 | No Record | 2</v>
      </c>
      <c r="D3" s="62">
        <v>0.635613425925926</v>
      </c>
      <c r="E3" s="62">
        <v>0.6371064814814815</v>
      </c>
      <c r="F3" s="63" t="s">
        <v>108</v>
      </c>
      <c r="G3" s="64" t="s">
        <v>109</v>
      </c>
      <c r="H3" s="64" t="s">
        <v>109</v>
      </c>
      <c r="I3" s="46">
        <v>2.0</v>
      </c>
      <c r="J3" s="64">
        <v>65.0</v>
      </c>
      <c r="K3" s="65">
        <v>71.6</v>
      </c>
      <c r="L3" s="64">
        <v>71.45</v>
      </c>
      <c r="M3" s="66">
        <f t="shared" si="2"/>
        <v>-0.15</v>
      </c>
      <c r="N3" s="66">
        <f t="shared" si="3"/>
        <v>4654</v>
      </c>
      <c r="O3" s="67">
        <f t="shared" si="4"/>
        <v>-0.002094972067</v>
      </c>
      <c r="P3" s="67">
        <f>O3+P2</f>
        <v>-0.06138636758</v>
      </c>
      <c r="Q3" s="68">
        <f t="shared" ref="Q3:Q73" si="7">M3+Q2</f>
        <v>-4.25</v>
      </c>
      <c r="R3" s="69">
        <f t="shared" si="5"/>
        <v>0.001493055556</v>
      </c>
      <c r="S3" s="70">
        <v>40.0</v>
      </c>
      <c r="T3" s="70">
        <v>15.8524704305</v>
      </c>
      <c r="U3" s="70">
        <v>-9.749999999999446</v>
      </c>
      <c r="V3" s="70">
        <v>-65.60247043049944</v>
      </c>
      <c r="W3" s="71">
        <f t="shared" si="6"/>
        <v>55.85247043</v>
      </c>
      <c r="X3" s="72"/>
      <c r="Y3" s="72"/>
      <c r="Z3" s="72"/>
      <c r="AA3" s="72"/>
      <c r="AB3" s="72"/>
      <c r="AC3" s="72"/>
      <c r="AD3" s="72"/>
    </row>
    <row r="4">
      <c r="A4" s="8">
        <v>46024.0</v>
      </c>
      <c r="B4" s="60" t="s">
        <v>107</v>
      </c>
      <c r="C4" s="61" t="str">
        <f t="shared" si="1"/>
        <v>Fri 02 - Jan | 09:17 | Short | 1</v>
      </c>
      <c r="D4" s="62">
        <v>0.3868287037037037</v>
      </c>
      <c r="E4" s="62">
        <v>0.3909837962962963</v>
      </c>
      <c r="F4" s="73" t="s">
        <v>110</v>
      </c>
      <c r="G4" s="60" t="s">
        <v>111</v>
      </c>
      <c r="H4" s="60" t="s">
        <v>112</v>
      </c>
      <c r="I4" s="73">
        <v>1.0</v>
      </c>
      <c r="J4" s="73">
        <v>65.0</v>
      </c>
      <c r="K4" s="68">
        <v>71.75</v>
      </c>
      <c r="L4" s="66">
        <v>65.35</v>
      </c>
      <c r="M4" s="66">
        <f t="shared" si="2"/>
        <v>-6.4</v>
      </c>
      <c r="N4" s="66">
        <f t="shared" si="3"/>
        <v>4663.75</v>
      </c>
      <c r="O4" s="67">
        <f t="shared" si="4"/>
        <v>-0.08919860627</v>
      </c>
      <c r="P4" s="74">
        <f>O4</f>
        <v>-0.08919860627</v>
      </c>
      <c r="Q4" s="68">
        <f t="shared" si="7"/>
        <v>-10.65</v>
      </c>
      <c r="R4" s="69">
        <f t="shared" si="5"/>
        <v>0.004155092593</v>
      </c>
      <c r="S4" s="70">
        <v>40.0</v>
      </c>
      <c r="T4" s="70">
        <v>15.296450921</v>
      </c>
      <c r="U4" s="70">
        <v>-416.00000000000034</v>
      </c>
      <c r="V4" s="70">
        <v>-471.2964509210003</v>
      </c>
      <c r="W4" s="71">
        <f t="shared" si="6"/>
        <v>55.29645092</v>
      </c>
      <c r="X4" s="72"/>
      <c r="Y4" s="72"/>
      <c r="Z4" s="72"/>
      <c r="AA4" s="72"/>
      <c r="AB4" s="72"/>
      <c r="AC4" s="72"/>
      <c r="AD4" s="72"/>
    </row>
    <row r="5">
      <c r="A5" s="8">
        <v>46024.0</v>
      </c>
      <c r="B5" s="60" t="s">
        <v>107</v>
      </c>
      <c r="C5" s="61" t="str">
        <f t="shared" si="1"/>
        <v>Fri 02 - Jan | 09:25 | Long | 2</v>
      </c>
      <c r="D5" s="62">
        <v>0.39238425925925924</v>
      </c>
      <c r="E5" s="62">
        <v>0.4061111111111111</v>
      </c>
      <c r="F5" s="73" t="s">
        <v>113</v>
      </c>
      <c r="G5" s="60" t="s">
        <v>114</v>
      </c>
      <c r="H5" s="75" t="s">
        <v>115</v>
      </c>
      <c r="I5" s="73">
        <v>2.0</v>
      </c>
      <c r="J5" s="73">
        <v>65.0</v>
      </c>
      <c r="K5" s="68">
        <v>77.3</v>
      </c>
      <c r="L5" s="66">
        <v>111.6</v>
      </c>
      <c r="M5" s="66">
        <f t="shared" si="2"/>
        <v>34.3</v>
      </c>
      <c r="N5" s="66">
        <f t="shared" si="3"/>
        <v>5024.5</v>
      </c>
      <c r="O5" s="67">
        <f t="shared" si="4"/>
        <v>0.4437257439</v>
      </c>
      <c r="P5" s="67">
        <f t="shared" ref="P5:P73" si="8">O5+P4</f>
        <v>0.3545271376</v>
      </c>
      <c r="Q5" s="68">
        <f t="shared" si="7"/>
        <v>23.65</v>
      </c>
      <c r="R5" s="69">
        <f t="shared" si="5"/>
        <v>0.01372685185</v>
      </c>
      <c r="S5" s="70">
        <v>40.0</v>
      </c>
      <c r="T5" s="70">
        <v>19.707234389</v>
      </c>
      <c r="U5" s="70">
        <v>2229.5</v>
      </c>
      <c r="V5" s="70">
        <v>2169.792765611</v>
      </c>
      <c r="W5" s="71">
        <f t="shared" si="6"/>
        <v>59.70723439</v>
      </c>
      <c r="X5" s="72"/>
      <c r="Y5" s="72"/>
      <c r="Z5" s="72"/>
      <c r="AA5" s="72"/>
      <c r="AB5" s="72"/>
      <c r="AC5" s="72"/>
      <c r="AD5" s="72"/>
    </row>
    <row r="6">
      <c r="A6" s="8">
        <v>46024.0</v>
      </c>
      <c r="B6" s="60" t="s">
        <v>107</v>
      </c>
      <c r="C6" s="61" t="str">
        <f t="shared" si="1"/>
        <v>Fri 02 - Jan | 10:57 | Short | 3</v>
      </c>
      <c r="D6" s="62">
        <v>0.4562847222222222</v>
      </c>
      <c r="E6" s="62">
        <v>0.4750347222222222</v>
      </c>
      <c r="F6" s="73" t="s">
        <v>116</v>
      </c>
      <c r="G6" s="60" t="s">
        <v>111</v>
      </c>
      <c r="H6" s="76" t="s">
        <v>117</v>
      </c>
      <c r="I6" s="73">
        <v>3.0</v>
      </c>
      <c r="J6" s="73">
        <v>65.0</v>
      </c>
      <c r="K6" s="68">
        <v>59.75</v>
      </c>
      <c r="L6" s="66">
        <v>55.6</v>
      </c>
      <c r="M6" s="66">
        <f t="shared" si="2"/>
        <v>-4.15</v>
      </c>
      <c r="N6" s="66">
        <f t="shared" si="3"/>
        <v>3883.75</v>
      </c>
      <c r="O6" s="67">
        <f t="shared" si="4"/>
        <v>-0.06945606695</v>
      </c>
      <c r="P6" s="67">
        <f t="shared" si="8"/>
        <v>0.2850710706</v>
      </c>
      <c r="Q6" s="68">
        <f t="shared" si="7"/>
        <v>19.5</v>
      </c>
      <c r="R6" s="69">
        <f t="shared" si="5"/>
        <v>0.01875</v>
      </c>
      <c r="S6" s="70">
        <v>40.0</v>
      </c>
      <c r="T6" s="70">
        <v>14.0507097035</v>
      </c>
      <c r="U6" s="70">
        <v>-269.7499999999999</v>
      </c>
      <c r="V6" s="70">
        <v>-323.8007097034999</v>
      </c>
      <c r="W6" s="71">
        <f t="shared" si="6"/>
        <v>54.0507097</v>
      </c>
      <c r="X6" s="72"/>
      <c r="Y6" s="72"/>
      <c r="Z6" s="72"/>
      <c r="AA6" s="72"/>
      <c r="AB6" s="72"/>
      <c r="AC6" s="72"/>
      <c r="AD6" s="72"/>
    </row>
    <row r="7">
      <c r="A7" s="8">
        <v>46027.0</v>
      </c>
      <c r="B7" s="60" t="s">
        <v>118</v>
      </c>
      <c r="C7" s="61" t="str">
        <f t="shared" si="1"/>
        <v>Mon 05 - Jan | 09:36 | Short | 1</v>
      </c>
      <c r="D7" s="62">
        <v>0.40003472222222225</v>
      </c>
      <c r="E7" s="62">
        <v>0.40038194444444447</v>
      </c>
      <c r="F7" s="73" t="s">
        <v>119</v>
      </c>
      <c r="G7" s="60" t="s">
        <v>111</v>
      </c>
      <c r="H7" s="76" t="s">
        <v>117</v>
      </c>
      <c r="I7" s="73">
        <v>1.0</v>
      </c>
      <c r="J7" s="73">
        <v>65.0</v>
      </c>
      <c r="K7" s="68">
        <v>71.35</v>
      </c>
      <c r="L7" s="66">
        <v>74.9</v>
      </c>
      <c r="M7" s="66">
        <f t="shared" si="2"/>
        <v>3.55</v>
      </c>
      <c r="N7" s="66">
        <f t="shared" si="3"/>
        <v>4637.75</v>
      </c>
      <c r="O7" s="67">
        <f t="shared" si="4"/>
        <v>0.0497547302</v>
      </c>
      <c r="P7" s="67">
        <f t="shared" si="8"/>
        <v>0.3348258008</v>
      </c>
      <c r="Q7" s="68">
        <f t="shared" si="7"/>
        <v>23.05</v>
      </c>
      <c r="R7" s="69">
        <f t="shared" si="5"/>
        <v>0.0003472222222</v>
      </c>
      <c r="S7" s="70">
        <v>40.0</v>
      </c>
      <c r="T7" s="70">
        <v>16.1621228125</v>
      </c>
      <c r="U7" s="70">
        <v>230.75000000000074</v>
      </c>
      <c r="V7" s="70">
        <v>174.58787718750074</v>
      </c>
      <c r="W7" s="71">
        <f t="shared" si="6"/>
        <v>56.16212281</v>
      </c>
      <c r="X7" s="72"/>
      <c r="Y7" s="72"/>
      <c r="Z7" s="72"/>
      <c r="AA7" s="72"/>
      <c r="AB7" s="72"/>
      <c r="AC7" s="72"/>
      <c r="AD7" s="72"/>
    </row>
    <row r="8">
      <c r="A8" s="8">
        <v>46027.0</v>
      </c>
      <c r="B8" s="60" t="s">
        <v>118</v>
      </c>
      <c r="C8" s="61" t="str">
        <f t="shared" si="1"/>
        <v>Mon 05 - Jan | 09:50 | Long | 2</v>
      </c>
      <c r="D8" s="62">
        <v>0.40975694444444444</v>
      </c>
      <c r="E8" s="62">
        <v>0.41443287037037035</v>
      </c>
      <c r="F8" s="73" t="s">
        <v>120</v>
      </c>
      <c r="G8" s="60" t="s">
        <v>114</v>
      </c>
      <c r="H8" s="60" t="s">
        <v>112</v>
      </c>
      <c r="I8" s="73">
        <v>2.0</v>
      </c>
      <c r="J8" s="73">
        <v>65.0</v>
      </c>
      <c r="K8" s="68">
        <v>61.8</v>
      </c>
      <c r="L8" s="66">
        <v>72.65</v>
      </c>
      <c r="M8" s="66">
        <f t="shared" si="2"/>
        <v>10.85</v>
      </c>
      <c r="N8" s="66">
        <f t="shared" si="3"/>
        <v>4017</v>
      </c>
      <c r="O8" s="67">
        <f t="shared" si="4"/>
        <v>0.175566343</v>
      </c>
      <c r="P8" s="67">
        <f t="shared" si="8"/>
        <v>0.5103921439</v>
      </c>
      <c r="Q8" s="68">
        <f t="shared" si="7"/>
        <v>33.9</v>
      </c>
      <c r="R8" s="69">
        <f t="shared" si="5"/>
        <v>0.004675925926</v>
      </c>
      <c r="S8" s="70">
        <v>40.0</v>
      </c>
      <c r="T8" s="70">
        <v>15.676855744500001</v>
      </c>
      <c r="U8" s="70">
        <v>705.2500000000006</v>
      </c>
      <c r="V8" s="70">
        <v>649.5731442555006</v>
      </c>
      <c r="W8" s="71">
        <f t="shared" si="6"/>
        <v>55.67685574</v>
      </c>
      <c r="X8" s="72"/>
      <c r="Y8" s="72"/>
      <c r="Z8" s="72"/>
      <c r="AA8" s="72"/>
      <c r="AB8" s="72"/>
      <c r="AC8" s="72"/>
      <c r="AD8" s="72"/>
    </row>
    <row r="9">
      <c r="A9" s="8">
        <v>46027.0</v>
      </c>
      <c r="B9" s="60" t="s">
        <v>118</v>
      </c>
      <c r="C9" s="61" t="str">
        <f t="shared" si="1"/>
        <v>Mon 05 - Jan | 10:12 | Short | 3</v>
      </c>
      <c r="D9" s="62">
        <v>0.4250115740740741</v>
      </c>
      <c r="E9" s="62">
        <v>0.4250347222222222</v>
      </c>
      <c r="F9" s="73" t="s">
        <v>119</v>
      </c>
      <c r="G9" s="60" t="s">
        <v>111</v>
      </c>
      <c r="H9" s="76" t="s">
        <v>117</v>
      </c>
      <c r="I9" s="73">
        <v>3.0</v>
      </c>
      <c r="J9" s="73">
        <v>65.0</v>
      </c>
      <c r="K9" s="68">
        <v>42.75</v>
      </c>
      <c r="L9" s="66">
        <v>42.7</v>
      </c>
      <c r="M9" s="66">
        <f t="shared" si="2"/>
        <v>-0.05</v>
      </c>
      <c r="N9" s="66">
        <f t="shared" si="3"/>
        <v>2778.75</v>
      </c>
      <c r="O9" s="67">
        <f t="shared" si="4"/>
        <v>-0.001169590643</v>
      </c>
      <c r="P9" s="67">
        <f t="shared" si="8"/>
        <v>0.5092225532</v>
      </c>
      <c r="Q9" s="68">
        <f t="shared" si="7"/>
        <v>33.85</v>
      </c>
      <c r="R9" s="69">
        <f t="shared" si="5"/>
        <v>0.00002314814815</v>
      </c>
      <c r="S9" s="70">
        <v>40.0</v>
      </c>
      <c r="T9" s="70">
        <v>12.3697392045</v>
      </c>
      <c r="U9" s="70">
        <v>-3.2499999999998153</v>
      </c>
      <c r="V9" s="70">
        <v>-55.619739204499815</v>
      </c>
      <c r="W9" s="71">
        <f t="shared" si="6"/>
        <v>52.3697392</v>
      </c>
      <c r="X9" s="72"/>
      <c r="Y9" s="72"/>
      <c r="Z9" s="72"/>
      <c r="AA9" s="72"/>
      <c r="AB9" s="72"/>
      <c r="AC9" s="72"/>
      <c r="AD9" s="72"/>
    </row>
    <row r="10">
      <c r="A10" s="8">
        <v>46027.0</v>
      </c>
      <c r="B10" s="60" t="s">
        <v>118</v>
      </c>
      <c r="C10" s="61" t="str">
        <f t="shared" si="1"/>
        <v>Mon 05 - Jan | 10:43 | Short | 4</v>
      </c>
      <c r="D10" s="62">
        <v>0.44653935185185184</v>
      </c>
      <c r="E10" s="62">
        <v>0.44863425925925926</v>
      </c>
      <c r="F10" s="73" t="s">
        <v>121</v>
      </c>
      <c r="G10" s="60" t="s">
        <v>111</v>
      </c>
      <c r="H10" s="64" t="s">
        <v>109</v>
      </c>
      <c r="I10" s="73">
        <v>4.0</v>
      </c>
      <c r="J10" s="73">
        <v>65.0</v>
      </c>
      <c r="K10" s="68">
        <v>60.75</v>
      </c>
      <c r="L10" s="66">
        <v>53.1</v>
      </c>
      <c r="M10" s="66">
        <f t="shared" si="2"/>
        <v>-7.65</v>
      </c>
      <c r="N10" s="66">
        <f t="shared" si="3"/>
        <v>3948.75</v>
      </c>
      <c r="O10" s="67">
        <f t="shared" si="4"/>
        <v>-0.1259259259</v>
      </c>
      <c r="P10" s="67">
        <f t="shared" si="8"/>
        <v>0.3832966273</v>
      </c>
      <c r="Q10" s="68">
        <f t="shared" si="7"/>
        <v>26.2</v>
      </c>
      <c r="R10" s="69">
        <f t="shared" si="5"/>
        <v>0.002094907407</v>
      </c>
      <c r="S10" s="70">
        <v>40.0</v>
      </c>
      <c r="T10" s="70">
        <v>13.8502086885</v>
      </c>
      <c r="U10" s="70">
        <v>-497.2499999999999</v>
      </c>
      <c r="V10" s="70">
        <v>-551.1002086884998</v>
      </c>
      <c r="W10" s="71">
        <f t="shared" si="6"/>
        <v>53.85020869</v>
      </c>
      <c r="X10" s="72"/>
      <c r="Y10" s="72"/>
      <c r="Z10" s="72"/>
      <c r="AA10" s="72"/>
      <c r="AB10" s="72"/>
      <c r="AC10" s="72"/>
      <c r="AD10" s="72"/>
    </row>
    <row r="11">
      <c r="A11" s="8">
        <v>46027.0</v>
      </c>
      <c r="B11" s="60" t="s">
        <v>118</v>
      </c>
      <c r="C11" s="61" t="str">
        <f t="shared" si="1"/>
        <v>Mon 05 - Jan | 11:00 | Short | 5</v>
      </c>
      <c r="D11" s="62">
        <v>0.45840277777777777</v>
      </c>
      <c r="E11" s="62">
        <v>0.46045138888888887</v>
      </c>
      <c r="F11" s="73" t="s">
        <v>121</v>
      </c>
      <c r="G11" s="60" t="s">
        <v>111</v>
      </c>
      <c r="H11" s="64" t="s">
        <v>109</v>
      </c>
      <c r="I11" s="73">
        <v>5.0</v>
      </c>
      <c r="J11" s="73">
        <v>65.0</v>
      </c>
      <c r="K11" s="68">
        <v>54.9</v>
      </c>
      <c r="L11" s="66">
        <v>48.55</v>
      </c>
      <c r="M11" s="66">
        <f t="shared" si="2"/>
        <v>-6.35</v>
      </c>
      <c r="N11" s="66">
        <f t="shared" si="3"/>
        <v>3568.5</v>
      </c>
      <c r="O11" s="67">
        <f t="shared" si="4"/>
        <v>-0.1156648452</v>
      </c>
      <c r="P11" s="67">
        <f t="shared" si="8"/>
        <v>0.2676317821</v>
      </c>
      <c r="Q11" s="68">
        <f t="shared" si="7"/>
        <v>19.85</v>
      </c>
      <c r="R11" s="69">
        <f t="shared" si="5"/>
        <v>0.002048611111</v>
      </c>
      <c r="S11" s="70">
        <v>40.0</v>
      </c>
      <c r="T11" s="70">
        <v>13.2615705345</v>
      </c>
      <c r="U11" s="70">
        <v>-412.7500000000001</v>
      </c>
      <c r="V11" s="70">
        <v>-466.0115705345001</v>
      </c>
      <c r="W11" s="71">
        <f t="shared" si="6"/>
        <v>53.26157053</v>
      </c>
      <c r="X11" s="72"/>
      <c r="Y11" s="72"/>
      <c r="Z11" s="72"/>
      <c r="AA11" s="72"/>
      <c r="AB11" s="72"/>
      <c r="AC11" s="72"/>
      <c r="AD11" s="72"/>
    </row>
    <row r="12">
      <c r="A12" s="8">
        <v>46028.0</v>
      </c>
      <c r="B12" s="60" t="s">
        <v>118</v>
      </c>
      <c r="C12" s="61" t="str">
        <f t="shared" si="1"/>
        <v>Tue 06 - Jan | 10:22 | Short | 1</v>
      </c>
      <c r="D12" s="62">
        <v>0.4322916666666667</v>
      </c>
      <c r="E12" s="62">
        <v>0.43930555555555556</v>
      </c>
      <c r="F12" s="73" t="s">
        <v>122</v>
      </c>
      <c r="G12" s="60" t="s">
        <v>111</v>
      </c>
      <c r="H12" s="64" t="s">
        <v>109</v>
      </c>
      <c r="I12" s="73">
        <v>1.0</v>
      </c>
      <c r="J12" s="73">
        <v>65.0</v>
      </c>
      <c r="K12" s="68">
        <v>108.45</v>
      </c>
      <c r="L12" s="66">
        <v>105.65</v>
      </c>
      <c r="M12" s="66">
        <f t="shared" si="2"/>
        <v>-2.8</v>
      </c>
      <c r="N12" s="66">
        <f t="shared" si="3"/>
        <v>7049.25</v>
      </c>
      <c r="O12" s="67">
        <f t="shared" si="4"/>
        <v>-0.02581834947</v>
      </c>
      <c r="P12" s="67">
        <f t="shared" si="8"/>
        <v>0.2418134327</v>
      </c>
      <c r="Q12" s="68">
        <f t="shared" si="7"/>
        <v>17.05</v>
      </c>
      <c r="R12" s="69">
        <f t="shared" si="5"/>
        <v>0.007013888889</v>
      </c>
      <c r="S12" s="70">
        <v>40.0</v>
      </c>
      <c r="T12" s="70">
        <v>20.069234391000002</v>
      </c>
      <c r="U12" s="70">
        <v>-181.99999999999983</v>
      </c>
      <c r="V12" s="70">
        <v>-242.06923439099984</v>
      </c>
      <c r="W12" s="71">
        <f t="shared" si="6"/>
        <v>60.06923439</v>
      </c>
      <c r="X12" s="72"/>
      <c r="Y12" s="72"/>
      <c r="Z12" s="72"/>
      <c r="AA12" s="72"/>
      <c r="AB12" s="72"/>
      <c r="AC12" s="72"/>
      <c r="AD12" s="72"/>
    </row>
    <row r="13">
      <c r="A13" s="8">
        <v>46028.0</v>
      </c>
      <c r="B13" s="60" t="s">
        <v>118</v>
      </c>
      <c r="C13" s="61" t="str">
        <f t="shared" si="1"/>
        <v>Tue 06 - Jan | 10:25 | Short | 2</v>
      </c>
      <c r="D13" s="62">
        <v>0.4340625</v>
      </c>
      <c r="E13" s="62">
        <v>0.43930555555555556</v>
      </c>
      <c r="F13" s="73" t="s">
        <v>122</v>
      </c>
      <c r="G13" s="60" t="s">
        <v>111</v>
      </c>
      <c r="H13" s="64" t="s">
        <v>109</v>
      </c>
      <c r="I13" s="73">
        <v>2.0</v>
      </c>
      <c r="J13" s="73">
        <v>130.0</v>
      </c>
      <c r="K13" s="68">
        <v>112.85</v>
      </c>
      <c r="L13" s="66">
        <v>105.65</v>
      </c>
      <c r="M13" s="66">
        <f t="shared" si="2"/>
        <v>-7.2</v>
      </c>
      <c r="N13" s="66">
        <f t="shared" si="3"/>
        <v>14670.5</v>
      </c>
      <c r="O13" s="67">
        <f t="shared" si="4"/>
        <v>-0.06380150642</v>
      </c>
      <c r="P13" s="67">
        <f t="shared" si="8"/>
        <v>0.1780119262</v>
      </c>
      <c r="Q13" s="68">
        <f t="shared" si="7"/>
        <v>9.85</v>
      </c>
      <c r="R13" s="69">
        <f t="shared" si="5"/>
        <v>0.005243055556</v>
      </c>
      <c r="S13" s="70">
        <v>40.0</v>
      </c>
      <c r="T13" s="70">
        <v>33.195156069999996</v>
      </c>
      <c r="U13" s="70">
        <v>-935.9999999999985</v>
      </c>
      <c r="V13" s="70">
        <v>-1009.1951560699986</v>
      </c>
      <c r="W13" s="71">
        <f t="shared" si="6"/>
        <v>73.19515607</v>
      </c>
      <c r="X13" s="72"/>
      <c r="Y13" s="72"/>
      <c r="Z13" s="72"/>
      <c r="AA13" s="72"/>
      <c r="AB13" s="72"/>
      <c r="AC13" s="72"/>
      <c r="AD13" s="72"/>
    </row>
    <row r="14">
      <c r="A14" s="8">
        <v>46028.0</v>
      </c>
      <c r="B14" s="60" t="s">
        <v>118</v>
      </c>
      <c r="C14" s="61" t="str">
        <f t="shared" si="1"/>
        <v>Tue 06 - Jan | 10:36 | Short | 3</v>
      </c>
      <c r="D14" s="62">
        <v>0.44200231481481483</v>
      </c>
      <c r="E14" s="62">
        <v>0.44592592592592595</v>
      </c>
      <c r="F14" s="73" t="s">
        <v>122</v>
      </c>
      <c r="G14" s="60" t="s">
        <v>111</v>
      </c>
      <c r="H14" s="64" t="s">
        <v>109</v>
      </c>
      <c r="I14" s="73">
        <v>3.0</v>
      </c>
      <c r="J14" s="73">
        <v>65.0</v>
      </c>
      <c r="K14" s="68">
        <v>113.05</v>
      </c>
      <c r="L14" s="66">
        <v>114.95</v>
      </c>
      <c r="M14" s="66">
        <f t="shared" si="2"/>
        <v>1.9</v>
      </c>
      <c r="N14" s="66">
        <f t="shared" si="3"/>
        <v>7348.25</v>
      </c>
      <c r="O14" s="67">
        <f t="shared" si="4"/>
        <v>0.01680672269</v>
      </c>
      <c r="P14" s="67">
        <f t="shared" si="8"/>
        <v>0.1948186489</v>
      </c>
      <c r="Q14" s="68">
        <f t="shared" si="7"/>
        <v>11.75</v>
      </c>
      <c r="R14" s="69">
        <f t="shared" si="5"/>
        <v>0.003923611111</v>
      </c>
      <c r="S14" s="70">
        <v>40.0</v>
      </c>
      <c r="T14" s="70">
        <v>21.057784329999997</v>
      </c>
      <c r="U14" s="70">
        <v>123.50000000000037</v>
      </c>
      <c r="V14" s="70">
        <v>62.44221567000037</v>
      </c>
      <c r="W14" s="71">
        <f t="shared" si="6"/>
        <v>61.05778433</v>
      </c>
      <c r="X14" s="72"/>
      <c r="Y14" s="72"/>
      <c r="Z14" s="72"/>
      <c r="AA14" s="72"/>
      <c r="AB14" s="72"/>
      <c r="AC14" s="72"/>
      <c r="AD14" s="72"/>
    </row>
    <row r="15">
      <c r="A15" s="8">
        <v>46028.0</v>
      </c>
      <c r="B15" s="60" t="s">
        <v>118</v>
      </c>
      <c r="C15" s="61" t="str">
        <f t="shared" si="1"/>
        <v>Tue 06 - Jan | 10:55 | Long | 4</v>
      </c>
      <c r="D15" s="62">
        <v>0.45488425925925924</v>
      </c>
      <c r="E15" s="62">
        <v>0.45818287037037037</v>
      </c>
      <c r="F15" s="73" t="s">
        <v>123</v>
      </c>
      <c r="G15" s="60" t="s">
        <v>114</v>
      </c>
      <c r="H15" s="64" t="s">
        <v>109</v>
      </c>
      <c r="I15" s="73">
        <v>4.0</v>
      </c>
      <c r="J15" s="73">
        <v>130.0</v>
      </c>
      <c r="K15" s="68">
        <v>127.5</v>
      </c>
      <c r="L15" s="66">
        <v>119.65</v>
      </c>
      <c r="M15" s="66">
        <f t="shared" si="2"/>
        <v>-7.85</v>
      </c>
      <c r="N15" s="66">
        <f t="shared" si="3"/>
        <v>16575</v>
      </c>
      <c r="O15" s="67">
        <f t="shared" si="4"/>
        <v>-0.06156862745</v>
      </c>
      <c r="P15" s="67">
        <f t="shared" si="8"/>
        <v>0.1332500215</v>
      </c>
      <c r="Q15" s="68">
        <f t="shared" si="7"/>
        <v>3.9</v>
      </c>
      <c r="R15" s="69">
        <f t="shared" si="5"/>
        <v>0.003298611111</v>
      </c>
      <c r="S15" s="70">
        <v>40.0</v>
      </c>
      <c r="T15" s="70">
        <v>36.622112343</v>
      </c>
      <c r="U15" s="70">
        <v>-1020.4999999999993</v>
      </c>
      <c r="V15" s="70">
        <v>-1097.1221123429993</v>
      </c>
      <c r="W15" s="71">
        <f t="shared" si="6"/>
        <v>76.62211234</v>
      </c>
      <c r="X15" s="72"/>
      <c r="Y15" s="72"/>
      <c r="Z15" s="72"/>
      <c r="AA15" s="72"/>
      <c r="AB15" s="72"/>
      <c r="AC15" s="72"/>
      <c r="AD15" s="72"/>
    </row>
    <row r="16">
      <c r="A16" s="8">
        <v>46029.0</v>
      </c>
      <c r="B16" s="60" t="s">
        <v>118</v>
      </c>
      <c r="C16" s="61" t="str">
        <f t="shared" si="1"/>
        <v>Wed 07 - Jan | 10:04 | Short | 1</v>
      </c>
      <c r="D16" s="62">
        <v>0.42010416666666667</v>
      </c>
      <c r="E16" s="62">
        <v>0.4272337962962963</v>
      </c>
      <c r="F16" s="73" t="s">
        <v>124</v>
      </c>
      <c r="G16" s="60" t="s">
        <v>111</v>
      </c>
      <c r="H16" s="60" t="s">
        <v>125</v>
      </c>
      <c r="I16" s="73">
        <v>1.0</v>
      </c>
      <c r="J16" s="73">
        <v>130.0</v>
      </c>
      <c r="K16" s="68">
        <v>93.45</v>
      </c>
      <c r="L16" s="66">
        <v>77.7</v>
      </c>
      <c r="M16" s="66">
        <f t="shared" si="2"/>
        <v>-15.75</v>
      </c>
      <c r="N16" s="66">
        <f t="shared" si="3"/>
        <v>12148.5</v>
      </c>
      <c r="O16" s="67">
        <f t="shared" si="4"/>
        <v>-0.1685393258</v>
      </c>
      <c r="P16" s="67">
        <f t="shared" si="8"/>
        <v>-0.03528930436</v>
      </c>
      <c r="Q16" s="68">
        <f t="shared" si="7"/>
        <v>-11.85</v>
      </c>
      <c r="R16" s="69">
        <f t="shared" si="5"/>
        <v>0.00712962963</v>
      </c>
      <c r="S16" s="70">
        <v>40.0</v>
      </c>
      <c r="T16" s="70">
        <v>26.927976723</v>
      </c>
      <c r="U16" s="70">
        <v>-2047.5</v>
      </c>
      <c r="V16" s="70">
        <v>-2114.427976723</v>
      </c>
      <c r="W16" s="71">
        <f t="shared" si="6"/>
        <v>66.92797672</v>
      </c>
      <c r="X16" s="72"/>
      <c r="Y16" s="72"/>
      <c r="Z16" s="72"/>
      <c r="AA16" s="72"/>
      <c r="AB16" s="72"/>
      <c r="AC16" s="72"/>
      <c r="AD16" s="72"/>
    </row>
    <row r="17">
      <c r="A17" s="8">
        <v>46029.0</v>
      </c>
      <c r="B17" s="60" t="s">
        <v>118</v>
      </c>
      <c r="C17" s="61" t="str">
        <f t="shared" si="1"/>
        <v>Wed 07 - Jan | 10:39 | Short | 2</v>
      </c>
      <c r="D17" s="62">
        <v>0.4437847222222222</v>
      </c>
      <c r="E17" s="62">
        <v>0.45210648148148147</v>
      </c>
      <c r="F17" s="73" t="s">
        <v>124</v>
      </c>
      <c r="G17" s="60" t="s">
        <v>111</v>
      </c>
      <c r="H17" s="76" t="s">
        <v>117</v>
      </c>
      <c r="I17" s="73">
        <v>2.0</v>
      </c>
      <c r="J17" s="73">
        <v>130.0</v>
      </c>
      <c r="K17" s="68">
        <v>96.2</v>
      </c>
      <c r="L17" s="66">
        <v>88.75</v>
      </c>
      <c r="M17" s="66">
        <f t="shared" si="2"/>
        <v>-7.45</v>
      </c>
      <c r="N17" s="66">
        <f t="shared" si="3"/>
        <v>12506</v>
      </c>
      <c r="O17" s="67">
        <f t="shared" si="4"/>
        <v>-0.07744282744</v>
      </c>
      <c r="P17" s="67">
        <f t="shared" si="8"/>
        <v>-0.1127321318</v>
      </c>
      <c r="Q17" s="68">
        <f t="shared" si="7"/>
        <v>-19.3</v>
      </c>
      <c r="R17" s="69">
        <f t="shared" si="5"/>
        <v>0.008321759259</v>
      </c>
      <c r="S17" s="70">
        <v>40.0</v>
      </c>
      <c r="T17" s="70">
        <v>29.118689298999996</v>
      </c>
      <c r="U17" s="70">
        <v>-968.5000000000003</v>
      </c>
      <c r="V17" s="70">
        <v>-1037.6186892990004</v>
      </c>
      <c r="W17" s="71">
        <f t="shared" si="6"/>
        <v>69.1186893</v>
      </c>
      <c r="X17" s="72"/>
      <c r="Y17" s="72"/>
      <c r="Z17" s="72"/>
      <c r="AA17" s="72"/>
      <c r="AB17" s="72"/>
      <c r="AC17" s="72"/>
      <c r="AD17" s="72"/>
    </row>
    <row r="18">
      <c r="A18" s="8">
        <v>46030.0</v>
      </c>
      <c r="B18" s="60" t="s">
        <v>118</v>
      </c>
      <c r="C18" s="61" t="str">
        <f t="shared" si="1"/>
        <v>Thu 08 - Jan | 11:05 | Long | 1</v>
      </c>
      <c r="D18" s="62">
        <v>0.4618287037037037</v>
      </c>
      <c r="E18" s="62">
        <v>0.46194444444444444</v>
      </c>
      <c r="F18" s="73" t="s">
        <v>126</v>
      </c>
      <c r="G18" s="60" t="s">
        <v>114</v>
      </c>
      <c r="H18" s="64" t="s">
        <v>127</v>
      </c>
      <c r="I18" s="73">
        <v>1.0</v>
      </c>
      <c r="J18" s="73">
        <v>130.0</v>
      </c>
      <c r="K18" s="68">
        <v>36.95</v>
      </c>
      <c r="L18" s="66">
        <v>36.55</v>
      </c>
      <c r="M18" s="66">
        <f t="shared" si="2"/>
        <v>-0.4</v>
      </c>
      <c r="N18" s="66">
        <f t="shared" si="3"/>
        <v>4803.5</v>
      </c>
      <c r="O18" s="67">
        <f t="shared" si="4"/>
        <v>-0.01082543978</v>
      </c>
      <c r="P18" s="67">
        <f t="shared" si="8"/>
        <v>-0.1235575716</v>
      </c>
      <c r="Q18" s="68">
        <f t="shared" si="7"/>
        <v>-19.7</v>
      </c>
      <c r="R18" s="69">
        <f t="shared" si="5"/>
        <v>0.0001157407407</v>
      </c>
      <c r="S18" s="70">
        <v>40.0</v>
      </c>
      <c r="T18" s="70">
        <v>16.07114137</v>
      </c>
      <c r="U18" s="70">
        <v>-52.00000000000074</v>
      </c>
      <c r="V18" s="70">
        <v>-108.07114137000073</v>
      </c>
      <c r="W18" s="71">
        <f t="shared" si="6"/>
        <v>56.07114137</v>
      </c>
      <c r="X18" s="72"/>
      <c r="Y18" s="72"/>
      <c r="Z18" s="72"/>
      <c r="AA18" s="72"/>
      <c r="AB18" s="72"/>
      <c r="AC18" s="72"/>
      <c r="AD18" s="72"/>
    </row>
    <row r="19">
      <c r="A19" s="8">
        <v>46030.0</v>
      </c>
      <c r="B19" s="60" t="s">
        <v>118</v>
      </c>
      <c r="C19" s="61" t="str">
        <f t="shared" si="1"/>
        <v>Thu 08 - Jan | 11:56 | Short | 2</v>
      </c>
      <c r="D19" s="62">
        <v>0.49724537037037037</v>
      </c>
      <c r="E19" s="62">
        <v>0.5028935185185185</v>
      </c>
      <c r="F19" s="73" t="s">
        <v>128</v>
      </c>
      <c r="G19" s="60" t="s">
        <v>111</v>
      </c>
      <c r="H19" s="75" t="s">
        <v>115</v>
      </c>
      <c r="I19" s="73">
        <v>2.0</v>
      </c>
      <c r="J19" s="73">
        <v>130.0</v>
      </c>
      <c r="K19" s="68">
        <v>321.5</v>
      </c>
      <c r="L19" s="66">
        <v>361.25</v>
      </c>
      <c r="M19" s="66">
        <f t="shared" si="2"/>
        <v>39.75</v>
      </c>
      <c r="N19" s="66">
        <f t="shared" si="3"/>
        <v>41795</v>
      </c>
      <c r="O19" s="67">
        <f t="shared" si="4"/>
        <v>0.1236391913</v>
      </c>
      <c r="P19" s="67">
        <f t="shared" si="8"/>
        <v>0.00008161970642</v>
      </c>
      <c r="Q19" s="68">
        <f t="shared" si="7"/>
        <v>20.05</v>
      </c>
      <c r="R19" s="69">
        <f t="shared" si="5"/>
        <v>0.005648148148</v>
      </c>
      <c r="S19" s="70">
        <v>40.0</v>
      </c>
      <c r="T19" s="70">
        <v>92.33031065499999</v>
      </c>
      <c r="U19" s="70">
        <v>5167.5</v>
      </c>
      <c r="V19" s="70">
        <v>5035.169689345</v>
      </c>
      <c r="W19" s="71">
        <f t="shared" si="6"/>
        <v>132.3303107</v>
      </c>
      <c r="X19" s="72"/>
      <c r="Y19" s="72"/>
      <c r="Z19" s="72"/>
      <c r="AA19" s="72"/>
      <c r="AB19" s="72"/>
      <c r="AC19" s="72"/>
      <c r="AD19" s="72"/>
    </row>
    <row r="20">
      <c r="A20" s="8">
        <v>46031.0</v>
      </c>
      <c r="B20" s="60" t="s">
        <v>118</v>
      </c>
      <c r="C20" s="61" t="str">
        <f t="shared" si="1"/>
        <v>Fri 09 - Jan | 10:18 | Short | 1</v>
      </c>
      <c r="D20" s="62">
        <v>0.42961805555555554</v>
      </c>
      <c r="E20" s="62">
        <v>0.4331365740740741</v>
      </c>
      <c r="F20" s="73" t="s">
        <v>129</v>
      </c>
      <c r="G20" s="60" t="s">
        <v>111</v>
      </c>
      <c r="H20" s="60" t="s">
        <v>125</v>
      </c>
      <c r="I20" s="73">
        <v>1.0</v>
      </c>
      <c r="J20" s="73">
        <v>130.0</v>
      </c>
      <c r="K20" s="68">
        <v>73.95</v>
      </c>
      <c r="L20" s="66">
        <v>63.9</v>
      </c>
      <c r="M20" s="66">
        <f t="shared" si="2"/>
        <v>-10.05</v>
      </c>
      <c r="N20" s="66">
        <f t="shared" si="3"/>
        <v>9613.5</v>
      </c>
      <c r="O20" s="67">
        <f t="shared" si="4"/>
        <v>-0.1359026369</v>
      </c>
      <c r="P20" s="67">
        <f t="shared" si="8"/>
        <v>-0.1358210172</v>
      </c>
      <c r="Q20" s="68">
        <f t="shared" si="7"/>
        <v>10</v>
      </c>
      <c r="R20" s="69">
        <f t="shared" si="5"/>
        <v>0.003518518519</v>
      </c>
      <c r="S20" s="70">
        <v>40.0</v>
      </c>
      <c r="T20" s="70">
        <v>23.254828257</v>
      </c>
      <c r="U20" s="70">
        <v>-1306.5000000000005</v>
      </c>
      <c r="V20" s="70">
        <v>-1369.7548282570006</v>
      </c>
      <c r="W20" s="71">
        <f t="shared" si="6"/>
        <v>63.25482826</v>
      </c>
      <c r="X20" s="72"/>
      <c r="Y20" s="72"/>
      <c r="Z20" s="72"/>
      <c r="AA20" s="72"/>
      <c r="AB20" s="72"/>
      <c r="AC20" s="72"/>
      <c r="AD20" s="72"/>
    </row>
    <row r="21">
      <c r="A21" s="8">
        <v>46031.0</v>
      </c>
      <c r="B21" s="60" t="s">
        <v>118</v>
      </c>
      <c r="C21" s="61" t="str">
        <f t="shared" si="1"/>
        <v>Fri 09 - Jan | 10:27 | Long | 2</v>
      </c>
      <c r="D21" s="62">
        <v>0.4354398148148148</v>
      </c>
      <c r="E21" s="62">
        <v>0.44168981481481484</v>
      </c>
      <c r="F21" s="73" t="s">
        <v>130</v>
      </c>
      <c r="G21" s="60" t="s">
        <v>114</v>
      </c>
      <c r="H21" s="75" t="s">
        <v>115</v>
      </c>
      <c r="I21" s="73">
        <v>2.0</v>
      </c>
      <c r="J21" s="73">
        <v>130.0</v>
      </c>
      <c r="K21" s="68">
        <v>97.75</v>
      </c>
      <c r="L21" s="66">
        <v>89.2</v>
      </c>
      <c r="M21" s="66">
        <f t="shared" si="2"/>
        <v>-8.55</v>
      </c>
      <c r="N21" s="66">
        <f t="shared" si="3"/>
        <v>12707.5</v>
      </c>
      <c r="O21" s="67">
        <f t="shared" si="4"/>
        <v>-0.08746803069</v>
      </c>
      <c r="P21" s="67">
        <f t="shared" si="8"/>
        <v>-0.2232890479</v>
      </c>
      <c r="Q21" s="68">
        <f t="shared" si="7"/>
        <v>1.45</v>
      </c>
      <c r="R21" s="69">
        <f t="shared" si="5"/>
        <v>0.00625</v>
      </c>
      <c r="S21" s="70">
        <v>40.0</v>
      </c>
      <c r="T21" s="70">
        <v>29.291794439</v>
      </c>
      <c r="U21" s="70">
        <v>-1111.4999999999995</v>
      </c>
      <c r="V21" s="70">
        <v>-1180.7917944389997</v>
      </c>
      <c r="W21" s="71">
        <f t="shared" si="6"/>
        <v>69.29179444</v>
      </c>
      <c r="X21" s="72"/>
      <c r="Y21" s="72"/>
      <c r="Z21" s="72"/>
      <c r="AA21" s="72"/>
      <c r="AB21" s="72"/>
      <c r="AC21" s="72"/>
      <c r="AD21" s="72"/>
    </row>
    <row r="22">
      <c r="A22" s="8">
        <v>46031.0</v>
      </c>
      <c r="B22" s="60" t="s">
        <v>118</v>
      </c>
      <c r="C22" s="61" t="str">
        <f t="shared" si="1"/>
        <v>Fri 09 - Jan | 10:37 | Short | 3</v>
      </c>
      <c r="D22" s="62">
        <v>0.44253472222222223</v>
      </c>
      <c r="E22" s="62">
        <v>0.48538194444444444</v>
      </c>
      <c r="F22" s="73" t="s">
        <v>129</v>
      </c>
      <c r="G22" s="60" t="s">
        <v>111</v>
      </c>
      <c r="H22" s="60" t="s">
        <v>125</v>
      </c>
      <c r="I22" s="73">
        <v>3.0</v>
      </c>
      <c r="J22" s="73">
        <v>65.0</v>
      </c>
      <c r="K22" s="68">
        <v>75.4</v>
      </c>
      <c r="L22" s="66">
        <v>115.8</v>
      </c>
      <c r="M22" s="66">
        <f t="shared" si="2"/>
        <v>40.4</v>
      </c>
      <c r="N22" s="66">
        <f t="shared" si="3"/>
        <v>4901</v>
      </c>
      <c r="O22" s="67">
        <f t="shared" si="4"/>
        <v>0.5358090186</v>
      </c>
      <c r="P22" s="67">
        <f t="shared" si="8"/>
        <v>0.3125199707</v>
      </c>
      <c r="Q22" s="68">
        <f t="shared" si="7"/>
        <v>41.85</v>
      </c>
      <c r="R22" s="69">
        <f t="shared" si="5"/>
        <v>0.04284722222</v>
      </c>
      <c r="S22" s="70">
        <v>40.0</v>
      </c>
      <c r="T22" s="70">
        <v>20.037658912</v>
      </c>
      <c r="U22" s="70">
        <v>2625.9999999999995</v>
      </c>
      <c r="V22" s="70">
        <v>2565.9623410879994</v>
      </c>
      <c r="W22" s="71">
        <f t="shared" si="6"/>
        <v>60.03765891</v>
      </c>
      <c r="X22" s="72"/>
      <c r="Y22" s="72"/>
      <c r="Z22" s="72"/>
      <c r="AA22" s="72"/>
      <c r="AB22" s="72"/>
      <c r="AC22" s="72"/>
      <c r="AD22" s="72"/>
    </row>
    <row r="23">
      <c r="A23" s="8">
        <v>46034.0</v>
      </c>
      <c r="B23" s="60" t="s">
        <v>131</v>
      </c>
      <c r="C23" s="61" t="str">
        <f t="shared" si="1"/>
        <v>Mon 12 - Jan | 10:15 | Short | 1</v>
      </c>
      <c r="D23" s="62">
        <v>0.42712962962962964</v>
      </c>
      <c r="E23" s="62">
        <v>0.43127314814814816</v>
      </c>
      <c r="F23" s="73" t="s">
        <v>132</v>
      </c>
      <c r="G23" s="60" t="s">
        <v>111</v>
      </c>
      <c r="H23" s="75" t="s">
        <v>115</v>
      </c>
      <c r="I23" s="73">
        <v>1.0</v>
      </c>
      <c r="J23" s="73">
        <v>130.0</v>
      </c>
      <c r="K23" s="68">
        <v>119.2</v>
      </c>
      <c r="L23" s="66">
        <v>108.0</v>
      </c>
      <c r="M23" s="66">
        <f t="shared" si="2"/>
        <v>-11.2</v>
      </c>
      <c r="N23" s="66">
        <f t="shared" si="3"/>
        <v>15496</v>
      </c>
      <c r="O23" s="67">
        <f t="shared" si="4"/>
        <v>-0.09395973154</v>
      </c>
      <c r="P23" s="67">
        <f t="shared" si="8"/>
        <v>0.2185602391</v>
      </c>
      <c r="Q23" s="68">
        <f t="shared" si="7"/>
        <v>30.65</v>
      </c>
      <c r="R23" s="69">
        <f t="shared" si="5"/>
        <v>0.004143518519</v>
      </c>
      <c r="S23" s="70">
        <v>40.0</v>
      </c>
      <c r="T23" s="70">
        <v>33.997382144</v>
      </c>
      <c r="U23" s="70">
        <v>-1456.0000000000005</v>
      </c>
      <c r="V23" s="70">
        <v>-1529.9973821440005</v>
      </c>
      <c r="W23" s="71">
        <f t="shared" si="6"/>
        <v>73.99738214</v>
      </c>
      <c r="X23" s="72"/>
      <c r="Y23" s="72"/>
      <c r="Z23" s="72"/>
      <c r="AA23" s="72"/>
      <c r="AB23" s="72"/>
      <c r="AC23" s="72"/>
      <c r="AD23" s="72"/>
    </row>
    <row r="24">
      <c r="A24" s="8">
        <v>46034.0</v>
      </c>
      <c r="B24" s="60" t="s">
        <v>131</v>
      </c>
      <c r="C24" s="61" t="str">
        <f t="shared" si="1"/>
        <v>Mon 12 - Jan | 11:15 | Short | 2</v>
      </c>
      <c r="D24" s="62">
        <v>0.4687962962962963</v>
      </c>
      <c r="E24" s="62">
        <v>0.502662037037037</v>
      </c>
      <c r="F24" s="73" t="s">
        <v>133</v>
      </c>
      <c r="G24" s="60" t="s">
        <v>111</v>
      </c>
      <c r="H24" s="75" t="s">
        <v>115</v>
      </c>
      <c r="I24" s="73">
        <v>2.0</v>
      </c>
      <c r="J24" s="73">
        <v>130.0</v>
      </c>
      <c r="K24" s="68">
        <v>100.5</v>
      </c>
      <c r="L24" s="66">
        <v>128.0</v>
      </c>
      <c r="M24" s="66">
        <f t="shared" si="2"/>
        <v>27.5</v>
      </c>
      <c r="N24" s="66">
        <f t="shared" si="3"/>
        <v>13065</v>
      </c>
      <c r="O24" s="67">
        <f t="shared" si="4"/>
        <v>0.2736318408</v>
      </c>
      <c r="P24" s="67">
        <f t="shared" si="8"/>
        <v>0.4921920799</v>
      </c>
      <c r="Q24" s="68">
        <f t="shared" si="7"/>
        <v>58.15</v>
      </c>
      <c r="R24" s="69">
        <f t="shared" si="5"/>
        <v>0.03386574074</v>
      </c>
      <c r="S24" s="70">
        <v>40.0</v>
      </c>
      <c r="T24" s="70">
        <v>36.581181570000005</v>
      </c>
      <c r="U24" s="70">
        <v>3575.0</v>
      </c>
      <c r="V24" s="70">
        <v>3498.41881843</v>
      </c>
      <c r="W24" s="71">
        <f t="shared" si="6"/>
        <v>76.58118157</v>
      </c>
      <c r="X24" s="72"/>
      <c r="Y24" s="72"/>
      <c r="Z24" s="72"/>
      <c r="AA24" s="72"/>
      <c r="AB24" s="72"/>
      <c r="AC24" s="72"/>
      <c r="AD24" s="72"/>
    </row>
    <row r="25">
      <c r="A25" s="8">
        <v>46035.0</v>
      </c>
      <c r="B25" s="60" t="s">
        <v>131</v>
      </c>
      <c r="C25" s="61" t="str">
        <f t="shared" si="1"/>
        <v>Tue 13 - Jan | 09:36 | Short | 1</v>
      </c>
      <c r="D25" s="62">
        <v>0.40003472222222225</v>
      </c>
      <c r="E25" s="62">
        <v>0.40012731481481484</v>
      </c>
      <c r="F25" s="73" t="s">
        <v>134</v>
      </c>
      <c r="G25" s="60" t="s">
        <v>111</v>
      </c>
      <c r="H25" s="76" t="s">
        <v>117</v>
      </c>
      <c r="I25" s="64">
        <v>1.0</v>
      </c>
      <c r="J25" s="73">
        <v>130.0</v>
      </c>
      <c r="K25" s="68">
        <v>208.63</v>
      </c>
      <c r="L25" s="66">
        <v>209.85</v>
      </c>
      <c r="M25" s="66">
        <f t="shared" si="2"/>
        <v>1.22</v>
      </c>
      <c r="N25" s="66">
        <f t="shared" si="3"/>
        <v>27121.9</v>
      </c>
      <c r="O25" s="67">
        <f t="shared" si="4"/>
        <v>0.005847672914</v>
      </c>
      <c r="P25" s="67">
        <f t="shared" si="8"/>
        <v>0.4980397528</v>
      </c>
      <c r="Q25" s="68">
        <f t="shared" si="7"/>
        <v>59.37</v>
      </c>
      <c r="R25" s="69">
        <f t="shared" si="5"/>
        <v>0.00009259259259</v>
      </c>
      <c r="S25" s="70">
        <v>40.0</v>
      </c>
      <c r="T25" s="70">
        <v>57.9280649096</v>
      </c>
      <c r="U25" s="70">
        <v>158.59999999999985</v>
      </c>
      <c r="V25" s="70">
        <v>60.67193509039984</v>
      </c>
      <c r="W25" s="71">
        <f t="shared" si="6"/>
        <v>97.92806491</v>
      </c>
      <c r="X25" s="72"/>
      <c r="Y25" s="72"/>
      <c r="Z25" s="72"/>
      <c r="AA25" s="72"/>
      <c r="AB25" s="72"/>
      <c r="AC25" s="72"/>
      <c r="AD25" s="72"/>
    </row>
    <row r="26">
      <c r="A26" s="8">
        <v>46035.0</v>
      </c>
      <c r="B26" s="60" t="s">
        <v>131</v>
      </c>
      <c r="C26" s="61" t="str">
        <f t="shared" si="1"/>
        <v>Tue 13 - Jan | 09:57 | Short | 2</v>
      </c>
      <c r="D26" s="62">
        <v>0.4146064814814815</v>
      </c>
      <c r="E26" s="62">
        <v>0.4229398148148148</v>
      </c>
      <c r="F26" s="73" t="s">
        <v>135</v>
      </c>
      <c r="G26" s="60" t="s">
        <v>111</v>
      </c>
      <c r="H26" s="75" t="s">
        <v>115</v>
      </c>
      <c r="I26" s="64">
        <v>2.0</v>
      </c>
      <c r="J26" s="73">
        <v>130.0</v>
      </c>
      <c r="K26" s="68">
        <v>164.58</v>
      </c>
      <c r="L26" s="66">
        <v>142.85</v>
      </c>
      <c r="M26" s="66">
        <f t="shared" si="2"/>
        <v>-21.73</v>
      </c>
      <c r="N26" s="66">
        <f t="shared" si="3"/>
        <v>21395.4</v>
      </c>
      <c r="O26" s="67">
        <f t="shared" si="4"/>
        <v>-0.1320330538</v>
      </c>
      <c r="P26" s="67">
        <f t="shared" si="8"/>
        <v>0.366006699</v>
      </c>
      <c r="Q26" s="68">
        <f t="shared" si="7"/>
        <v>37.64</v>
      </c>
      <c r="R26" s="69">
        <f t="shared" si="5"/>
        <v>0.008333333333</v>
      </c>
      <c r="S26" s="70">
        <v>40.0</v>
      </c>
      <c r="T26" s="70">
        <v>43.047961788600006</v>
      </c>
      <c r="U26" s="70">
        <v>-2824.9000000000024</v>
      </c>
      <c r="V26" s="70">
        <v>-2907.9479617886022</v>
      </c>
      <c r="W26" s="71">
        <f t="shared" si="6"/>
        <v>83.04796179</v>
      </c>
      <c r="X26" s="72"/>
      <c r="Y26" s="72"/>
      <c r="Z26" s="72"/>
      <c r="AA26" s="72"/>
      <c r="AB26" s="72"/>
      <c r="AC26" s="72"/>
      <c r="AD26" s="72"/>
    </row>
    <row r="27">
      <c r="A27" s="8">
        <v>46035.0</v>
      </c>
      <c r="B27" s="60" t="s">
        <v>131</v>
      </c>
      <c r="C27" s="61" t="str">
        <f t="shared" si="1"/>
        <v>Tue 13 - Jan | 11:29 | Long | 3</v>
      </c>
      <c r="D27" s="62">
        <v>0.47850694444444447</v>
      </c>
      <c r="E27" s="62">
        <v>0.4923958333333333</v>
      </c>
      <c r="F27" s="73" t="s">
        <v>136</v>
      </c>
      <c r="G27" s="60" t="s">
        <v>114</v>
      </c>
      <c r="H27" s="75" t="s">
        <v>115</v>
      </c>
      <c r="I27" s="64">
        <v>3.0</v>
      </c>
      <c r="J27" s="73">
        <v>130.0</v>
      </c>
      <c r="K27" s="68">
        <v>198.6</v>
      </c>
      <c r="L27" s="66">
        <v>185.75</v>
      </c>
      <c r="M27" s="66">
        <f t="shared" si="2"/>
        <v>-12.85</v>
      </c>
      <c r="N27" s="66">
        <f t="shared" si="3"/>
        <v>25818</v>
      </c>
      <c r="O27" s="67">
        <f t="shared" si="4"/>
        <v>-0.06470292044</v>
      </c>
      <c r="P27" s="67">
        <f t="shared" si="8"/>
        <v>0.3013037786</v>
      </c>
      <c r="Q27" s="68">
        <f t="shared" si="7"/>
        <v>24.79</v>
      </c>
      <c r="R27" s="69">
        <f t="shared" si="5"/>
        <v>0.01388888889</v>
      </c>
      <c r="S27" s="70">
        <v>40.0</v>
      </c>
      <c r="T27" s="70">
        <v>52.91489648700001</v>
      </c>
      <c r="U27" s="70">
        <v>-1670.4999999999993</v>
      </c>
      <c r="V27" s="70">
        <v>-1763.4148964869994</v>
      </c>
      <c r="W27" s="71">
        <f t="shared" si="6"/>
        <v>92.91489649</v>
      </c>
      <c r="X27" s="72"/>
      <c r="Y27" s="72"/>
      <c r="Z27" s="72"/>
      <c r="AA27" s="72"/>
      <c r="AB27" s="72"/>
      <c r="AC27" s="72"/>
      <c r="AD27" s="72"/>
    </row>
    <row r="28">
      <c r="A28" s="8">
        <v>46035.0</v>
      </c>
      <c r="B28" s="60" t="s">
        <v>131</v>
      </c>
      <c r="C28" s="61" t="str">
        <f t="shared" si="1"/>
        <v>Tue 13 - Jan | 12:35 | Short | 4</v>
      </c>
      <c r="D28" s="62">
        <v>0.5243402777777778</v>
      </c>
      <c r="E28" s="62">
        <v>0.5432870370370371</v>
      </c>
      <c r="F28" s="73" t="s">
        <v>135</v>
      </c>
      <c r="G28" s="60" t="s">
        <v>111</v>
      </c>
      <c r="H28" s="75" t="s">
        <v>115</v>
      </c>
      <c r="I28" s="64">
        <v>4.0</v>
      </c>
      <c r="J28" s="73">
        <v>130.0</v>
      </c>
      <c r="K28" s="68">
        <v>156.5</v>
      </c>
      <c r="L28" s="66">
        <v>204.15</v>
      </c>
      <c r="M28" s="66">
        <f t="shared" si="2"/>
        <v>47.65</v>
      </c>
      <c r="N28" s="66">
        <f t="shared" si="3"/>
        <v>20345</v>
      </c>
      <c r="O28" s="67">
        <f t="shared" si="4"/>
        <v>0.3044728435</v>
      </c>
      <c r="P28" s="67">
        <f t="shared" si="8"/>
        <v>0.605776622</v>
      </c>
      <c r="Q28" s="68">
        <f t="shared" si="7"/>
        <v>72.44</v>
      </c>
      <c r="R28" s="69">
        <f t="shared" si="5"/>
        <v>0.01894675926</v>
      </c>
      <c r="S28" s="70">
        <v>40.0</v>
      </c>
      <c r="T28" s="70">
        <v>53.839608612999996</v>
      </c>
      <c r="U28" s="70">
        <v>6194.500000000001</v>
      </c>
      <c r="V28" s="70">
        <v>6100.660391387001</v>
      </c>
      <c r="W28" s="71">
        <f t="shared" si="6"/>
        <v>93.83960861</v>
      </c>
      <c r="X28" s="72"/>
      <c r="Y28" s="72"/>
      <c r="Z28" s="72"/>
      <c r="AA28" s="72"/>
      <c r="AB28" s="72"/>
      <c r="AC28" s="72"/>
      <c r="AD28" s="72"/>
    </row>
    <row r="29">
      <c r="A29" s="8">
        <v>46036.0</v>
      </c>
      <c r="B29" s="60" t="s">
        <v>131</v>
      </c>
      <c r="C29" s="61" t="str">
        <f t="shared" si="1"/>
        <v>Wed 14 - Jan | 10:11 | Short | 1</v>
      </c>
      <c r="D29" s="62">
        <v>0.4243287037037037</v>
      </c>
      <c r="E29" s="62">
        <v>0.43666666666666665</v>
      </c>
      <c r="F29" s="73" t="s">
        <v>135</v>
      </c>
      <c r="G29" s="60" t="s">
        <v>111</v>
      </c>
      <c r="H29" s="75" t="s">
        <v>115</v>
      </c>
      <c r="I29" s="64">
        <v>1.0</v>
      </c>
      <c r="J29" s="73">
        <v>130.0</v>
      </c>
      <c r="K29" s="68">
        <v>144.45</v>
      </c>
      <c r="L29" s="66">
        <v>152.65</v>
      </c>
      <c r="M29" s="66">
        <f t="shared" si="2"/>
        <v>8.2</v>
      </c>
      <c r="N29" s="66">
        <f t="shared" si="3"/>
        <v>18778.5</v>
      </c>
      <c r="O29" s="67">
        <f t="shared" si="4"/>
        <v>0.05676704742</v>
      </c>
      <c r="P29" s="67">
        <f t="shared" si="8"/>
        <v>0.6625436694</v>
      </c>
      <c r="Q29" s="68">
        <f t="shared" si="7"/>
        <v>80.64</v>
      </c>
      <c r="R29" s="69">
        <f t="shared" si="5"/>
        <v>0.01233796296</v>
      </c>
      <c r="S29" s="70">
        <v>40.0</v>
      </c>
      <c r="T29" s="70">
        <v>43.674230441999995</v>
      </c>
      <c r="U29" s="70">
        <v>1066.0000000000023</v>
      </c>
      <c r="V29" s="70">
        <v>982.3257695580023</v>
      </c>
      <c r="W29" s="71">
        <f t="shared" si="6"/>
        <v>83.67423044</v>
      </c>
      <c r="X29" s="72"/>
      <c r="Y29" s="72"/>
      <c r="Z29" s="72"/>
      <c r="AA29" s="72"/>
      <c r="AB29" s="72"/>
      <c r="AC29" s="72"/>
      <c r="AD29" s="72"/>
    </row>
    <row r="30">
      <c r="A30" s="8">
        <v>46036.0</v>
      </c>
      <c r="B30" s="60" t="s">
        <v>131</v>
      </c>
      <c r="C30" s="61" t="str">
        <f t="shared" si="1"/>
        <v>Wed 14 - Jan | 10:51 | Long | 2</v>
      </c>
      <c r="D30" s="62">
        <v>0.45210648148148147</v>
      </c>
      <c r="E30" s="62">
        <v>0.48018518518518516</v>
      </c>
      <c r="F30" s="73" t="s">
        <v>136</v>
      </c>
      <c r="G30" s="60" t="s">
        <v>114</v>
      </c>
      <c r="H30" s="75" t="s">
        <v>115</v>
      </c>
      <c r="I30" s="64">
        <v>2.0</v>
      </c>
      <c r="J30" s="73">
        <v>130.0</v>
      </c>
      <c r="K30" s="68">
        <v>110.4</v>
      </c>
      <c r="L30" s="66">
        <v>150.4</v>
      </c>
      <c r="M30" s="66">
        <f t="shared" si="2"/>
        <v>40</v>
      </c>
      <c r="N30" s="66">
        <f t="shared" si="3"/>
        <v>14352</v>
      </c>
      <c r="O30" s="67">
        <f t="shared" si="4"/>
        <v>0.3623188406</v>
      </c>
      <c r="P30" s="67">
        <f t="shared" si="8"/>
        <v>1.02486251</v>
      </c>
      <c r="Q30" s="68">
        <f t="shared" si="7"/>
        <v>120.64</v>
      </c>
      <c r="R30" s="69">
        <f t="shared" si="5"/>
        <v>0.0280787037</v>
      </c>
      <c r="S30" s="70">
        <v>40.0</v>
      </c>
      <c r="T30" s="70">
        <v>41.274414816000004</v>
      </c>
      <c r="U30" s="70">
        <v>5200.0</v>
      </c>
      <c r="V30" s="70">
        <v>5118.725585184</v>
      </c>
      <c r="W30" s="71">
        <f t="shared" si="6"/>
        <v>81.27441482</v>
      </c>
      <c r="X30" s="72"/>
      <c r="Y30" s="72"/>
      <c r="Z30" s="72"/>
      <c r="AA30" s="72"/>
      <c r="AB30" s="72"/>
      <c r="AC30" s="72"/>
      <c r="AD30" s="72"/>
    </row>
    <row r="31">
      <c r="A31" s="8">
        <v>46038.0</v>
      </c>
      <c r="B31" s="60" t="s">
        <v>131</v>
      </c>
      <c r="C31" s="61" t="str">
        <f t="shared" si="1"/>
        <v>Fri 16 - Jan | 09:45 | Long | 1</v>
      </c>
      <c r="D31" s="62">
        <v>0.4062962962962963</v>
      </c>
      <c r="E31" s="62">
        <v>0.4268865740740741</v>
      </c>
      <c r="F31" s="73" t="s">
        <v>136</v>
      </c>
      <c r="G31" s="60" t="s">
        <v>114</v>
      </c>
      <c r="H31" s="75" t="s">
        <v>115</v>
      </c>
      <c r="I31" s="64">
        <v>1.0</v>
      </c>
      <c r="J31" s="73">
        <v>130.0</v>
      </c>
      <c r="K31" s="68">
        <v>111.95</v>
      </c>
      <c r="L31" s="66">
        <v>145.85</v>
      </c>
      <c r="M31" s="66">
        <f t="shared" si="2"/>
        <v>33.9</v>
      </c>
      <c r="N31" s="66">
        <f t="shared" si="3"/>
        <v>14553.5</v>
      </c>
      <c r="O31" s="67">
        <f t="shared" si="4"/>
        <v>0.3028137561</v>
      </c>
      <c r="P31" s="67">
        <f t="shared" si="8"/>
        <v>1.327676266</v>
      </c>
      <c r="Q31" s="68">
        <f t="shared" si="7"/>
        <v>154.54</v>
      </c>
      <c r="R31" s="69">
        <f t="shared" si="5"/>
        <v>0.02059027778</v>
      </c>
      <c r="S31" s="70">
        <v>40.0</v>
      </c>
      <c r="T31" s="70">
        <v>40.528839856</v>
      </c>
      <c r="U31" s="70">
        <v>4406.999999999999</v>
      </c>
      <c r="V31" s="70">
        <v>4326.471160143999</v>
      </c>
      <c r="W31" s="71">
        <f t="shared" si="6"/>
        <v>80.52883986</v>
      </c>
      <c r="X31" s="72"/>
      <c r="Y31" s="72"/>
      <c r="Z31" s="72"/>
      <c r="AA31" s="72"/>
      <c r="AB31" s="72"/>
      <c r="AC31" s="72"/>
      <c r="AD31" s="72"/>
    </row>
    <row r="32">
      <c r="A32" s="8">
        <v>46041.0</v>
      </c>
      <c r="B32" s="64" t="s">
        <v>137</v>
      </c>
      <c r="C32" s="61" t="str">
        <f t="shared" si="1"/>
        <v>Mon 19 - Jan | 09:45 | Long | 1</v>
      </c>
      <c r="D32" s="62">
        <v>0.40630787037037036</v>
      </c>
      <c r="E32" s="62">
        <v>0.4155671296296296</v>
      </c>
      <c r="F32" s="60" t="s">
        <v>138</v>
      </c>
      <c r="G32" s="60" t="s">
        <v>114</v>
      </c>
      <c r="H32" s="76" t="s">
        <v>117</v>
      </c>
      <c r="I32" s="64">
        <v>1.0</v>
      </c>
      <c r="J32" s="64">
        <v>195.0</v>
      </c>
      <c r="K32" s="68">
        <v>66.85</v>
      </c>
      <c r="L32" s="66">
        <v>58.9</v>
      </c>
      <c r="M32" s="66">
        <f t="shared" si="2"/>
        <v>-7.95</v>
      </c>
      <c r="N32" s="66">
        <f t="shared" si="3"/>
        <v>13035.75</v>
      </c>
      <c r="O32" s="67">
        <f t="shared" si="4"/>
        <v>-0.1189229619</v>
      </c>
      <c r="P32" s="67">
        <f t="shared" si="8"/>
        <v>1.208753304</v>
      </c>
      <c r="Q32" s="68">
        <f t="shared" si="7"/>
        <v>146.59</v>
      </c>
      <c r="R32" s="69">
        <f t="shared" si="5"/>
        <v>0.009259259259</v>
      </c>
      <c r="S32" s="70">
        <v>40.0</v>
      </c>
      <c r="T32" s="70">
        <v>29.2829223225</v>
      </c>
      <c r="U32" s="70">
        <v>-1550.249999999999</v>
      </c>
      <c r="V32" s="70">
        <v>-1619.5329223224992</v>
      </c>
      <c r="W32" s="71">
        <f t="shared" si="6"/>
        <v>69.28292232</v>
      </c>
      <c r="X32" s="72"/>
      <c r="Y32" s="72"/>
      <c r="Z32" s="72"/>
      <c r="AA32" s="72"/>
      <c r="AB32" s="72"/>
      <c r="AC32" s="72"/>
      <c r="AD32" s="72"/>
    </row>
    <row r="33">
      <c r="A33" s="8">
        <v>46041.0</v>
      </c>
      <c r="B33" s="64" t="s">
        <v>137</v>
      </c>
      <c r="C33" s="61" t="str">
        <f t="shared" si="1"/>
        <v>Mon 19 - Jan | 10:29 | Short | 2</v>
      </c>
      <c r="D33" s="62">
        <v>0.4368287037037037</v>
      </c>
      <c r="E33" s="62">
        <v>0.448125</v>
      </c>
      <c r="F33" s="60" t="s">
        <v>139</v>
      </c>
      <c r="G33" s="60" t="s">
        <v>111</v>
      </c>
      <c r="H33" s="75" t="s">
        <v>115</v>
      </c>
      <c r="I33" s="64">
        <v>2.0</v>
      </c>
      <c r="J33" s="64">
        <v>195.0</v>
      </c>
      <c r="K33" s="68">
        <v>111.8</v>
      </c>
      <c r="L33" s="66">
        <v>96.4</v>
      </c>
      <c r="M33" s="66">
        <f t="shared" si="2"/>
        <v>-15.4</v>
      </c>
      <c r="N33" s="66">
        <f t="shared" si="3"/>
        <v>21801</v>
      </c>
      <c r="O33" s="67">
        <f t="shared" si="4"/>
        <v>-0.137745975</v>
      </c>
      <c r="P33" s="67">
        <f t="shared" si="8"/>
        <v>1.071007329</v>
      </c>
      <c r="Q33" s="68">
        <f t="shared" si="7"/>
        <v>131.19</v>
      </c>
      <c r="R33" s="69">
        <f t="shared" si="5"/>
        <v>0.0112962963</v>
      </c>
      <c r="S33" s="70">
        <v>40.0</v>
      </c>
      <c r="T33" s="70">
        <v>43.551514446</v>
      </c>
      <c r="U33" s="70">
        <v>-3002.999999999998</v>
      </c>
      <c r="V33" s="70">
        <v>-3086.5515144459982</v>
      </c>
      <c r="W33" s="71">
        <f t="shared" si="6"/>
        <v>83.55151445</v>
      </c>
      <c r="X33" s="72"/>
      <c r="Y33" s="72"/>
      <c r="Z33" s="72"/>
      <c r="AA33" s="72"/>
      <c r="AB33" s="72"/>
      <c r="AC33" s="72"/>
      <c r="AD33" s="72"/>
    </row>
    <row r="34">
      <c r="A34" s="8">
        <v>46041.0</v>
      </c>
      <c r="B34" s="64" t="s">
        <v>137</v>
      </c>
      <c r="C34" s="61" t="str">
        <f t="shared" si="1"/>
        <v>Mon 19 - Jan | 10:59 | Long | 3</v>
      </c>
      <c r="D34" s="62">
        <v>0.4576736111111111</v>
      </c>
      <c r="E34" s="62">
        <v>0.4715625</v>
      </c>
      <c r="F34" s="60" t="s">
        <v>140</v>
      </c>
      <c r="G34" s="60" t="s">
        <v>114</v>
      </c>
      <c r="H34" s="75" t="s">
        <v>115</v>
      </c>
      <c r="I34" s="64">
        <v>3.0</v>
      </c>
      <c r="J34" s="64">
        <v>195.0</v>
      </c>
      <c r="K34" s="68">
        <v>76.55</v>
      </c>
      <c r="L34" s="66">
        <v>67.167</v>
      </c>
      <c r="M34" s="66">
        <f t="shared" si="2"/>
        <v>-9.383</v>
      </c>
      <c r="N34" s="66">
        <f t="shared" si="3"/>
        <v>14927.25</v>
      </c>
      <c r="O34" s="67">
        <f t="shared" si="4"/>
        <v>-0.1225734814</v>
      </c>
      <c r="P34" s="67">
        <f t="shared" si="8"/>
        <v>0.948433848</v>
      </c>
      <c r="Q34" s="68">
        <f t="shared" si="7"/>
        <v>121.807</v>
      </c>
      <c r="R34" s="69">
        <f t="shared" si="5"/>
        <v>0.01388888889</v>
      </c>
      <c r="S34" s="70">
        <v>40.0</v>
      </c>
      <c r="T34" s="70">
        <v>32.41015902951</v>
      </c>
      <c r="U34" s="70">
        <v>-1829.684999999999</v>
      </c>
      <c r="V34" s="70">
        <v>-1902.095159029509</v>
      </c>
      <c r="W34" s="71">
        <f t="shared" si="6"/>
        <v>72.41015903</v>
      </c>
      <c r="X34" s="72"/>
      <c r="Y34" s="72"/>
      <c r="Z34" s="72"/>
      <c r="AA34" s="72"/>
      <c r="AB34" s="72"/>
      <c r="AC34" s="72"/>
      <c r="AD34" s="72"/>
    </row>
    <row r="35">
      <c r="A35" s="8">
        <v>46041.0</v>
      </c>
      <c r="B35" s="64" t="s">
        <v>137</v>
      </c>
      <c r="C35" s="61" t="str">
        <f t="shared" si="1"/>
        <v>Mon 19 - Jan | 11:55 | Long | 4</v>
      </c>
      <c r="D35" s="62">
        <v>0.4965625</v>
      </c>
      <c r="E35" s="62">
        <v>0.4993402777777778</v>
      </c>
      <c r="F35" s="60" t="s">
        <v>141</v>
      </c>
      <c r="G35" s="60" t="s">
        <v>114</v>
      </c>
      <c r="H35" s="75" t="s">
        <v>115</v>
      </c>
      <c r="I35" s="64">
        <v>4.0</v>
      </c>
      <c r="J35" s="64">
        <v>195.0</v>
      </c>
      <c r="K35" s="68">
        <v>102.867</v>
      </c>
      <c r="L35" s="66">
        <v>93.1</v>
      </c>
      <c r="M35" s="66">
        <f t="shared" si="2"/>
        <v>-9.767</v>
      </c>
      <c r="N35" s="66">
        <f t="shared" si="3"/>
        <v>20059.065</v>
      </c>
      <c r="O35" s="67">
        <f t="shared" si="4"/>
        <v>-0.09494784528</v>
      </c>
      <c r="P35" s="67">
        <f t="shared" si="8"/>
        <v>0.8534860027</v>
      </c>
      <c r="Q35" s="68">
        <f t="shared" si="7"/>
        <v>112.04</v>
      </c>
      <c r="R35" s="69">
        <f t="shared" si="5"/>
        <v>0.002777777778</v>
      </c>
      <c r="S35" s="70">
        <v>40.0</v>
      </c>
      <c r="T35" s="70">
        <v>41.860320848010005</v>
      </c>
      <c r="U35" s="70">
        <v>-1904.5650000000019</v>
      </c>
      <c r="V35" s="70">
        <v>-1986.4253208480118</v>
      </c>
      <c r="W35" s="71">
        <f t="shared" si="6"/>
        <v>81.86032085</v>
      </c>
      <c r="X35" s="72"/>
      <c r="Y35" s="72"/>
      <c r="Z35" s="72"/>
      <c r="AA35" s="72"/>
      <c r="AB35" s="72"/>
      <c r="AC35" s="72"/>
      <c r="AD35" s="72"/>
    </row>
    <row r="36">
      <c r="A36" s="59">
        <v>46042.0</v>
      </c>
      <c r="B36" s="64" t="s">
        <v>137</v>
      </c>
      <c r="C36" s="61" t="str">
        <f t="shared" si="1"/>
        <v>Tue 20 - Jan | 10:17 | Short | 1</v>
      </c>
      <c r="D36" s="62">
        <v>0.4284953703703704</v>
      </c>
      <c r="E36" s="62">
        <v>0.4298958333333333</v>
      </c>
      <c r="F36" s="64" t="s">
        <v>142</v>
      </c>
      <c r="G36" s="60" t="s">
        <v>111</v>
      </c>
      <c r="H36" s="75" t="s">
        <v>115</v>
      </c>
      <c r="I36" s="64">
        <v>1.0</v>
      </c>
      <c r="J36" s="64">
        <v>65.0</v>
      </c>
      <c r="K36" s="68">
        <v>136.2</v>
      </c>
      <c r="L36" s="64">
        <v>125.0</v>
      </c>
      <c r="M36" s="66">
        <f t="shared" si="2"/>
        <v>-11.2</v>
      </c>
      <c r="N36" s="66">
        <f t="shared" si="3"/>
        <v>8853</v>
      </c>
      <c r="O36" s="67">
        <f t="shared" si="4"/>
        <v>-0.08223201175</v>
      </c>
      <c r="P36" s="67">
        <f t="shared" si="8"/>
        <v>0.7712539909</v>
      </c>
      <c r="Q36" s="68">
        <f t="shared" si="7"/>
        <v>100.84</v>
      </c>
      <c r="R36" s="69">
        <f t="shared" si="5"/>
        <v>0.001400462963</v>
      </c>
      <c r="S36" s="70">
        <v>40.0</v>
      </c>
      <c r="T36" s="70">
        <v>22.656320412</v>
      </c>
      <c r="U36" s="70">
        <v>-727.9999999999993</v>
      </c>
      <c r="V36" s="70">
        <v>-790.6563204119993</v>
      </c>
      <c r="W36" s="71">
        <f t="shared" si="6"/>
        <v>62.65632041</v>
      </c>
      <c r="X36" s="72"/>
      <c r="Y36" s="72"/>
      <c r="Z36" s="72"/>
      <c r="AA36" s="72"/>
      <c r="AB36" s="72"/>
      <c r="AC36" s="72"/>
      <c r="AD36" s="72"/>
    </row>
    <row r="37">
      <c r="A37" s="59">
        <v>46042.0</v>
      </c>
      <c r="B37" s="64" t="s">
        <v>137</v>
      </c>
      <c r="C37" s="61" t="str">
        <f t="shared" si="1"/>
        <v>Tue 20 - Jan | 10:53 | Short | 2</v>
      </c>
      <c r="D37" s="62">
        <v>0.45351851851851854</v>
      </c>
      <c r="E37" s="62">
        <v>0.4769212962962963</v>
      </c>
      <c r="F37" s="64" t="s">
        <v>143</v>
      </c>
      <c r="G37" s="60" t="s">
        <v>111</v>
      </c>
      <c r="H37" s="75" t="s">
        <v>115</v>
      </c>
      <c r="I37" s="64">
        <v>2.0</v>
      </c>
      <c r="J37" s="64">
        <v>195.0</v>
      </c>
      <c r="K37" s="68">
        <v>156.033</v>
      </c>
      <c r="L37" s="66">
        <v>157.2</v>
      </c>
      <c r="M37" s="66">
        <f t="shared" si="2"/>
        <v>1.167</v>
      </c>
      <c r="N37" s="66">
        <f t="shared" si="3"/>
        <v>30426.435</v>
      </c>
      <c r="O37" s="67">
        <f t="shared" si="4"/>
        <v>0.007479187095</v>
      </c>
      <c r="P37" s="67">
        <f t="shared" si="8"/>
        <v>0.778733178</v>
      </c>
      <c r="Q37" s="68">
        <f t="shared" si="7"/>
        <v>102.007</v>
      </c>
      <c r="R37" s="69">
        <f t="shared" si="5"/>
        <v>0.02340277778</v>
      </c>
      <c r="S37" s="70">
        <v>40.0</v>
      </c>
      <c r="T37" s="70">
        <v>64.17893792799</v>
      </c>
      <c r="U37" s="70">
        <v>227.5650000000003</v>
      </c>
      <c r="V37" s="70">
        <v>123.3860620720103</v>
      </c>
      <c r="W37" s="71">
        <f t="shared" si="6"/>
        <v>104.1789379</v>
      </c>
      <c r="X37" s="72"/>
      <c r="Y37" s="72"/>
      <c r="Z37" s="72"/>
      <c r="AA37" s="72"/>
      <c r="AB37" s="72"/>
      <c r="AC37" s="72"/>
      <c r="AD37" s="72"/>
    </row>
    <row r="38">
      <c r="A38" s="59">
        <v>46043.0</v>
      </c>
      <c r="B38" s="64" t="s">
        <v>137</v>
      </c>
      <c r="C38" s="61" t="str">
        <f t="shared" si="1"/>
        <v>Wed 21 - Jan | 11:27 | Short | 1</v>
      </c>
      <c r="D38" s="62">
        <v>0.4771064814814815</v>
      </c>
      <c r="E38" s="62">
        <v>0.48364583333333333</v>
      </c>
      <c r="F38" s="64" t="s">
        <v>144</v>
      </c>
      <c r="G38" s="60" t="s">
        <v>111</v>
      </c>
      <c r="H38" s="75" t="s">
        <v>115</v>
      </c>
      <c r="I38" s="64">
        <v>1.0</v>
      </c>
      <c r="J38" s="64">
        <v>65.0</v>
      </c>
      <c r="K38" s="68">
        <v>145.15</v>
      </c>
      <c r="L38" s="66">
        <v>144.25</v>
      </c>
      <c r="M38" s="66">
        <f t="shared" si="2"/>
        <v>-0.9</v>
      </c>
      <c r="N38" s="66">
        <f t="shared" si="3"/>
        <v>9434.75</v>
      </c>
      <c r="O38" s="67">
        <f t="shared" si="4"/>
        <v>-0.00620048226</v>
      </c>
      <c r="P38" s="67">
        <f t="shared" si="8"/>
        <v>0.7725326958</v>
      </c>
      <c r="Q38" s="68">
        <f t="shared" si="7"/>
        <v>101.107</v>
      </c>
      <c r="R38" s="69">
        <f t="shared" si="5"/>
        <v>0.006539351852</v>
      </c>
      <c r="S38" s="70">
        <v>40.0</v>
      </c>
      <c r="T38" s="70">
        <v>24.685842244</v>
      </c>
      <c r="U38" s="70">
        <v>-58.50000000000037</v>
      </c>
      <c r="V38" s="70">
        <v>-123.18584224400037</v>
      </c>
      <c r="W38" s="71">
        <f t="shared" si="6"/>
        <v>64.68584224</v>
      </c>
      <c r="X38" s="72"/>
      <c r="Y38" s="72"/>
      <c r="Z38" s="72"/>
      <c r="AA38" s="72"/>
      <c r="AB38" s="72"/>
      <c r="AC38" s="72"/>
      <c r="AD38" s="72"/>
    </row>
    <row r="39">
      <c r="A39" s="59">
        <v>46043.0</v>
      </c>
      <c r="B39" s="64" t="s">
        <v>137</v>
      </c>
      <c r="C39" s="61" t="str">
        <f t="shared" si="1"/>
        <v>Wed 21 - Jan | 13:47 | Long | 2</v>
      </c>
      <c r="D39" s="62">
        <v>0.5743287037037037</v>
      </c>
      <c r="E39" s="62">
        <v>0.5772106481481482</v>
      </c>
      <c r="F39" s="64" t="s">
        <v>145</v>
      </c>
      <c r="G39" s="60" t="s">
        <v>114</v>
      </c>
      <c r="H39" s="75" t="s">
        <v>115</v>
      </c>
      <c r="I39" s="64">
        <v>2.0</v>
      </c>
      <c r="J39" s="64">
        <v>130.0</v>
      </c>
      <c r="K39" s="68">
        <v>183.9</v>
      </c>
      <c r="L39" s="66">
        <v>168.75</v>
      </c>
      <c r="M39" s="66">
        <f t="shared" si="2"/>
        <v>-15.15</v>
      </c>
      <c r="N39" s="66">
        <f t="shared" si="3"/>
        <v>23907</v>
      </c>
      <c r="O39" s="67">
        <f t="shared" si="4"/>
        <v>-0.0823817292</v>
      </c>
      <c r="P39" s="67">
        <f t="shared" si="8"/>
        <v>0.6901509666</v>
      </c>
      <c r="Q39" s="68">
        <f t="shared" si="7"/>
        <v>85.957</v>
      </c>
      <c r="R39" s="69">
        <f t="shared" si="5"/>
        <v>0.002881944444</v>
      </c>
      <c r="S39" s="70">
        <v>40.0</v>
      </c>
      <c r="T39" s="70">
        <v>48.933815253000006</v>
      </c>
      <c r="U39" s="70">
        <v>-1969.5000000000007</v>
      </c>
      <c r="V39" s="70">
        <v>-2058.433815253001</v>
      </c>
      <c r="W39" s="71">
        <f t="shared" si="6"/>
        <v>88.93381525</v>
      </c>
      <c r="X39" s="72"/>
      <c r="Y39" s="72"/>
      <c r="Z39" s="72"/>
      <c r="AA39" s="72"/>
      <c r="AB39" s="72"/>
      <c r="AC39" s="72"/>
      <c r="AD39" s="72"/>
    </row>
    <row r="40">
      <c r="A40" s="59">
        <v>46043.0</v>
      </c>
      <c r="B40" s="64" t="s">
        <v>137</v>
      </c>
      <c r="C40" s="61" t="str">
        <f t="shared" si="1"/>
        <v>Wed 21 - Jan | 13:55 | Short | 3</v>
      </c>
      <c r="D40" s="62">
        <v>0.5798958333333334</v>
      </c>
      <c r="E40" s="62">
        <v>0.5846296296296296</v>
      </c>
      <c r="F40" s="64" t="s">
        <v>146</v>
      </c>
      <c r="G40" s="60" t="s">
        <v>111</v>
      </c>
      <c r="H40" s="75" t="s">
        <v>115</v>
      </c>
      <c r="I40" s="64">
        <v>3.0</v>
      </c>
      <c r="J40" s="64">
        <v>130.0</v>
      </c>
      <c r="K40" s="68">
        <v>147.1</v>
      </c>
      <c r="L40" s="66">
        <v>154.4</v>
      </c>
      <c r="M40" s="66">
        <f t="shared" si="2"/>
        <v>7.3</v>
      </c>
      <c r="N40" s="66">
        <f t="shared" si="3"/>
        <v>19123</v>
      </c>
      <c r="O40" s="67">
        <f t="shared" si="4"/>
        <v>0.04962610469</v>
      </c>
      <c r="P40" s="67">
        <f t="shared" si="8"/>
        <v>0.7397770713</v>
      </c>
      <c r="Q40" s="68">
        <f t="shared" si="7"/>
        <v>93.257</v>
      </c>
      <c r="R40" s="69">
        <f t="shared" si="5"/>
        <v>0.004733796296</v>
      </c>
      <c r="S40" s="70">
        <v>40.0</v>
      </c>
      <c r="T40" s="70">
        <v>44.150364229999994</v>
      </c>
      <c r="U40" s="70">
        <v>949.0000000000015</v>
      </c>
      <c r="V40" s="70">
        <v>864.8496357700014</v>
      </c>
      <c r="W40" s="71">
        <f t="shared" si="6"/>
        <v>84.15036423</v>
      </c>
      <c r="X40" s="72"/>
      <c r="Y40" s="72"/>
      <c r="Z40" s="72"/>
      <c r="AA40" s="72"/>
      <c r="AB40" s="72"/>
      <c r="AC40" s="72"/>
      <c r="AD40" s="72"/>
    </row>
    <row r="41">
      <c r="A41" s="59">
        <v>46044.0</v>
      </c>
      <c r="B41" s="64" t="s">
        <v>137</v>
      </c>
      <c r="C41" s="61" t="str">
        <f t="shared" si="1"/>
        <v>Thu 22 - Jan | 09:58 | Short | 1</v>
      </c>
      <c r="D41" s="62">
        <v>0.4154861111111111</v>
      </c>
      <c r="E41" s="62">
        <v>0.43947916666666664</v>
      </c>
      <c r="F41" s="64" t="s">
        <v>146</v>
      </c>
      <c r="G41" s="60" t="s">
        <v>111</v>
      </c>
      <c r="H41" s="76" t="s">
        <v>117</v>
      </c>
      <c r="I41" s="64">
        <v>1.0</v>
      </c>
      <c r="J41" s="64">
        <v>65.0</v>
      </c>
      <c r="K41" s="68">
        <v>52.8</v>
      </c>
      <c r="L41" s="66">
        <v>89.9</v>
      </c>
      <c r="M41" s="66">
        <f t="shared" si="2"/>
        <v>37.1</v>
      </c>
      <c r="N41" s="66">
        <f t="shared" si="3"/>
        <v>3432</v>
      </c>
      <c r="O41" s="67">
        <f t="shared" si="4"/>
        <v>0.7026515152</v>
      </c>
      <c r="P41" s="67">
        <f t="shared" si="8"/>
        <v>1.442428586</v>
      </c>
      <c r="Q41" s="68">
        <f t="shared" si="7"/>
        <v>130.357</v>
      </c>
      <c r="R41" s="69">
        <f t="shared" si="5"/>
        <v>0.02399305556</v>
      </c>
      <c r="S41" s="70">
        <v>40.0</v>
      </c>
      <c r="T41" s="70">
        <v>16.999057827</v>
      </c>
      <c r="U41" s="70">
        <v>2411.5000000000005</v>
      </c>
      <c r="V41" s="70">
        <v>2354.5009421730006</v>
      </c>
      <c r="W41" s="71">
        <f t="shared" si="6"/>
        <v>56.99905783</v>
      </c>
      <c r="X41" s="72"/>
      <c r="Y41" s="72"/>
      <c r="Z41" s="72"/>
      <c r="AA41" s="72"/>
      <c r="AB41" s="72"/>
      <c r="AC41" s="72"/>
      <c r="AD41" s="72"/>
    </row>
    <row r="42">
      <c r="A42" s="59">
        <v>46045.0</v>
      </c>
      <c r="B42" s="64" t="s">
        <v>137</v>
      </c>
      <c r="C42" s="61" t="str">
        <f t="shared" si="1"/>
        <v>Fri 23 - Jan | 10:57 | Short | 1</v>
      </c>
      <c r="D42" s="62">
        <v>0.4562962962962963</v>
      </c>
      <c r="E42" s="62">
        <v>0.49017361111111113</v>
      </c>
      <c r="F42" s="64" t="s">
        <v>147</v>
      </c>
      <c r="G42" s="60" t="s">
        <v>111</v>
      </c>
      <c r="H42" s="75" t="s">
        <v>115</v>
      </c>
      <c r="I42" s="64">
        <v>1.0</v>
      </c>
      <c r="J42" s="64">
        <v>130.0</v>
      </c>
      <c r="K42" s="68">
        <v>83.0</v>
      </c>
      <c r="L42" s="66">
        <v>110.1</v>
      </c>
      <c r="M42" s="66">
        <f t="shared" si="2"/>
        <v>27.1</v>
      </c>
      <c r="N42" s="66">
        <f t="shared" si="3"/>
        <v>10790</v>
      </c>
      <c r="O42" s="67">
        <f t="shared" si="4"/>
        <v>0.3265060241</v>
      </c>
      <c r="P42" s="67">
        <f t="shared" si="8"/>
        <v>1.768934611</v>
      </c>
      <c r="Q42" s="68">
        <f t="shared" si="7"/>
        <v>157.457</v>
      </c>
      <c r="R42" s="69">
        <f t="shared" si="5"/>
        <v>0.03387731481</v>
      </c>
      <c r="S42" s="70">
        <v>40.0</v>
      </c>
      <c r="T42" s="70">
        <v>32.271391462</v>
      </c>
      <c r="U42" s="70">
        <v>3522.999999999999</v>
      </c>
      <c r="V42" s="70">
        <v>3450.728608537999</v>
      </c>
      <c r="W42" s="71">
        <f t="shared" si="6"/>
        <v>72.27139146</v>
      </c>
      <c r="X42" s="77">
        <v>3.0</v>
      </c>
      <c r="Y42" s="77"/>
      <c r="Z42" s="77"/>
      <c r="AA42" s="77"/>
      <c r="AB42" s="77"/>
      <c r="AC42" s="77"/>
      <c r="AD42" s="77"/>
    </row>
    <row r="43">
      <c r="A43" s="59">
        <v>46049.0</v>
      </c>
      <c r="B43" s="64" t="s">
        <v>137</v>
      </c>
      <c r="C43" s="61" t="str">
        <f t="shared" si="1"/>
        <v>Tue 27 - Jan | 12:06 | Long | 1</v>
      </c>
      <c r="D43" s="62">
        <v>0.5041898148148148</v>
      </c>
      <c r="E43" s="62">
        <v>0.5210763888888889</v>
      </c>
      <c r="F43" s="64" t="s">
        <v>148</v>
      </c>
      <c r="G43" s="60" t="s">
        <v>114</v>
      </c>
      <c r="H43" s="75" t="s">
        <v>115</v>
      </c>
      <c r="I43" s="64">
        <v>1.0</v>
      </c>
      <c r="J43" s="64">
        <v>130.0</v>
      </c>
      <c r="K43" s="68">
        <v>90.3</v>
      </c>
      <c r="L43" s="66">
        <v>65.5</v>
      </c>
      <c r="M43" s="66">
        <f t="shared" si="2"/>
        <v>-24.8</v>
      </c>
      <c r="N43" s="66">
        <f t="shared" si="3"/>
        <v>11739</v>
      </c>
      <c r="O43" s="67">
        <f t="shared" si="4"/>
        <v>-0.2746400886</v>
      </c>
      <c r="P43" s="67">
        <f t="shared" si="8"/>
        <v>1.494294522</v>
      </c>
      <c r="Q43" s="68">
        <f t="shared" si="7"/>
        <v>132.657</v>
      </c>
      <c r="R43" s="69">
        <f t="shared" si="5"/>
        <v>0.01688657407</v>
      </c>
      <c r="S43" s="70">
        <v>40.0</v>
      </c>
      <c r="T43" s="70">
        <v>24.502632516</v>
      </c>
      <c r="U43" s="70">
        <v>-3223.9999999999995</v>
      </c>
      <c r="V43" s="70">
        <v>-3288.5026325159997</v>
      </c>
      <c r="W43" s="71">
        <f t="shared" si="6"/>
        <v>64.50263252</v>
      </c>
      <c r="X43" s="77">
        <v>3.0</v>
      </c>
      <c r="Y43" s="77"/>
      <c r="Z43" s="77"/>
      <c r="AA43" s="77"/>
      <c r="AB43" s="77"/>
      <c r="AC43" s="77"/>
      <c r="AD43" s="77"/>
    </row>
    <row r="44">
      <c r="A44" s="59">
        <v>46050.0</v>
      </c>
      <c r="B44" s="64" t="s">
        <v>137</v>
      </c>
      <c r="C44" s="61" t="str">
        <f t="shared" si="1"/>
        <v>Wed 28 - Jan | 10:54 | Long | 1</v>
      </c>
      <c r="D44" s="62">
        <v>0.4541898148148148</v>
      </c>
      <c r="E44" s="62">
        <v>0.48878472222222225</v>
      </c>
      <c r="F44" s="73" t="s">
        <v>149</v>
      </c>
      <c r="G44" s="60" t="s">
        <v>114</v>
      </c>
      <c r="H44" s="75" t="s">
        <v>115</v>
      </c>
      <c r="I44" s="64">
        <v>1.0</v>
      </c>
      <c r="J44" s="64">
        <v>130.0</v>
      </c>
      <c r="K44" s="68">
        <v>243.9</v>
      </c>
      <c r="L44" s="66">
        <v>241.3</v>
      </c>
      <c r="M44" s="66">
        <f t="shared" si="2"/>
        <v>-2.6</v>
      </c>
      <c r="N44" s="66">
        <f t="shared" si="3"/>
        <v>31707</v>
      </c>
      <c r="O44" s="67">
        <f t="shared" si="4"/>
        <v>-0.0106601066</v>
      </c>
      <c r="P44" s="67">
        <f t="shared" si="8"/>
        <v>1.483634415</v>
      </c>
      <c r="Q44" s="68">
        <f t="shared" si="7"/>
        <v>130.057</v>
      </c>
      <c r="R44" s="69">
        <f t="shared" si="5"/>
        <v>0.03459490741</v>
      </c>
      <c r="S44" s="70">
        <v>40.0</v>
      </c>
      <c r="T44" s="70">
        <v>65.764144704</v>
      </c>
      <c r="U44" s="70">
        <v>-337.99999999999926</v>
      </c>
      <c r="V44" s="70">
        <v>-443.76414470399925</v>
      </c>
      <c r="W44" s="71">
        <f t="shared" si="6"/>
        <v>105.7641447</v>
      </c>
      <c r="X44" s="77">
        <v>3.0</v>
      </c>
      <c r="Y44" s="77">
        <v>277.0</v>
      </c>
      <c r="Z44" s="77">
        <v>235.0</v>
      </c>
      <c r="AA44" s="78">
        <f>Y44-K44</f>
        <v>33.1</v>
      </c>
      <c r="AB44" s="78">
        <f>Z44-K44</f>
        <v>-8.9</v>
      </c>
      <c r="AC44" s="77"/>
      <c r="AD44" s="77"/>
    </row>
    <row r="45">
      <c r="A45" s="59">
        <v>46051.0</v>
      </c>
      <c r="B45" s="64" t="s">
        <v>137</v>
      </c>
      <c r="C45" s="61" t="str">
        <f t="shared" si="1"/>
        <v>Thu 29 - Jan | 10:02 | Short | 1</v>
      </c>
      <c r="D45" s="62">
        <v>0.4185763888888889</v>
      </c>
      <c r="E45" s="62">
        <v>0.4210185185185185</v>
      </c>
      <c r="F45" s="61" t="s">
        <v>150</v>
      </c>
      <c r="G45" s="60" t="s">
        <v>111</v>
      </c>
      <c r="H45" s="60" t="s">
        <v>125</v>
      </c>
      <c r="I45" s="79">
        <v>1.0</v>
      </c>
      <c r="J45" s="64">
        <v>65.0</v>
      </c>
      <c r="K45" s="65">
        <v>291.35</v>
      </c>
      <c r="L45" s="64">
        <v>293.2</v>
      </c>
      <c r="M45" s="66">
        <f t="shared" si="2"/>
        <v>1.85</v>
      </c>
      <c r="N45" s="66">
        <f t="shared" si="3"/>
        <v>18937.75</v>
      </c>
      <c r="O45" s="67">
        <f t="shared" si="4"/>
        <v>0.006349751158</v>
      </c>
      <c r="P45" s="67">
        <f t="shared" si="8"/>
        <v>1.489984166</v>
      </c>
      <c r="Q45" s="68">
        <f t="shared" si="7"/>
        <v>131.907</v>
      </c>
      <c r="R45" s="69">
        <f t="shared" si="5"/>
        <v>0.00244212963</v>
      </c>
      <c r="S45" s="70">
        <v>40.0</v>
      </c>
      <c r="T45" s="70">
        <v>42.634091595499996</v>
      </c>
      <c r="U45" s="70">
        <v>120.24999999999778</v>
      </c>
      <c r="V45" s="70">
        <v>37.61590840449779</v>
      </c>
      <c r="W45" s="71">
        <f t="shared" si="6"/>
        <v>82.6340916</v>
      </c>
      <c r="X45" s="72"/>
      <c r="Y45" s="72"/>
      <c r="Z45" s="72"/>
      <c r="AA45" s="72"/>
      <c r="AB45" s="72"/>
      <c r="AC45" s="72"/>
      <c r="AD45" s="72"/>
    </row>
    <row r="46">
      <c r="A46" s="59">
        <v>46051.0</v>
      </c>
      <c r="B46" s="64" t="s">
        <v>137</v>
      </c>
      <c r="C46" s="61" t="str">
        <f t="shared" si="1"/>
        <v>Thu 29 - Jan | 10:07 | Short | 2</v>
      </c>
      <c r="D46" s="62">
        <v>0.4215509259259259</v>
      </c>
      <c r="E46" s="62">
        <v>0.4222916666666667</v>
      </c>
      <c r="F46" s="61" t="s">
        <v>151</v>
      </c>
      <c r="G46" s="60" t="s">
        <v>111</v>
      </c>
      <c r="H46" s="60" t="s">
        <v>125</v>
      </c>
      <c r="I46" s="79">
        <v>2.0</v>
      </c>
      <c r="J46" s="64">
        <v>195.0</v>
      </c>
      <c r="K46" s="65">
        <v>207.6</v>
      </c>
      <c r="L46" s="64">
        <v>205.2</v>
      </c>
      <c r="M46" s="66">
        <f t="shared" si="2"/>
        <v>-2.4</v>
      </c>
      <c r="N46" s="66">
        <f t="shared" si="3"/>
        <v>40482</v>
      </c>
      <c r="O46" s="67">
        <f t="shared" si="4"/>
        <v>-0.01156069364</v>
      </c>
      <c r="P46" s="67">
        <f t="shared" si="8"/>
        <v>1.478423473</v>
      </c>
      <c r="Q46" s="68">
        <f t="shared" si="7"/>
        <v>129.507</v>
      </c>
      <c r="R46" s="69">
        <f t="shared" si="5"/>
        <v>0.0007407407407</v>
      </c>
      <c r="S46" s="70">
        <v>40.0</v>
      </c>
      <c r="T46" s="70">
        <v>81.92040638400002</v>
      </c>
      <c r="U46" s="70">
        <v>-468.00000000000114</v>
      </c>
      <c r="V46" s="70">
        <v>-589.9204063840011</v>
      </c>
      <c r="W46" s="71">
        <f t="shared" si="6"/>
        <v>121.9204064</v>
      </c>
      <c r="X46" s="72"/>
      <c r="Y46" s="72"/>
      <c r="Z46" s="72"/>
      <c r="AA46" s="72"/>
      <c r="AB46" s="72"/>
      <c r="AC46" s="72"/>
      <c r="AD46" s="72"/>
    </row>
    <row r="47">
      <c r="A47" s="59">
        <v>46051.0</v>
      </c>
      <c r="B47" s="64" t="s">
        <v>137</v>
      </c>
      <c r="C47" s="61" t="str">
        <f t="shared" si="1"/>
        <v>Thu 29 - Jan | 11:25 | Short | 3</v>
      </c>
      <c r="D47" s="62">
        <v>0.4757986111111111</v>
      </c>
      <c r="E47" s="62">
        <v>0.47672453703703704</v>
      </c>
      <c r="F47" s="61" t="s">
        <v>152</v>
      </c>
      <c r="G47" s="60" t="s">
        <v>111</v>
      </c>
      <c r="H47" s="60" t="s">
        <v>125</v>
      </c>
      <c r="I47" s="79">
        <v>3.0</v>
      </c>
      <c r="J47" s="64">
        <v>65.0</v>
      </c>
      <c r="K47" s="65">
        <v>273.1</v>
      </c>
      <c r="L47" s="64">
        <v>282.4</v>
      </c>
      <c r="M47" s="66">
        <f t="shared" si="2"/>
        <v>9.3</v>
      </c>
      <c r="N47" s="66">
        <f t="shared" si="3"/>
        <v>17751.5</v>
      </c>
      <c r="O47" s="67">
        <f t="shared" si="4"/>
        <v>0.03405346027</v>
      </c>
      <c r="P47" s="67">
        <f t="shared" si="8"/>
        <v>1.512476933</v>
      </c>
      <c r="Q47" s="68">
        <f t="shared" si="7"/>
        <v>138.807</v>
      </c>
      <c r="R47" s="69">
        <f t="shared" si="5"/>
        <v>0.0009259259259</v>
      </c>
      <c r="S47" s="70">
        <v>40.0</v>
      </c>
      <c r="T47" s="70">
        <v>41.109582655</v>
      </c>
      <c r="U47" s="70">
        <v>604.499999999997</v>
      </c>
      <c r="V47" s="70">
        <v>523.3904173449971</v>
      </c>
      <c r="W47" s="71">
        <f t="shared" si="6"/>
        <v>81.10958266</v>
      </c>
      <c r="X47" s="72"/>
      <c r="Y47" s="72"/>
      <c r="Z47" s="72"/>
      <c r="AA47" s="72"/>
      <c r="AB47" s="72"/>
      <c r="AC47" s="72"/>
      <c r="AD47" s="72"/>
    </row>
    <row r="48">
      <c r="A48" s="59">
        <v>46051.0</v>
      </c>
      <c r="B48" s="64" t="s">
        <v>137</v>
      </c>
      <c r="C48" s="61" t="str">
        <f t="shared" si="1"/>
        <v>Thu 29 - Jan | 11:37 | Short | 4</v>
      </c>
      <c r="D48" s="62">
        <v>0.4847106481481481</v>
      </c>
      <c r="E48" s="62">
        <v>0.48747685185185186</v>
      </c>
      <c r="F48" s="61" t="s">
        <v>152</v>
      </c>
      <c r="G48" s="60" t="s">
        <v>111</v>
      </c>
      <c r="H48" s="60" t="s">
        <v>125</v>
      </c>
      <c r="I48" s="79">
        <v>4.0</v>
      </c>
      <c r="J48" s="64">
        <v>65.0</v>
      </c>
      <c r="K48" s="65">
        <v>290.65</v>
      </c>
      <c r="L48" s="64">
        <v>286.85</v>
      </c>
      <c r="M48" s="66">
        <f t="shared" si="2"/>
        <v>-3.8</v>
      </c>
      <c r="N48" s="66">
        <f t="shared" si="3"/>
        <v>18892.25</v>
      </c>
      <c r="O48" s="67">
        <f t="shared" si="4"/>
        <v>-0.01307414416</v>
      </c>
      <c r="P48" s="67">
        <f t="shared" si="8"/>
        <v>1.499402789</v>
      </c>
      <c r="Q48" s="68">
        <f t="shared" si="7"/>
        <v>135.007</v>
      </c>
      <c r="R48" s="69">
        <f t="shared" si="5"/>
        <v>0.002766203704</v>
      </c>
      <c r="S48" s="70">
        <v>40.0</v>
      </c>
      <c r="T48" s="70">
        <v>42.030311425</v>
      </c>
      <c r="U48" s="70">
        <v>-246.99999999999704</v>
      </c>
      <c r="V48" s="70">
        <v>-329.0303114249971</v>
      </c>
      <c r="W48" s="71">
        <f t="shared" si="6"/>
        <v>82.03031143</v>
      </c>
      <c r="X48" s="72"/>
      <c r="Y48" s="72"/>
      <c r="Z48" s="72"/>
      <c r="AA48" s="72"/>
      <c r="AB48" s="72"/>
      <c r="AC48" s="72"/>
      <c r="AD48" s="72"/>
    </row>
    <row r="49">
      <c r="A49" s="59">
        <v>46051.0</v>
      </c>
      <c r="B49" s="64" t="s">
        <v>137</v>
      </c>
      <c r="C49" s="61" t="str">
        <f t="shared" si="1"/>
        <v>Thu 29 - Jan | 11:45 | Short | 5</v>
      </c>
      <c r="D49" s="62">
        <v>0.48993055555555554</v>
      </c>
      <c r="E49" s="62">
        <v>0.49181712962962965</v>
      </c>
      <c r="F49" s="61" t="s">
        <v>152</v>
      </c>
      <c r="G49" s="60" t="s">
        <v>111</v>
      </c>
      <c r="H49" s="60" t="s">
        <v>125</v>
      </c>
      <c r="I49" s="79">
        <v>5.0</v>
      </c>
      <c r="J49" s="64">
        <v>65.0</v>
      </c>
      <c r="K49" s="65">
        <v>289.1</v>
      </c>
      <c r="L49" s="64">
        <v>284.65</v>
      </c>
      <c r="M49" s="66">
        <f t="shared" si="2"/>
        <v>-4.45</v>
      </c>
      <c r="N49" s="66">
        <f t="shared" si="3"/>
        <v>18791.5</v>
      </c>
      <c r="O49" s="67">
        <f t="shared" si="4"/>
        <v>-0.01539259772</v>
      </c>
      <c r="P49" s="67">
        <f t="shared" si="8"/>
        <v>1.484010191</v>
      </c>
      <c r="Q49" s="68">
        <f t="shared" si="7"/>
        <v>130.557</v>
      </c>
      <c r="R49" s="69">
        <f t="shared" si="5"/>
        <v>0.001886574074</v>
      </c>
      <c r="S49" s="70">
        <v>40.0</v>
      </c>
      <c r="T49" s="70">
        <v>41.7829898375</v>
      </c>
      <c r="U49" s="70">
        <v>-289.25000000000296</v>
      </c>
      <c r="V49" s="70">
        <v>-371.03298983750295</v>
      </c>
      <c r="W49" s="71">
        <f t="shared" si="6"/>
        <v>81.78298984</v>
      </c>
      <c r="X49" s="72"/>
      <c r="Y49" s="72"/>
      <c r="Z49" s="72"/>
      <c r="AA49" s="72"/>
      <c r="AB49" s="72"/>
      <c r="AC49" s="72"/>
      <c r="AD49" s="72"/>
    </row>
    <row r="50">
      <c r="A50" s="59">
        <v>46051.0</v>
      </c>
      <c r="B50" s="64" t="s">
        <v>137</v>
      </c>
      <c r="C50" s="61" t="str">
        <f t="shared" si="1"/>
        <v>Thu 29 - Jan | 11:48 | Short | 6</v>
      </c>
      <c r="D50" s="62">
        <v>0.4921990740740741</v>
      </c>
      <c r="E50" s="62">
        <v>0.4933101851851852</v>
      </c>
      <c r="F50" s="61" t="s">
        <v>152</v>
      </c>
      <c r="G50" s="60" t="s">
        <v>111</v>
      </c>
      <c r="H50" s="60" t="s">
        <v>125</v>
      </c>
      <c r="I50" s="79">
        <v>6.0</v>
      </c>
      <c r="J50" s="64">
        <v>65.0</v>
      </c>
      <c r="K50" s="65">
        <v>291.05</v>
      </c>
      <c r="L50" s="64">
        <v>282.0</v>
      </c>
      <c r="M50" s="66">
        <f t="shared" si="2"/>
        <v>-9.05</v>
      </c>
      <c r="N50" s="66">
        <f t="shared" si="3"/>
        <v>18918.25</v>
      </c>
      <c r="O50" s="67">
        <f t="shared" si="4"/>
        <v>-0.03109431369</v>
      </c>
      <c r="P50" s="67">
        <f t="shared" si="8"/>
        <v>1.452915878</v>
      </c>
      <c r="Q50" s="68">
        <f t="shared" si="7"/>
        <v>121.507</v>
      </c>
      <c r="R50" s="69">
        <f t="shared" si="5"/>
        <v>0.001111111111</v>
      </c>
      <c r="S50" s="70">
        <v>40.0</v>
      </c>
      <c r="T50" s="70">
        <v>41.5964191805</v>
      </c>
      <c r="U50" s="70">
        <v>-588.2500000000007</v>
      </c>
      <c r="V50" s="70">
        <v>-669.8464191805007</v>
      </c>
      <c r="W50" s="71">
        <f t="shared" si="6"/>
        <v>81.59641918</v>
      </c>
      <c r="X50" s="72"/>
      <c r="Y50" s="72"/>
      <c r="Z50" s="72"/>
      <c r="AA50" s="72"/>
      <c r="AB50" s="72"/>
      <c r="AC50" s="72"/>
      <c r="AD50" s="72"/>
    </row>
    <row r="51">
      <c r="A51" s="59">
        <v>46051.0</v>
      </c>
      <c r="B51" s="64" t="s">
        <v>137</v>
      </c>
      <c r="C51" s="61" t="str">
        <f t="shared" si="1"/>
        <v>Thu 29 - Jan | 11:52 | Short | 7</v>
      </c>
      <c r="D51" s="62">
        <v>0.4945949074074074</v>
      </c>
      <c r="E51" s="62">
        <v>0.5023148148148148</v>
      </c>
      <c r="F51" s="61" t="s">
        <v>153</v>
      </c>
      <c r="G51" s="60" t="s">
        <v>111</v>
      </c>
      <c r="H51" s="60" t="s">
        <v>125</v>
      </c>
      <c r="I51" s="79">
        <v>7.0</v>
      </c>
      <c r="J51" s="64">
        <v>65.0</v>
      </c>
      <c r="K51" s="65">
        <v>257.1</v>
      </c>
      <c r="L51" s="64">
        <v>247.1</v>
      </c>
      <c r="M51" s="66">
        <f t="shared" si="2"/>
        <v>-10</v>
      </c>
      <c r="N51" s="66">
        <f t="shared" si="3"/>
        <v>16711.5</v>
      </c>
      <c r="O51" s="67">
        <f t="shared" si="4"/>
        <v>-0.03889537145</v>
      </c>
      <c r="P51" s="67">
        <f t="shared" si="8"/>
        <v>1.414020506</v>
      </c>
      <c r="Q51" s="68">
        <f t="shared" si="7"/>
        <v>111.507</v>
      </c>
      <c r="R51" s="69">
        <f t="shared" si="5"/>
        <v>0.007719907407</v>
      </c>
      <c r="S51" s="70">
        <v>40.0</v>
      </c>
      <c r="T51" s="70">
        <v>37.399937742</v>
      </c>
      <c r="U51" s="70">
        <v>-650.0000000000018</v>
      </c>
      <c r="V51" s="70">
        <v>-727.3999377420018</v>
      </c>
      <c r="W51" s="71">
        <f t="shared" si="6"/>
        <v>77.39993774</v>
      </c>
      <c r="X51" s="72"/>
      <c r="Y51" s="72"/>
      <c r="Z51" s="72"/>
      <c r="AA51" s="72"/>
      <c r="AB51" s="72"/>
      <c r="AC51" s="72"/>
      <c r="AD51" s="72"/>
    </row>
    <row r="52">
      <c r="A52" s="59">
        <v>46051.0</v>
      </c>
      <c r="B52" s="64" t="s">
        <v>137</v>
      </c>
      <c r="C52" s="61" t="str">
        <f t="shared" si="1"/>
        <v>Thu 29 - Jan | 12:12 | Long | 8</v>
      </c>
      <c r="D52" s="62">
        <v>0.5083680555555555</v>
      </c>
      <c r="E52" s="62">
        <v>0.5200578703703703</v>
      </c>
      <c r="F52" s="61" t="s">
        <v>149</v>
      </c>
      <c r="G52" s="60" t="s">
        <v>114</v>
      </c>
      <c r="H52" s="75" t="s">
        <v>115</v>
      </c>
      <c r="I52" s="79">
        <v>8.0</v>
      </c>
      <c r="J52" s="64">
        <v>130.0</v>
      </c>
      <c r="K52" s="65">
        <v>186.6</v>
      </c>
      <c r="L52" s="64">
        <v>186.5</v>
      </c>
      <c r="M52" s="66">
        <f t="shared" si="2"/>
        <v>-0.1</v>
      </c>
      <c r="N52" s="66">
        <f t="shared" si="3"/>
        <v>24258</v>
      </c>
      <c r="O52" s="67">
        <f t="shared" si="4"/>
        <v>-0.0005359056806</v>
      </c>
      <c r="P52" s="67">
        <f t="shared" si="8"/>
        <v>1.4134846</v>
      </c>
      <c r="Q52" s="68">
        <f t="shared" si="7"/>
        <v>111.407</v>
      </c>
      <c r="R52" s="69">
        <f t="shared" si="5"/>
        <v>0.01168981481</v>
      </c>
      <c r="S52" s="70">
        <v>40.0</v>
      </c>
      <c r="T52" s="70">
        <v>52.352642261999996</v>
      </c>
      <c r="U52" s="70">
        <v>-12.999999999999261</v>
      </c>
      <c r="V52" s="70">
        <v>-105.35264226199925</v>
      </c>
      <c r="W52" s="71">
        <f t="shared" si="6"/>
        <v>92.35264226</v>
      </c>
      <c r="X52" s="72"/>
      <c r="Y52" s="72"/>
      <c r="Z52" s="72"/>
      <c r="AA52" s="72"/>
      <c r="AB52" s="72"/>
      <c r="AC52" s="72"/>
      <c r="AD52" s="72"/>
    </row>
    <row r="53">
      <c r="A53" s="59">
        <v>46051.0</v>
      </c>
      <c r="B53" s="64" t="s">
        <v>137</v>
      </c>
      <c r="C53" s="61" t="str">
        <f t="shared" si="1"/>
        <v>Thu 29 - Jan | 12:51 | Long | 9</v>
      </c>
      <c r="D53" s="62">
        <v>0.5354513888888889</v>
      </c>
      <c r="E53" s="62">
        <v>0.547511574074074</v>
      </c>
      <c r="F53" s="61" t="s">
        <v>154</v>
      </c>
      <c r="G53" s="60" t="s">
        <v>114</v>
      </c>
      <c r="H53" s="76" t="s">
        <v>117</v>
      </c>
      <c r="I53" s="79">
        <v>9.0</v>
      </c>
      <c r="J53" s="64">
        <v>65.0</v>
      </c>
      <c r="K53" s="65">
        <v>161.85</v>
      </c>
      <c r="L53" s="64">
        <v>186.3</v>
      </c>
      <c r="M53" s="66">
        <f t="shared" si="2"/>
        <v>24.45</v>
      </c>
      <c r="N53" s="66">
        <f t="shared" si="3"/>
        <v>10520.25</v>
      </c>
      <c r="O53" s="67">
        <f t="shared" si="4"/>
        <v>0.1510658017</v>
      </c>
      <c r="P53" s="67">
        <f t="shared" si="8"/>
        <v>1.564550402</v>
      </c>
      <c r="Q53" s="68">
        <f t="shared" si="7"/>
        <v>135.857</v>
      </c>
      <c r="R53" s="69">
        <f t="shared" si="5"/>
        <v>0.01206018519</v>
      </c>
      <c r="S53" s="70">
        <v>40.0</v>
      </c>
      <c r="T53" s="70">
        <v>29.0360145315</v>
      </c>
      <c r="U53" s="70">
        <v>1589.2500000000011</v>
      </c>
      <c r="V53" s="70">
        <v>1520.213985468501</v>
      </c>
      <c r="W53" s="71">
        <f t="shared" si="6"/>
        <v>69.03601453</v>
      </c>
      <c r="X53" s="72"/>
      <c r="Y53" s="72"/>
      <c r="Z53" s="72"/>
      <c r="AA53" s="72"/>
      <c r="AB53" s="72"/>
      <c r="AC53" s="72"/>
      <c r="AD53" s="72"/>
    </row>
    <row r="54">
      <c r="A54" s="59">
        <v>46052.0</v>
      </c>
      <c r="B54" s="64" t="s">
        <v>137</v>
      </c>
      <c r="C54" s="61" t="str">
        <f t="shared" si="1"/>
        <v>Fri 30 - Jan | 11:09 | Short | 1</v>
      </c>
      <c r="D54" s="80">
        <v>0.4646180555555556</v>
      </c>
      <c r="E54" s="62">
        <v>0.4706828703703704</v>
      </c>
      <c r="F54" s="61" t="s">
        <v>155</v>
      </c>
      <c r="G54" s="60" t="s">
        <v>111</v>
      </c>
      <c r="H54" s="75" t="s">
        <v>115</v>
      </c>
      <c r="I54" s="79">
        <v>1.0</v>
      </c>
      <c r="J54" s="64">
        <v>65.0</v>
      </c>
      <c r="K54" s="65">
        <v>204.6</v>
      </c>
      <c r="L54" s="64">
        <v>220.5</v>
      </c>
      <c r="M54" s="66">
        <f t="shared" si="2"/>
        <v>15.9</v>
      </c>
      <c r="N54" s="66">
        <f t="shared" si="3"/>
        <v>13299</v>
      </c>
      <c r="O54" s="67">
        <f t="shared" si="4"/>
        <v>0.07771260997</v>
      </c>
      <c r="P54" s="67">
        <f t="shared" si="8"/>
        <v>1.642263012</v>
      </c>
      <c r="Q54" s="68">
        <f t="shared" si="7"/>
        <v>151.757</v>
      </c>
      <c r="R54" s="69">
        <f t="shared" si="5"/>
        <v>0.006064814815</v>
      </c>
      <c r="S54" s="70">
        <v>40.0</v>
      </c>
      <c r="T54" s="70">
        <v>33.424875650999994</v>
      </c>
      <c r="U54" s="70">
        <v>1033.5000000000005</v>
      </c>
      <c r="V54" s="70">
        <v>960.0751243490005</v>
      </c>
      <c r="W54" s="71">
        <f t="shared" si="6"/>
        <v>73.42487565</v>
      </c>
      <c r="X54" s="72"/>
      <c r="Y54" s="72"/>
      <c r="Z54" s="72"/>
      <c r="AA54" s="72"/>
      <c r="AB54" s="72"/>
      <c r="AC54" s="72"/>
      <c r="AD54" s="72"/>
    </row>
    <row r="55">
      <c r="A55" s="59">
        <v>46052.0</v>
      </c>
      <c r="B55" s="64" t="s">
        <v>137</v>
      </c>
      <c r="C55" s="61" t="str">
        <f t="shared" si="1"/>
        <v>Fri 30 - Jan | 11:09 | Short | 1</v>
      </c>
      <c r="D55" s="81">
        <v>0.4646180555555556</v>
      </c>
      <c r="E55" s="62">
        <v>0.4774421296296296</v>
      </c>
      <c r="F55" s="61" t="s">
        <v>155</v>
      </c>
      <c r="G55" s="60" t="s">
        <v>111</v>
      </c>
      <c r="H55" s="75" t="s">
        <v>115</v>
      </c>
      <c r="I55" s="79">
        <v>1.0</v>
      </c>
      <c r="J55" s="64">
        <v>65.0</v>
      </c>
      <c r="K55" s="65">
        <v>204.6</v>
      </c>
      <c r="L55" s="64">
        <v>201.1</v>
      </c>
      <c r="M55" s="66">
        <f t="shared" si="2"/>
        <v>-3.5</v>
      </c>
      <c r="N55" s="66">
        <f t="shared" si="3"/>
        <v>13299</v>
      </c>
      <c r="O55" s="67">
        <f t="shared" si="4"/>
        <v>-0.01710654936</v>
      </c>
      <c r="P55" s="67">
        <f t="shared" si="8"/>
        <v>1.625156463</v>
      </c>
      <c r="Q55" s="68">
        <f t="shared" si="7"/>
        <v>148.257</v>
      </c>
      <c r="R55" s="69">
        <f t="shared" si="5"/>
        <v>0.01282407407</v>
      </c>
      <c r="S55" s="70">
        <v>40.0</v>
      </c>
      <c r="T55" s="70">
        <v>31.642636256999996</v>
      </c>
      <c r="U55" s="70">
        <v>-227.5</v>
      </c>
      <c r="V55" s="70">
        <v>-299.142636257</v>
      </c>
      <c r="W55" s="71">
        <f t="shared" si="6"/>
        <v>71.64263626</v>
      </c>
      <c r="X55" s="72"/>
      <c r="Y55" s="72"/>
      <c r="Z55" s="72"/>
      <c r="AA55" s="72"/>
      <c r="AB55" s="72"/>
      <c r="AC55" s="72"/>
      <c r="AD55" s="72"/>
    </row>
    <row r="56">
      <c r="A56" s="59">
        <v>46052.0</v>
      </c>
      <c r="B56" s="64" t="s">
        <v>137</v>
      </c>
      <c r="C56" s="61" t="str">
        <f t="shared" si="1"/>
        <v>Fri 30 - Jan | 11:49 | Short | 2</v>
      </c>
      <c r="D56" s="62">
        <v>0.49247685185185186</v>
      </c>
      <c r="E56" s="62">
        <v>0.4938425925925926</v>
      </c>
      <c r="F56" s="61" t="s">
        <v>152</v>
      </c>
      <c r="G56" s="60" t="s">
        <v>111</v>
      </c>
      <c r="H56" s="60" t="s">
        <v>125</v>
      </c>
      <c r="I56" s="79">
        <v>2.0</v>
      </c>
      <c r="J56" s="64">
        <v>65.0</v>
      </c>
      <c r="K56" s="65">
        <v>307.3</v>
      </c>
      <c r="L56" s="64">
        <v>299.05</v>
      </c>
      <c r="M56" s="66">
        <f t="shared" si="2"/>
        <v>-8.25</v>
      </c>
      <c r="N56" s="66">
        <f t="shared" si="3"/>
        <v>19974.5</v>
      </c>
      <c r="O56" s="67">
        <f t="shared" si="4"/>
        <v>-0.02684672958</v>
      </c>
      <c r="P56" s="67">
        <f t="shared" si="8"/>
        <v>1.598309733</v>
      </c>
      <c r="Q56" s="68">
        <f t="shared" si="7"/>
        <v>140.007</v>
      </c>
      <c r="R56" s="69">
        <f t="shared" si="5"/>
        <v>0.001365740741</v>
      </c>
      <c r="S56" s="70">
        <v>40.0</v>
      </c>
      <c r="T56" s="70">
        <v>43.6367651635</v>
      </c>
      <c r="U56" s="70">
        <v>-536.25</v>
      </c>
      <c r="V56" s="70">
        <v>-619.8867651635001</v>
      </c>
      <c r="W56" s="71">
        <f t="shared" si="6"/>
        <v>83.63676516</v>
      </c>
      <c r="X56" s="72"/>
      <c r="Y56" s="72"/>
      <c r="Z56" s="72"/>
      <c r="AA56" s="72"/>
      <c r="AB56" s="72"/>
      <c r="AC56" s="72"/>
      <c r="AD56" s="72"/>
    </row>
    <row r="57">
      <c r="A57" s="59">
        <v>46052.0</v>
      </c>
      <c r="B57" s="64" t="s">
        <v>137</v>
      </c>
      <c r="C57" s="61" t="str">
        <f t="shared" si="1"/>
        <v>Fri 30 - Jan | 13:36 | Long | 3</v>
      </c>
      <c r="D57" s="62">
        <v>0.5666898148148148</v>
      </c>
      <c r="E57" s="62">
        <v>0.5840972222222223</v>
      </c>
      <c r="F57" s="61" t="s">
        <v>156</v>
      </c>
      <c r="G57" s="60" t="s">
        <v>114</v>
      </c>
      <c r="H57" s="76" t="s">
        <v>117</v>
      </c>
      <c r="I57" s="79">
        <v>3.0</v>
      </c>
      <c r="J57" s="64">
        <v>65.0</v>
      </c>
      <c r="K57" s="65">
        <v>166.5</v>
      </c>
      <c r="L57" s="64">
        <v>202.1</v>
      </c>
      <c r="M57" s="66">
        <f t="shared" si="2"/>
        <v>35.6</v>
      </c>
      <c r="N57" s="66">
        <f t="shared" si="3"/>
        <v>10822.5</v>
      </c>
      <c r="O57" s="67">
        <f t="shared" si="4"/>
        <v>0.2138138138</v>
      </c>
      <c r="P57" s="67">
        <f t="shared" si="8"/>
        <v>1.812123547</v>
      </c>
      <c r="Q57" s="68">
        <f t="shared" si="7"/>
        <v>175.607</v>
      </c>
      <c r="R57" s="69">
        <f t="shared" si="5"/>
        <v>0.01740740741</v>
      </c>
      <c r="S57" s="70">
        <v>40.0</v>
      </c>
      <c r="T57" s="70">
        <v>30.623164986</v>
      </c>
      <c r="U57" s="70">
        <v>2313.9999999999995</v>
      </c>
      <c r="V57" s="70">
        <v>2243.3768350139994</v>
      </c>
      <c r="W57" s="71">
        <f t="shared" si="6"/>
        <v>70.62316499</v>
      </c>
      <c r="X57" s="72"/>
      <c r="Y57" s="72"/>
      <c r="Z57" s="72"/>
      <c r="AA57" s="72"/>
      <c r="AB57" s="72"/>
      <c r="AC57" s="72"/>
      <c r="AD57" s="72"/>
    </row>
    <row r="58">
      <c r="A58" s="59">
        <v>46055.0</v>
      </c>
      <c r="B58" s="64" t="s">
        <v>157</v>
      </c>
      <c r="C58" s="61" t="str">
        <f t="shared" si="1"/>
        <v>Mon 02 - Feb | 14:00 | 1</v>
      </c>
      <c r="D58" s="82">
        <v>0.5834259259259259</v>
      </c>
      <c r="E58" s="83">
        <v>0.5979629629629629</v>
      </c>
      <c r="F58" s="63" t="s">
        <v>158</v>
      </c>
      <c r="H58" s="84"/>
      <c r="I58" s="2">
        <v>1.0</v>
      </c>
      <c r="J58" s="79">
        <v>65.0</v>
      </c>
      <c r="K58" s="79">
        <v>68.2</v>
      </c>
      <c r="L58" s="85">
        <v>66.4</v>
      </c>
      <c r="M58" s="66">
        <f t="shared" si="2"/>
        <v>-1.8</v>
      </c>
      <c r="N58" s="66">
        <f t="shared" si="3"/>
        <v>4433</v>
      </c>
      <c r="O58" s="67">
        <f t="shared" si="4"/>
        <v>-0.02639296188</v>
      </c>
      <c r="P58" s="67">
        <f t="shared" si="8"/>
        <v>1.785730585</v>
      </c>
      <c r="Q58" s="68">
        <f t="shared" si="7"/>
        <v>173.807</v>
      </c>
      <c r="R58" s="69">
        <f t="shared" si="5"/>
        <v>0.01453703704</v>
      </c>
      <c r="S58" s="70">
        <v>40.0</v>
      </c>
      <c r="T58" s="70">
        <v>15.289362346</v>
      </c>
      <c r="U58" s="70">
        <v>-116.99999999999982</v>
      </c>
      <c r="V58" s="70">
        <v>-172.28936234599982</v>
      </c>
      <c r="W58" s="71">
        <f t="shared" si="6"/>
        <v>55.28936235</v>
      </c>
      <c r="X58" s="72"/>
      <c r="Y58" s="72"/>
      <c r="Z58" s="72"/>
      <c r="AA58" s="72"/>
      <c r="AB58" s="72"/>
      <c r="AC58" s="72"/>
      <c r="AD58" s="72"/>
    </row>
    <row r="59">
      <c r="A59" s="59">
        <v>46055.0</v>
      </c>
      <c r="B59" s="64" t="s">
        <v>157</v>
      </c>
      <c r="C59" s="61" t="str">
        <f t="shared" si="1"/>
        <v>Mon 02 - Feb | 14:00 | 1</v>
      </c>
      <c r="D59" s="86">
        <v>0.5834259259259259</v>
      </c>
      <c r="E59" s="83">
        <v>0.61625</v>
      </c>
      <c r="F59" s="63" t="s">
        <v>158</v>
      </c>
      <c r="H59" s="84"/>
      <c r="I59" s="2">
        <v>1.0</v>
      </c>
      <c r="J59" s="79">
        <v>65.0</v>
      </c>
      <c r="K59" s="79">
        <v>68.2</v>
      </c>
      <c r="L59" s="85">
        <v>59.55</v>
      </c>
      <c r="M59" s="66">
        <f t="shared" si="2"/>
        <v>-8.65</v>
      </c>
      <c r="N59" s="66">
        <f t="shared" si="3"/>
        <v>4433</v>
      </c>
      <c r="O59" s="67">
        <f t="shared" si="4"/>
        <v>-0.1268328446</v>
      </c>
      <c r="P59" s="67">
        <f t="shared" si="8"/>
        <v>1.65889774</v>
      </c>
      <c r="Q59" s="68">
        <f t="shared" si="7"/>
        <v>165.157</v>
      </c>
      <c r="R59" s="69">
        <f t="shared" si="5"/>
        <v>0.03282407407</v>
      </c>
      <c r="S59" s="70">
        <v>40.0</v>
      </c>
      <c r="T59" s="70">
        <v>14.6600664775</v>
      </c>
      <c r="U59" s="70">
        <v>-562.2500000000003</v>
      </c>
      <c r="V59" s="70">
        <v>-616.9100664775003</v>
      </c>
      <c r="W59" s="71">
        <f t="shared" si="6"/>
        <v>54.66006648</v>
      </c>
      <c r="X59" s="72"/>
      <c r="Y59" s="72"/>
      <c r="Z59" s="72"/>
      <c r="AA59" s="72"/>
      <c r="AB59" s="72"/>
      <c r="AC59" s="72"/>
      <c r="AD59" s="72"/>
    </row>
    <row r="60">
      <c r="A60" s="59">
        <v>46056.0</v>
      </c>
      <c r="B60" s="64" t="s">
        <v>157</v>
      </c>
      <c r="C60" s="61" t="str">
        <f t="shared" si="1"/>
        <v>Tue 03 - Feb | 10:50 | 1</v>
      </c>
      <c r="D60" s="83">
        <v>0.4516898148148148</v>
      </c>
      <c r="E60" s="83">
        <v>0.4542476851851852</v>
      </c>
      <c r="F60" s="63" t="s">
        <v>159</v>
      </c>
      <c r="H60" s="84"/>
      <c r="I60" s="2">
        <v>1.0</v>
      </c>
      <c r="J60" s="79">
        <v>65.0</v>
      </c>
      <c r="K60" s="79">
        <v>237.2</v>
      </c>
      <c r="L60" s="85">
        <v>236.1</v>
      </c>
      <c r="M60" s="66">
        <f t="shared" si="2"/>
        <v>-1.1</v>
      </c>
      <c r="N60" s="66">
        <f t="shared" si="3"/>
        <v>15418</v>
      </c>
      <c r="O60" s="67">
        <f t="shared" si="4"/>
        <v>-0.004637436762</v>
      </c>
      <c r="P60" s="67">
        <f t="shared" si="8"/>
        <v>1.654260304</v>
      </c>
      <c r="Q60" s="68">
        <f t="shared" si="7"/>
        <v>164.057</v>
      </c>
      <c r="R60" s="69">
        <f t="shared" si="5"/>
        <v>0.00255787037</v>
      </c>
      <c r="S60" s="70">
        <v>40.0</v>
      </c>
      <c r="T60" s="70">
        <v>35.808926333</v>
      </c>
      <c r="U60" s="70">
        <v>-71.49999999999963</v>
      </c>
      <c r="V60" s="70">
        <v>-147.30892633299965</v>
      </c>
      <c r="W60" s="71">
        <f t="shared" si="6"/>
        <v>75.80892633</v>
      </c>
      <c r="X60" s="72"/>
      <c r="Y60" s="72"/>
      <c r="Z60" s="72"/>
      <c r="AA60" s="72"/>
      <c r="AB60" s="72"/>
      <c r="AC60" s="72"/>
      <c r="AD60" s="72"/>
    </row>
    <row r="61">
      <c r="A61" s="59">
        <v>46056.0</v>
      </c>
      <c r="B61" s="64" t="s">
        <v>157</v>
      </c>
      <c r="C61" s="61" t="str">
        <f t="shared" si="1"/>
        <v>Tue 03 - Feb | 11:10 | 2</v>
      </c>
      <c r="D61" s="83">
        <v>0.4654050925925926</v>
      </c>
      <c r="E61" s="83">
        <v>0.4675462962962963</v>
      </c>
      <c r="F61" s="63" t="s">
        <v>159</v>
      </c>
      <c r="H61" s="84"/>
      <c r="I61" s="2">
        <v>2.0</v>
      </c>
      <c r="J61" s="79">
        <v>65.0</v>
      </c>
      <c r="K61" s="79">
        <v>225.0</v>
      </c>
      <c r="L61" s="85">
        <v>220.95</v>
      </c>
      <c r="M61" s="66">
        <f t="shared" si="2"/>
        <v>-4.05</v>
      </c>
      <c r="N61" s="66">
        <f t="shared" si="3"/>
        <v>14625</v>
      </c>
      <c r="O61" s="67">
        <f t="shared" si="4"/>
        <v>-0.018</v>
      </c>
      <c r="P61" s="67">
        <f t="shared" si="8"/>
        <v>1.636260304</v>
      </c>
      <c r="Q61" s="68">
        <f t="shared" si="7"/>
        <v>160.007</v>
      </c>
      <c r="R61" s="69">
        <f t="shared" si="5"/>
        <v>0.002141203704</v>
      </c>
      <c r="S61" s="70">
        <v>40.0</v>
      </c>
      <c r="T61" s="70">
        <v>34.0612640595</v>
      </c>
      <c r="U61" s="70">
        <v>-263.25000000000074</v>
      </c>
      <c r="V61" s="70">
        <v>-337.31126405950073</v>
      </c>
      <c r="W61" s="71">
        <f t="shared" si="6"/>
        <v>74.06126406</v>
      </c>
      <c r="X61" s="72"/>
      <c r="Y61" s="72"/>
      <c r="Z61" s="72"/>
      <c r="AA61" s="72"/>
      <c r="AB61" s="72"/>
      <c r="AC61" s="72"/>
      <c r="AD61" s="72"/>
    </row>
    <row r="62">
      <c r="A62" s="59">
        <v>46056.0</v>
      </c>
      <c r="B62" s="64" t="s">
        <v>157</v>
      </c>
      <c r="C62" s="61" t="str">
        <f t="shared" si="1"/>
        <v>Tue 03 - Feb | 11:27 | 3</v>
      </c>
      <c r="D62" s="82">
        <v>0.4771064814814815</v>
      </c>
      <c r="E62" s="83">
        <v>0.48171296296296295</v>
      </c>
      <c r="F62" s="87" t="s">
        <v>160</v>
      </c>
      <c r="I62" s="2">
        <v>3.0</v>
      </c>
      <c r="J62" s="79">
        <v>65.0</v>
      </c>
      <c r="K62" s="79">
        <v>228.2</v>
      </c>
      <c r="L62" s="85">
        <v>251.85</v>
      </c>
      <c r="M62" s="66">
        <f t="shared" si="2"/>
        <v>23.65</v>
      </c>
      <c r="N62" s="66">
        <f t="shared" si="3"/>
        <v>14833</v>
      </c>
      <c r="O62" s="67">
        <f t="shared" si="4"/>
        <v>0.1036371604</v>
      </c>
      <c r="P62" s="67">
        <f t="shared" si="8"/>
        <v>1.739897464</v>
      </c>
      <c r="Q62" s="68">
        <f t="shared" si="7"/>
        <v>183.657</v>
      </c>
      <c r="R62" s="69">
        <f t="shared" si="5"/>
        <v>0.004606481481</v>
      </c>
      <c r="S62" s="70">
        <v>40.0</v>
      </c>
      <c r="T62" s="70">
        <v>36.993326400499996</v>
      </c>
      <c r="U62" s="70">
        <v>1537.2500000000005</v>
      </c>
      <c r="V62" s="70">
        <v>1460.2566735995006</v>
      </c>
      <c r="W62" s="71">
        <f t="shared" si="6"/>
        <v>76.9933264</v>
      </c>
      <c r="X62" s="72"/>
      <c r="Y62" s="72"/>
      <c r="Z62" s="72"/>
      <c r="AA62" s="72"/>
      <c r="AB62" s="72"/>
      <c r="AC62" s="72"/>
      <c r="AD62" s="72"/>
    </row>
    <row r="63">
      <c r="A63" s="59">
        <v>46056.0</v>
      </c>
      <c r="B63" s="64" t="s">
        <v>157</v>
      </c>
      <c r="C63" s="61" t="str">
        <f t="shared" si="1"/>
        <v>Tue 03 - Feb | 11:27 | 3</v>
      </c>
      <c r="D63" s="86">
        <v>0.4771064814814815</v>
      </c>
      <c r="E63" s="83">
        <v>0.48493055555555553</v>
      </c>
      <c r="F63" s="87" t="s">
        <v>160</v>
      </c>
      <c r="I63" s="2">
        <v>3.0</v>
      </c>
      <c r="J63" s="79">
        <v>65.0</v>
      </c>
      <c r="K63" s="79">
        <v>228.2</v>
      </c>
      <c r="L63" s="85">
        <v>242.15</v>
      </c>
      <c r="M63" s="66">
        <f t="shared" si="2"/>
        <v>13.95</v>
      </c>
      <c r="N63" s="66">
        <f t="shared" si="3"/>
        <v>14833</v>
      </c>
      <c r="O63" s="67">
        <f t="shared" si="4"/>
        <v>0.0611305872</v>
      </c>
      <c r="P63" s="67">
        <f t="shared" si="8"/>
        <v>1.801028051</v>
      </c>
      <c r="Q63" s="68">
        <f t="shared" si="7"/>
        <v>197.607</v>
      </c>
      <c r="R63" s="69">
        <f t="shared" si="5"/>
        <v>0.007824074074</v>
      </c>
      <c r="S63" s="70">
        <v>40.0</v>
      </c>
      <c r="T63" s="70">
        <v>36.1022067035</v>
      </c>
      <c r="U63" s="70">
        <v>906.7500000000011</v>
      </c>
      <c r="V63" s="70">
        <v>830.6477932965012</v>
      </c>
      <c r="W63" s="71">
        <f t="shared" si="6"/>
        <v>76.1022067</v>
      </c>
      <c r="X63" s="72"/>
      <c r="Y63" s="72"/>
      <c r="Z63" s="72"/>
      <c r="AA63" s="72"/>
      <c r="AB63" s="72"/>
      <c r="AC63" s="72"/>
      <c r="AD63" s="72"/>
    </row>
    <row r="64">
      <c r="A64" s="59">
        <v>46057.0</v>
      </c>
      <c r="B64" s="64" t="s">
        <v>157</v>
      </c>
      <c r="C64" s="61" t="str">
        <f t="shared" si="1"/>
        <v>Wed 04 - Feb | 10:15 | 1</v>
      </c>
      <c r="D64" s="83">
        <v>0.42712962962962964</v>
      </c>
      <c r="E64" s="83">
        <v>0.4424884259259259</v>
      </c>
      <c r="F64" s="87" t="s">
        <v>161</v>
      </c>
      <c r="H64" s="84"/>
      <c r="I64" s="2">
        <v>1.0</v>
      </c>
      <c r="J64" s="79">
        <v>65.0</v>
      </c>
      <c r="K64" s="79">
        <v>131.15</v>
      </c>
      <c r="L64" s="85">
        <v>152.1</v>
      </c>
      <c r="M64" s="66">
        <f t="shared" si="2"/>
        <v>20.95</v>
      </c>
      <c r="N64" s="66">
        <f t="shared" si="3"/>
        <v>8524.75</v>
      </c>
      <c r="O64" s="67">
        <f t="shared" si="4"/>
        <v>0.1597407549</v>
      </c>
      <c r="P64" s="67">
        <f t="shared" si="8"/>
        <v>1.960768806</v>
      </c>
      <c r="Q64" s="68">
        <f t="shared" si="7"/>
        <v>218.557</v>
      </c>
      <c r="R64" s="69">
        <f t="shared" si="5"/>
        <v>0.0153587963</v>
      </c>
      <c r="S64" s="70">
        <v>40.0</v>
      </c>
      <c r="T64" s="70">
        <v>24.998639982499995</v>
      </c>
      <c r="U64" s="70">
        <v>1361.7499999999993</v>
      </c>
      <c r="V64" s="70">
        <v>1296.7513600174993</v>
      </c>
      <c r="W64" s="71">
        <f t="shared" si="6"/>
        <v>64.99863998</v>
      </c>
      <c r="X64" s="72"/>
      <c r="Y64" s="72"/>
      <c r="Z64" s="72"/>
      <c r="AA64" s="72"/>
      <c r="AB64" s="72"/>
      <c r="AC64" s="72"/>
      <c r="AD64" s="72"/>
    </row>
    <row r="65">
      <c r="A65" s="59">
        <v>46057.0</v>
      </c>
      <c r="B65" s="64" t="s">
        <v>157</v>
      </c>
      <c r="C65" s="61" t="str">
        <f t="shared" si="1"/>
        <v>Wed 04 - Feb | 10:15 | 1</v>
      </c>
      <c r="D65" s="83">
        <v>0.42712962962962964</v>
      </c>
      <c r="E65" s="83">
        <v>0.45038194444444446</v>
      </c>
      <c r="F65" s="87" t="s">
        <v>161</v>
      </c>
      <c r="H65" s="84"/>
      <c r="I65" s="2">
        <v>1.0</v>
      </c>
      <c r="J65" s="79">
        <v>65.0</v>
      </c>
      <c r="K65" s="79">
        <v>131.15</v>
      </c>
      <c r="L65" s="85">
        <v>140.0</v>
      </c>
      <c r="M65" s="66">
        <f t="shared" si="2"/>
        <v>8.85</v>
      </c>
      <c r="N65" s="66">
        <f t="shared" si="3"/>
        <v>8524.75</v>
      </c>
      <c r="O65" s="67">
        <f t="shared" si="4"/>
        <v>0.06747998475</v>
      </c>
      <c r="P65" s="67">
        <f t="shared" si="8"/>
        <v>2.028248791</v>
      </c>
      <c r="Q65" s="68">
        <f t="shared" si="7"/>
        <v>227.407</v>
      </c>
      <c r="R65" s="69">
        <f t="shared" si="5"/>
        <v>0.02325231481</v>
      </c>
      <c r="S65" s="70">
        <v>40.0</v>
      </c>
      <c r="T65" s="70">
        <v>23.8870370615</v>
      </c>
      <c r="U65" s="70">
        <v>575.2499999999997</v>
      </c>
      <c r="V65" s="70">
        <v>511.36296293849966</v>
      </c>
      <c r="W65" s="71">
        <f t="shared" si="6"/>
        <v>63.88703706</v>
      </c>
      <c r="X65" s="72"/>
      <c r="Y65" s="72"/>
      <c r="Z65" s="72"/>
      <c r="AA65" s="72"/>
      <c r="AB65" s="72"/>
      <c r="AC65" s="72"/>
      <c r="AD65" s="72"/>
    </row>
    <row r="66">
      <c r="A66" s="59">
        <v>46057.0</v>
      </c>
      <c r="B66" s="64" t="s">
        <v>157</v>
      </c>
      <c r="C66" s="61" t="str">
        <f t="shared" si="1"/>
        <v>Wed 04 - Feb | 12:48 | 2</v>
      </c>
      <c r="D66" s="83">
        <v>0.5333564814814815</v>
      </c>
      <c r="E66" s="83">
        <v>0.5479976851851852</v>
      </c>
      <c r="F66" s="87" t="s">
        <v>162</v>
      </c>
      <c r="H66" s="84"/>
      <c r="I66" s="2">
        <v>2.0</v>
      </c>
      <c r="J66" s="79">
        <v>65.0</v>
      </c>
      <c r="K66" s="79">
        <v>112.85</v>
      </c>
      <c r="L66" s="85">
        <v>108.0</v>
      </c>
      <c r="M66" s="66">
        <f t="shared" si="2"/>
        <v>-4.85</v>
      </c>
      <c r="N66" s="66">
        <f t="shared" si="3"/>
        <v>7335.25</v>
      </c>
      <c r="O66" s="67">
        <f t="shared" si="4"/>
        <v>-0.04297740363</v>
      </c>
      <c r="P66" s="67">
        <f t="shared" si="8"/>
        <v>1.985271387</v>
      </c>
      <c r="Q66" s="68">
        <f t="shared" si="7"/>
        <v>222.557</v>
      </c>
      <c r="R66" s="69">
        <f t="shared" si="5"/>
        <v>0.0146412037</v>
      </c>
      <c r="S66" s="70">
        <v>40.0</v>
      </c>
      <c r="T66" s="70">
        <v>20.4134678585</v>
      </c>
      <c r="U66" s="70">
        <v>-315.24999999999966</v>
      </c>
      <c r="V66" s="70">
        <v>-375.66346785849964</v>
      </c>
      <c r="W66" s="71">
        <f t="shared" si="6"/>
        <v>60.41346786</v>
      </c>
      <c r="X66" s="72"/>
      <c r="Y66" s="72"/>
      <c r="Z66" s="72"/>
      <c r="AA66" s="72"/>
      <c r="AB66" s="72"/>
      <c r="AC66" s="72"/>
      <c r="AD66" s="72"/>
    </row>
    <row r="67">
      <c r="A67" s="59">
        <v>46058.0</v>
      </c>
      <c r="B67" s="64" t="s">
        <v>157</v>
      </c>
      <c r="C67" s="61" t="str">
        <f t="shared" si="1"/>
        <v>Thu 05 - Feb | 10:24 | 1</v>
      </c>
      <c r="D67" s="83">
        <v>0.4333564814814815</v>
      </c>
      <c r="E67" s="83">
        <v>0.4357638888888889</v>
      </c>
      <c r="F67" s="87" t="s">
        <v>163</v>
      </c>
      <c r="H67" s="84"/>
      <c r="I67" s="2">
        <v>1.0</v>
      </c>
      <c r="J67" s="79">
        <v>65.0</v>
      </c>
      <c r="K67" s="79">
        <v>148.7</v>
      </c>
      <c r="L67" s="85">
        <v>148.0</v>
      </c>
      <c r="M67" s="66">
        <f t="shared" si="2"/>
        <v>-0.7</v>
      </c>
      <c r="N67" s="66">
        <f t="shared" si="3"/>
        <v>9665.5</v>
      </c>
      <c r="O67" s="67">
        <f t="shared" si="4"/>
        <v>-0.004707464694</v>
      </c>
      <c r="P67" s="67">
        <f t="shared" si="8"/>
        <v>1.980563923</v>
      </c>
      <c r="Q67" s="68">
        <f t="shared" si="7"/>
        <v>221.857</v>
      </c>
      <c r="R67" s="69">
        <f t="shared" si="5"/>
        <v>0.002407407407</v>
      </c>
      <c r="S67" s="70">
        <v>40.0</v>
      </c>
      <c r="T67" s="70">
        <v>25.133897267000002</v>
      </c>
      <c r="U67" s="70">
        <v>-45.49999999999926</v>
      </c>
      <c r="V67" s="70">
        <v>-110.63389726699927</v>
      </c>
      <c r="W67" s="71">
        <f t="shared" si="6"/>
        <v>65.13389727</v>
      </c>
      <c r="X67" s="72"/>
      <c r="Y67" s="72"/>
      <c r="Z67" s="72"/>
      <c r="AA67" s="72"/>
      <c r="AB67" s="72"/>
      <c r="AC67" s="72"/>
      <c r="AD67" s="72"/>
    </row>
    <row r="68">
      <c r="A68" s="59">
        <v>46058.0</v>
      </c>
      <c r="B68" s="64" t="s">
        <v>157</v>
      </c>
      <c r="C68" s="61" t="str">
        <f t="shared" si="1"/>
        <v>Thu 05 - Feb | 10:57 | 2</v>
      </c>
      <c r="D68" s="83">
        <v>0.456724537037037</v>
      </c>
      <c r="E68" s="83">
        <v>0.46270833333333333</v>
      </c>
      <c r="F68" s="87" t="s">
        <v>162</v>
      </c>
      <c r="H68" s="84"/>
      <c r="I68" s="2">
        <v>2.0</v>
      </c>
      <c r="J68" s="79">
        <v>130.0</v>
      </c>
      <c r="K68" s="79">
        <v>143.85</v>
      </c>
      <c r="L68" s="85">
        <v>134.45</v>
      </c>
      <c r="M68" s="66">
        <f t="shared" si="2"/>
        <v>-9.4</v>
      </c>
      <c r="N68" s="66">
        <f t="shared" si="3"/>
        <v>18700.5</v>
      </c>
      <c r="O68" s="67">
        <f t="shared" si="4"/>
        <v>-0.06534584637</v>
      </c>
      <c r="P68" s="67">
        <f t="shared" si="8"/>
        <v>1.915218076</v>
      </c>
      <c r="Q68" s="68">
        <f t="shared" si="7"/>
        <v>212.457</v>
      </c>
      <c r="R68" s="69">
        <f t="shared" si="5"/>
        <v>0.005983796296</v>
      </c>
      <c r="S68" s="70">
        <v>40.0</v>
      </c>
      <c r="T68" s="70">
        <v>40.295232066000004</v>
      </c>
      <c r="U68" s="70">
        <v>-1222.0000000000007</v>
      </c>
      <c r="V68" s="70">
        <v>-1302.2952320660006</v>
      </c>
      <c r="W68" s="71">
        <f t="shared" si="6"/>
        <v>80.29523207</v>
      </c>
      <c r="X68" s="72"/>
      <c r="Y68" s="72"/>
      <c r="Z68" s="72"/>
      <c r="AA68" s="72"/>
      <c r="AB68" s="72"/>
      <c r="AC68" s="72"/>
      <c r="AD68" s="72"/>
    </row>
    <row r="69">
      <c r="A69" s="59">
        <v>46058.0</v>
      </c>
      <c r="B69" s="64" t="s">
        <v>157</v>
      </c>
      <c r="C69" s="61" t="str">
        <f t="shared" si="1"/>
        <v>Thu 05 - Feb | 14:59 | 3</v>
      </c>
      <c r="D69" s="83">
        <v>0.6243402777777778</v>
      </c>
      <c r="E69" s="83">
        <v>0.6295023148148148</v>
      </c>
      <c r="F69" s="87" t="s">
        <v>164</v>
      </c>
      <c r="H69" s="84"/>
      <c r="I69" s="2">
        <v>3.0</v>
      </c>
      <c r="J69" s="79">
        <v>130.0</v>
      </c>
      <c r="K69" s="79">
        <v>142.45</v>
      </c>
      <c r="L69" s="85">
        <v>145.3</v>
      </c>
      <c r="M69" s="66">
        <f t="shared" si="2"/>
        <v>2.85</v>
      </c>
      <c r="N69" s="66">
        <f t="shared" si="3"/>
        <v>18518.5</v>
      </c>
      <c r="O69" s="67">
        <f t="shared" si="4"/>
        <v>0.02000702001</v>
      </c>
      <c r="P69" s="67">
        <f t="shared" si="8"/>
        <v>1.935225096</v>
      </c>
      <c r="Q69" s="68">
        <f t="shared" si="7"/>
        <v>215.307</v>
      </c>
      <c r="R69" s="69">
        <f t="shared" si="5"/>
        <v>0.005162037037</v>
      </c>
      <c r="S69" s="70">
        <v>40.0</v>
      </c>
      <c r="T69" s="70">
        <v>42.20709465499999</v>
      </c>
      <c r="U69" s="70">
        <v>370.50000000000296</v>
      </c>
      <c r="V69" s="70">
        <v>288.29290534500296</v>
      </c>
      <c r="W69" s="71">
        <f t="shared" si="6"/>
        <v>82.20709466</v>
      </c>
      <c r="X69" s="72"/>
      <c r="Y69" s="72"/>
      <c r="Z69" s="72"/>
      <c r="AA69" s="72"/>
      <c r="AB69" s="72"/>
      <c r="AC69" s="72"/>
      <c r="AD69" s="72"/>
    </row>
    <row r="70">
      <c r="A70" s="59">
        <v>46059.0</v>
      </c>
      <c r="B70" s="64" t="s">
        <v>157</v>
      </c>
      <c r="C70" s="61" t="str">
        <f t="shared" si="1"/>
        <v>Fri 06 - Feb | 10:45 | 1</v>
      </c>
      <c r="D70" s="82">
        <v>0.4479976851851852</v>
      </c>
      <c r="E70" s="83">
        <v>0.457037037037037</v>
      </c>
      <c r="F70" s="87" t="s">
        <v>165</v>
      </c>
      <c r="H70" s="84"/>
      <c r="I70" s="79">
        <v>1.0</v>
      </c>
      <c r="J70" s="88">
        <v>65.0</v>
      </c>
      <c r="K70" s="79">
        <v>108.8</v>
      </c>
      <c r="L70" s="85">
        <v>99.65</v>
      </c>
      <c r="M70" s="66">
        <f t="shared" si="2"/>
        <v>-9.15</v>
      </c>
      <c r="N70" s="66">
        <f t="shared" si="3"/>
        <v>7072</v>
      </c>
      <c r="O70" s="67">
        <f t="shared" si="4"/>
        <v>-0.08409926471</v>
      </c>
      <c r="P70" s="67">
        <f t="shared" si="8"/>
        <v>1.851125831</v>
      </c>
      <c r="Q70" s="68">
        <f t="shared" si="7"/>
        <v>206.157</v>
      </c>
      <c r="R70" s="69">
        <f t="shared" si="5"/>
        <v>0.009039351852</v>
      </c>
      <c r="S70" s="70">
        <v>40.0</v>
      </c>
      <c r="T70" s="70">
        <v>19.5282354845</v>
      </c>
      <c r="U70" s="70">
        <v>-594.7499999999994</v>
      </c>
      <c r="V70" s="70">
        <v>-654.2782354844994</v>
      </c>
      <c r="W70" s="71">
        <f t="shared" si="6"/>
        <v>59.52823548</v>
      </c>
      <c r="X70" s="72"/>
      <c r="Y70" s="72"/>
      <c r="Z70" s="72"/>
      <c r="AA70" s="72"/>
      <c r="AB70" s="72"/>
      <c r="AC70" s="72"/>
      <c r="AD70" s="72"/>
    </row>
    <row r="71">
      <c r="A71" s="59">
        <v>46059.0</v>
      </c>
      <c r="B71" s="64" t="s">
        <v>157</v>
      </c>
      <c r="C71" s="61" t="str">
        <f t="shared" si="1"/>
        <v>Fri 06 - Feb | 10:45 | 1</v>
      </c>
      <c r="D71" s="86">
        <v>0.4479976851851852</v>
      </c>
      <c r="E71" s="83">
        <v>0.45839120370370373</v>
      </c>
      <c r="F71" s="87" t="s">
        <v>165</v>
      </c>
      <c r="H71" s="84"/>
      <c r="I71" s="79">
        <v>1.0</v>
      </c>
      <c r="J71" s="88">
        <v>65.0</v>
      </c>
      <c r="K71" s="79">
        <v>108.8</v>
      </c>
      <c r="L71" s="85">
        <v>96.75</v>
      </c>
      <c r="M71" s="66">
        <f t="shared" si="2"/>
        <v>-12.05</v>
      </c>
      <c r="N71" s="66">
        <f t="shared" si="3"/>
        <v>7072</v>
      </c>
      <c r="O71" s="67">
        <f t="shared" si="4"/>
        <v>-0.1107536765</v>
      </c>
      <c r="P71" s="67">
        <f t="shared" si="8"/>
        <v>1.740372155</v>
      </c>
      <c r="Q71" s="68">
        <f t="shared" si="7"/>
        <v>194.107</v>
      </c>
      <c r="R71" s="69">
        <f t="shared" si="5"/>
        <v>0.01039351852</v>
      </c>
      <c r="S71" s="70">
        <v>40.0</v>
      </c>
      <c r="T71" s="70">
        <v>19.2618182555</v>
      </c>
      <c r="U71" s="70">
        <v>-783.2499999999998</v>
      </c>
      <c r="V71" s="70">
        <v>-842.5118182554997</v>
      </c>
      <c r="W71" s="71">
        <f t="shared" si="6"/>
        <v>59.26181826</v>
      </c>
      <c r="X71" s="72"/>
      <c r="Y71" s="72"/>
      <c r="Z71" s="72"/>
      <c r="AA71" s="72"/>
      <c r="AB71" s="72"/>
      <c r="AC71" s="72"/>
      <c r="AD71" s="72"/>
    </row>
    <row r="72">
      <c r="A72" s="59">
        <v>46059.0</v>
      </c>
      <c r="B72" s="64" t="s">
        <v>157</v>
      </c>
      <c r="C72" s="61" t="str">
        <f t="shared" si="1"/>
        <v>Fri 06 - Feb | 13:57 | 2</v>
      </c>
      <c r="D72" s="89">
        <v>0.5812731481481481</v>
      </c>
      <c r="E72" s="83">
        <v>0.5879976851851851</v>
      </c>
      <c r="F72" s="87" t="s">
        <v>166</v>
      </c>
      <c r="H72" s="84"/>
      <c r="I72" s="79">
        <v>2.0</v>
      </c>
      <c r="J72" s="88">
        <v>65.0</v>
      </c>
      <c r="K72" s="79">
        <v>122.95</v>
      </c>
      <c r="L72" s="85">
        <v>118.5</v>
      </c>
      <c r="M72" s="66">
        <f t="shared" si="2"/>
        <v>-4.45</v>
      </c>
      <c r="N72" s="66">
        <f t="shared" si="3"/>
        <v>7991.75</v>
      </c>
      <c r="O72" s="67">
        <f t="shared" si="4"/>
        <v>-0.03619357462</v>
      </c>
      <c r="P72" s="67">
        <f t="shared" si="8"/>
        <v>1.70417858</v>
      </c>
      <c r="Q72" s="68">
        <f t="shared" si="7"/>
        <v>189.657</v>
      </c>
      <c r="R72" s="69">
        <f t="shared" si="5"/>
        <v>0.006724537037</v>
      </c>
      <c r="S72" s="70">
        <v>40.0</v>
      </c>
      <c r="T72" s="70">
        <v>21.6726889645</v>
      </c>
      <c r="U72" s="70">
        <v>-289.25000000000017</v>
      </c>
      <c r="V72" s="70">
        <v>-350.92268896450014</v>
      </c>
      <c r="W72" s="71">
        <f t="shared" si="6"/>
        <v>61.67268896</v>
      </c>
      <c r="X72" s="72"/>
      <c r="Y72" s="72"/>
      <c r="Z72" s="72"/>
      <c r="AA72" s="72"/>
      <c r="AB72" s="72"/>
      <c r="AC72" s="72"/>
      <c r="AD72" s="72"/>
    </row>
    <row r="73">
      <c r="A73" s="59">
        <v>46059.0</v>
      </c>
      <c r="B73" s="64" t="s">
        <v>157</v>
      </c>
      <c r="C73" s="61" t="str">
        <f t="shared" si="1"/>
        <v>Fri 06 - Feb | 13:57 | 2</v>
      </c>
      <c r="D73" s="86">
        <v>0.5812731481481481</v>
      </c>
      <c r="E73" s="83">
        <v>0.5880671296296296</v>
      </c>
      <c r="F73" s="87" t="s">
        <v>166</v>
      </c>
      <c r="H73" s="84"/>
      <c r="I73" s="79">
        <v>2.0</v>
      </c>
      <c r="J73" s="88">
        <v>65.0</v>
      </c>
      <c r="K73" s="79">
        <v>122.95</v>
      </c>
      <c r="L73" s="85">
        <v>118.65</v>
      </c>
      <c r="M73" s="66">
        <f t="shared" si="2"/>
        <v>-4.3</v>
      </c>
      <c r="N73" s="66">
        <f t="shared" si="3"/>
        <v>7991.75</v>
      </c>
      <c r="O73" s="67">
        <f t="shared" si="4"/>
        <v>-0.03497356649</v>
      </c>
      <c r="P73" s="67">
        <f t="shared" si="8"/>
        <v>1.669205014</v>
      </c>
      <c r="Q73" s="68">
        <f t="shared" si="7"/>
        <v>185.357</v>
      </c>
      <c r="R73" s="69">
        <f t="shared" si="5"/>
        <v>0.006793981481</v>
      </c>
      <c r="S73" s="70">
        <v>40.0</v>
      </c>
      <c r="T73" s="70">
        <v>21.686469166000002</v>
      </c>
      <c r="U73" s="70">
        <v>-279.49999999999983</v>
      </c>
      <c r="V73" s="70">
        <v>-341.1864691659998</v>
      </c>
      <c r="W73" s="71">
        <f t="shared" si="6"/>
        <v>61.68646917</v>
      </c>
      <c r="X73" s="72"/>
      <c r="Y73" s="72"/>
      <c r="Z73" s="72"/>
      <c r="AA73" s="72"/>
      <c r="AB73" s="72"/>
      <c r="AC73" s="72"/>
      <c r="AD73" s="72"/>
    </row>
    <row r="74">
      <c r="A74" s="13"/>
      <c r="B74" s="13"/>
      <c r="H74" s="84"/>
      <c r="I74" s="84"/>
      <c r="J74" s="84"/>
      <c r="K74" s="68"/>
      <c r="L74" s="66"/>
      <c r="M74" s="84"/>
      <c r="N74" s="73"/>
      <c r="O74" s="73"/>
      <c r="P74" s="73"/>
      <c r="Q74" s="73"/>
      <c r="R74" s="69"/>
      <c r="S74" s="72"/>
      <c r="T74" s="72"/>
      <c r="U74" s="72"/>
      <c r="V74" s="72"/>
      <c r="W74" s="71"/>
      <c r="X74" s="72"/>
      <c r="Y74" s="72"/>
      <c r="Z74" s="72"/>
      <c r="AA74" s="72"/>
      <c r="AB74" s="72"/>
      <c r="AC74" s="72"/>
      <c r="AD74" s="72"/>
    </row>
    <row r="75">
      <c r="A75" s="13"/>
      <c r="B75" s="13"/>
      <c r="H75" s="84"/>
      <c r="I75" s="84"/>
      <c r="J75" s="84"/>
      <c r="K75" s="68"/>
      <c r="L75" s="66"/>
      <c r="M75" s="84"/>
      <c r="N75" s="73"/>
      <c r="O75" s="73"/>
      <c r="P75" s="73"/>
      <c r="Q75" s="73"/>
      <c r="R75" s="69"/>
      <c r="S75" s="72"/>
      <c r="T75" s="72"/>
      <c r="U75" s="72"/>
      <c r="V75" s="72"/>
      <c r="W75" s="71"/>
      <c r="X75" s="72"/>
      <c r="Y75" s="72"/>
      <c r="Z75" s="72"/>
      <c r="AA75" s="72"/>
      <c r="AB75" s="72"/>
      <c r="AC75" s="72"/>
      <c r="AD75" s="72"/>
    </row>
    <row r="76">
      <c r="A76" s="13"/>
      <c r="B76" s="13"/>
      <c r="H76" s="84"/>
      <c r="I76" s="73"/>
      <c r="J76" s="13"/>
      <c r="K76" s="90"/>
      <c r="L76" s="84"/>
      <c r="M76" s="84"/>
      <c r="N76" s="73"/>
      <c r="O76" s="73"/>
      <c r="P76" s="73"/>
      <c r="Q76" s="73"/>
      <c r="R76" s="69"/>
      <c r="S76" s="72"/>
      <c r="T76" s="72"/>
      <c r="U76" s="72"/>
      <c r="V76" s="72"/>
      <c r="W76" s="71"/>
      <c r="X76" s="72"/>
      <c r="Y76" s="72"/>
      <c r="Z76" s="72"/>
      <c r="AA76" s="72"/>
      <c r="AB76" s="72"/>
      <c r="AC76" s="72"/>
      <c r="AD76" s="72"/>
    </row>
    <row r="77">
      <c r="A77" s="13"/>
      <c r="B77" s="13"/>
      <c r="H77" s="84"/>
      <c r="I77" s="13"/>
      <c r="J77" s="13"/>
      <c r="K77" s="68"/>
      <c r="L77" s="84"/>
      <c r="M77" s="84"/>
      <c r="N77" s="73"/>
      <c r="O77" s="73"/>
      <c r="P77" s="73"/>
      <c r="Q77" s="73"/>
      <c r="R77" s="69"/>
      <c r="S77" s="72"/>
      <c r="T77" s="72"/>
      <c r="U77" s="72"/>
      <c r="V77" s="72"/>
      <c r="W77" s="71"/>
      <c r="X77" s="72"/>
      <c r="Y77" s="72"/>
      <c r="Z77" s="72"/>
      <c r="AA77" s="72"/>
      <c r="AB77" s="72"/>
      <c r="AC77" s="72"/>
      <c r="AD77" s="72"/>
    </row>
    <row r="78">
      <c r="A78" s="13"/>
      <c r="B78" s="13"/>
      <c r="H78" s="84"/>
      <c r="I78" s="13"/>
      <c r="J78" s="13"/>
      <c r="K78" s="68"/>
      <c r="L78" s="84"/>
      <c r="M78" s="84"/>
      <c r="N78" s="73"/>
      <c r="O78" s="73"/>
      <c r="P78" s="73"/>
      <c r="Q78" s="73"/>
      <c r="R78" s="69"/>
      <c r="S78" s="72"/>
      <c r="T78" s="72"/>
      <c r="U78" s="72"/>
      <c r="V78" s="72"/>
      <c r="W78" s="71"/>
      <c r="X78" s="72"/>
      <c r="Y78" s="72"/>
      <c r="Z78" s="72"/>
      <c r="AA78" s="72"/>
      <c r="AB78" s="72"/>
      <c r="AC78" s="72"/>
      <c r="AD78" s="72"/>
    </row>
    <row r="79">
      <c r="A79" s="13"/>
      <c r="B79" s="13"/>
      <c r="H79" s="84"/>
      <c r="I79" s="13"/>
      <c r="J79" s="13"/>
      <c r="K79" s="68"/>
      <c r="L79" s="84"/>
      <c r="M79" s="84"/>
      <c r="N79" s="73"/>
      <c r="O79" s="73"/>
      <c r="P79" s="73"/>
      <c r="Q79" s="73"/>
      <c r="R79" s="69"/>
      <c r="S79" s="72"/>
      <c r="T79" s="72"/>
      <c r="U79" s="72"/>
      <c r="V79" s="72"/>
      <c r="W79" s="71"/>
      <c r="X79" s="72"/>
      <c r="Y79" s="72"/>
      <c r="Z79" s="72"/>
      <c r="AA79" s="72"/>
      <c r="AB79" s="72"/>
      <c r="AC79" s="72"/>
      <c r="AD79" s="72"/>
    </row>
  </sheetData>
  <autoFilter ref="$A$1:$AD$79"/>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outlineLevelCol="1" outlineLevelRow="1"/>
  <cols>
    <col customWidth="1" min="1" max="1" width="14.88"/>
    <col customWidth="1" min="2" max="2" width="5.5"/>
    <col customWidth="1" min="3" max="3" width="19.5"/>
    <col collapsed="1" customWidth="1" min="4" max="4" width="13.5"/>
    <col customWidth="1" hidden="1" min="5" max="16" width="13.5" outlineLevel="1"/>
    <col collapsed="1" customWidth="1" min="17" max="17" width="13.5"/>
    <col customWidth="1" hidden="1" min="18" max="30" width="13.5" outlineLevel="1"/>
    <col customWidth="1" hidden="1" min="31" max="31" width="26.38" outlineLevel="1"/>
    <col customWidth="1" hidden="1" min="32" max="35" width="13.5" outlineLevel="1"/>
    <col collapsed="1" customWidth="1" min="36" max="36" width="13.5"/>
    <col customWidth="1" hidden="1" min="37" max="37" width="13.38" outlineLevel="1"/>
    <col customWidth="1" hidden="1" min="38" max="40" width="12.63" outlineLevel="1"/>
    <col customWidth="1" hidden="1" min="41" max="41" width="12.38" outlineLevel="1"/>
    <col customWidth="1" hidden="1" min="42" max="43" width="13.25" outlineLevel="1"/>
    <col customWidth="1" hidden="1" min="44" max="44" width="13.13" outlineLevel="1"/>
    <col customWidth="1" hidden="1" min="45" max="45" width="12.5" outlineLevel="1"/>
    <col customWidth="1" hidden="1" min="46" max="46" width="13.25" outlineLevel="1"/>
    <col customWidth="1" hidden="1" min="47" max="47" width="13.13" outlineLevel="1"/>
    <col customWidth="1" hidden="1" min="48" max="48" width="13.25" outlineLevel="1"/>
    <col customWidth="1" hidden="1" min="49" max="49" width="12.5" outlineLevel="1"/>
    <col customWidth="1" hidden="1" min="50" max="51" width="13.25" outlineLevel="1"/>
    <col customWidth="1" hidden="1" min="52" max="52" width="12.88" outlineLevel="1"/>
    <col customWidth="1" hidden="1" min="53" max="53" width="13.13" outlineLevel="1"/>
    <col customWidth="1" hidden="1" min="54" max="54" width="12.88" outlineLevel="1"/>
    <col customWidth="1" hidden="1" min="55" max="55" width="13.25" outlineLevel="1"/>
    <col customWidth="1" hidden="1" min="56" max="57" width="14.63" outlineLevel="1"/>
    <col collapsed="1" customWidth="1" min="58" max="58" width="14.63"/>
    <col customWidth="1" hidden="1" min="59" max="77" width="14.75" outlineLevel="1"/>
    <col collapsed="1" customWidth="1" min="78" max="78" width="14.75"/>
    <col customWidth="1" hidden="1" min="79" max="85" width="14.75" outlineLevel="1"/>
    <col customWidth="1" hidden="1" min="86" max="86" width="12.38" outlineLevel="1"/>
    <col customWidth="1" hidden="1" min="87" max="87" width="13.63" outlineLevel="1"/>
    <col customWidth="1" hidden="1" min="88" max="88" width="12.38" outlineLevel="1"/>
    <col customWidth="1" hidden="1" min="89" max="89" width="18.63" outlineLevel="1"/>
    <col customWidth="1" hidden="1" min="90" max="90" width="13.0" outlineLevel="1"/>
    <col customWidth="1" hidden="1" min="91" max="91" width="18.0" outlineLevel="1"/>
    <col customWidth="1" hidden="1" min="92" max="92" width="23.63" outlineLevel="1"/>
    <col customWidth="1" hidden="1" min="93" max="93" width="17.13" outlineLevel="1"/>
    <col customWidth="1" hidden="1" min="94" max="94" width="20.38" outlineLevel="1"/>
    <col customWidth="1" hidden="1" min="95" max="95" width="13.5" outlineLevel="1"/>
    <col customWidth="1" hidden="1" min="96" max="96" width="9.75" outlineLevel="1"/>
    <col collapsed="1" customWidth="1" min="97" max="97" width="14.0"/>
    <col customWidth="1" hidden="1" min="98" max="105" width="14.0" outlineLevel="1"/>
    <col customWidth="1" hidden="1" min="106" max="106" width="21.38" outlineLevel="1"/>
    <col customWidth="1" hidden="1" min="107" max="107" width="14.0" outlineLevel="1"/>
    <col customWidth="1" hidden="1" min="108" max="108" width="16.13" outlineLevel="1"/>
    <col customWidth="1" hidden="1" min="109" max="109" width="14.0" outlineLevel="1"/>
    <col customWidth="1" hidden="1" min="110" max="110" width="16.13" outlineLevel="1"/>
    <col customWidth="1" hidden="1" min="111" max="111" width="16.25" outlineLevel="1"/>
    <col customWidth="1" hidden="1" min="112" max="118" width="14.0" outlineLevel="1"/>
    <col collapsed="1" customWidth="1" min="119" max="119" width="14.0"/>
    <col customWidth="1" hidden="1" min="120" max="124" width="14.0" outlineLevel="1"/>
    <col customWidth="1" hidden="1" min="125" max="125" width="14.13" outlineLevel="1"/>
    <col customWidth="1" hidden="1" min="126" max="138" width="14.0" outlineLevel="1"/>
    <col collapsed="1" customWidth="1" min="139" max="139" width="14.0"/>
    <col customWidth="1" hidden="1" min="140" max="158" width="14.0" outlineLevel="1"/>
    <col customWidth="1" min="159" max="161" width="14.0"/>
  </cols>
  <sheetData>
    <row r="1" ht="33.0" customHeight="1">
      <c r="A1" s="91"/>
      <c r="B1" s="91"/>
      <c r="C1" s="91"/>
      <c r="D1" s="91">
        <v>45853.0</v>
      </c>
      <c r="E1" s="91">
        <v>45854.0</v>
      </c>
      <c r="F1" s="91">
        <v>45855.0</v>
      </c>
      <c r="G1" s="91">
        <v>45856.0</v>
      </c>
      <c r="H1" s="91">
        <v>45859.0</v>
      </c>
      <c r="I1" s="91">
        <v>45860.0</v>
      </c>
      <c r="J1" s="91">
        <v>45861.0</v>
      </c>
      <c r="K1" s="91">
        <v>45862.0</v>
      </c>
      <c r="L1" s="91">
        <v>45863.0</v>
      </c>
      <c r="M1" s="91">
        <v>45866.0</v>
      </c>
      <c r="N1" s="91">
        <v>45867.0</v>
      </c>
      <c r="O1" s="91">
        <v>45868.0</v>
      </c>
      <c r="P1" s="91">
        <v>45869.0</v>
      </c>
      <c r="Q1" s="91">
        <v>45870.0</v>
      </c>
      <c r="R1" s="91">
        <v>45873.0</v>
      </c>
      <c r="S1" s="91">
        <v>45874.0</v>
      </c>
      <c r="T1" s="91">
        <v>45875.0</v>
      </c>
      <c r="U1" s="91">
        <v>45876.0</v>
      </c>
      <c r="V1" s="91">
        <v>45877.0</v>
      </c>
      <c r="W1" s="91">
        <v>45880.0</v>
      </c>
      <c r="X1" s="91">
        <v>45881.0</v>
      </c>
      <c r="Y1" s="91">
        <v>45882.0</v>
      </c>
      <c r="Z1" s="91">
        <v>45883.0</v>
      </c>
      <c r="AA1" s="91">
        <v>45887.0</v>
      </c>
      <c r="AB1" s="91">
        <v>45888.0</v>
      </c>
      <c r="AC1" s="91">
        <v>45889.0</v>
      </c>
      <c r="AD1" s="91">
        <v>45890.0</v>
      </c>
      <c r="AE1" s="91">
        <v>45891.0</v>
      </c>
      <c r="AF1" s="91">
        <v>45894.0</v>
      </c>
      <c r="AG1" s="91">
        <v>45895.0</v>
      </c>
      <c r="AH1" s="91">
        <v>45897.0</v>
      </c>
      <c r="AI1" s="91">
        <v>45898.0</v>
      </c>
      <c r="AJ1" s="91">
        <v>45901.0</v>
      </c>
      <c r="AK1" s="91">
        <v>45902.0</v>
      </c>
      <c r="AL1" s="91">
        <v>45903.0</v>
      </c>
      <c r="AM1" s="91">
        <v>45904.0</v>
      </c>
      <c r="AN1" s="91">
        <v>45905.0</v>
      </c>
      <c r="AO1" s="91">
        <v>45908.0</v>
      </c>
      <c r="AP1" s="91">
        <v>45909.0</v>
      </c>
      <c r="AQ1" s="91">
        <v>45910.0</v>
      </c>
      <c r="AR1" s="91">
        <v>45911.0</v>
      </c>
      <c r="AS1" s="91">
        <v>45912.0</v>
      </c>
      <c r="AT1" s="91">
        <v>45915.0</v>
      </c>
      <c r="AU1" s="91">
        <v>45916.0</v>
      </c>
      <c r="AV1" s="91">
        <v>45917.0</v>
      </c>
      <c r="AW1" s="91">
        <v>45918.0</v>
      </c>
      <c r="AX1" s="91">
        <v>45919.0</v>
      </c>
      <c r="AY1" s="91">
        <v>45922.0</v>
      </c>
      <c r="AZ1" s="92">
        <v>45923.0</v>
      </c>
      <c r="BA1" s="91">
        <v>45924.0</v>
      </c>
      <c r="BB1" s="91">
        <v>45925.0</v>
      </c>
      <c r="BC1" s="91">
        <v>45926.0</v>
      </c>
      <c r="BD1" s="91">
        <v>45929.0</v>
      </c>
      <c r="BE1" s="91">
        <v>45930.0</v>
      </c>
      <c r="BF1" s="91">
        <v>45931.0</v>
      </c>
      <c r="BG1" s="91">
        <v>45933.0</v>
      </c>
      <c r="BH1" s="91">
        <v>45936.0</v>
      </c>
      <c r="BI1" s="91">
        <v>45937.0</v>
      </c>
      <c r="BJ1" s="91">
        <v>45938.0</v>
      </c>
      <c r="BK1" s="91">
        <v>45939.0</v>
      </c>
      <c r="BL1" s="91">
        <v>45940.0</v>
      </c>
      <c r="BM1" s="91">
        <v>45943.0</v>
      </c>
      <c r="BN1" s="91">
        <v>45944.0</v>
      </c>
      <c r="BO1" s="91">
        <v>45945.0</v>
      </c>
      <c r="BP1" s="91">
        <v>45946.0</v>
      </c>
      <c r="BQ1" s="91">
        <v>45947.0</v>
      </c>
      <c r="BR1" s="91">
        <v>45950.0</v>
      </c>
      <c r="BS1" s="91">
        <v>45953.0</v>
      </c>
      <c r="BT1" s="91">
        <v>45954.0</v>
      </c>
      <c r="BU1" s="91">
        <v>45957.0</v>
      </c>
      <c r="BV1" s="91">
        <v>45958.0</v>
      </c>
      <c r="BW1" s="91">
        <v>45959.0</v>
      </c>
      <c r="BX1" s="91">
        <v>45960.0</v>
      </c>
      <c r="BY1" s="91">
        <v>45961.0</v>
      </c>
      <c r="BZ1" s="91">
        <v>45964.0</v>
      </c>
      <c r="CA1" s="91">
        <v>45965.0</v>
      </c>
      <c r="CB1" s="91">
        <v>45967.0</v>
      </c>
      <c r="CC1" s="91">
        <v>45968.0</v>
      </c>
      <c r="CD1" s="91">
        <v>45971.0</v>
      </c>
      <c r="CE1" s="91">
        <v>45972.0</v>
      </c>
      <c r="CF1" s="91">
        <v>45973.0</v>
      </c>
      <c r="CG1" s="91">
        <v>45974.0</v>
      </c>
      <c r="CH1" s="91">
        <v>45975.0</v>
      </c>
      <c r="CI1" s="91">
        <v>45978.0</v>
      </c>
      <c r="CJ1" s="91">
        <v>45979.0</v>
      </c>
      <c r="CK1" s="91">
        <v>45980.0</v>
      </c>
      <c r="CL1" s="91">
        <v>45981.0</v>
      </c>
      <c r="CM1" s="91">
        <v>45982.0</v>
      </c>
      <c r="CN1" s="91">
        <v>45985.0</v>
      </c>
      <c r="CO1" s="91">
        <v>45986.0</v>
      </c>
      <c r="CP1" s="91">
        <v>45987.0</v>
      </c>
      <c r="CQ1" s="91">
        <v>45988.0</v>
      </c>
      <c r="CR1" s="91">
        <v>45989.0</v>
      </c>
      <c r="CS1" s="91">
        <v>45992.0</v>
      </c>
      <c r="CT1" s="91">
        <v>45993.0</v>
      </c>
      <c r="CU1" s="91">
        <v>45994.0</v>
      </c>
      <c r="CV1" s="91">
        <v>45995.0</v>
      </c>
      <c r="CW1" s="91">
        <v>45996.0</v>
      </c>
      <c r="CX1" s="91">
        <v>45999.0</v>
      </c>
      <c r="CY1" s="91">
        <v>46000.0</v>
      </c>
      <c r="CZ1" s="91">
        <v>46001.0</v>
      </c>
      <c r="DA1" s="91">
        <v>46002.0</v>
      </c>
      <c r="DB1" s="91">
        <v>46003.0</v>
      </c>
      <c r="DC1" s="91">
        <v>46006.0</v>
      </c>
      <c r="DD1" s="91">
        <v>46007.0</v>
      </c>
      <c r="DE1" s="91">
        <v>46008.0</v>
      </c>
      <c r="DF1" s="91">
        <v>46009.0</v>
      </c>
      <c r="DG1" s="91">
        <v>46010.0</v>
      </c>
      <c r="DH1" s="91">
        <v>46013.0</v>
      </c>
      <c r="DI1" s="91">
        <v>46014.0</v>
      </c>
      <c r="DJ1" s="91">
        <v>46015.0</v>
      </c>
      <c r="DK1" s="91">
        <v>46017.0</v>
      </c>
      <c r="DL1" s="91">
        <v>46020.0</v>
      </c>
      <c r="DM1" s="91">
        <v>46021.0</v>
      </c>
      <c r="DN1" s="91">
        <v>46022.0</v>
      </c>
      <c r="DO1" s="91">
        <v>46023.0</v>
      </c>
      <c r="DP1" s="91">
        <v>46024.0</v>
      </c>
      <c r="DQ1" s="91">
        <v>46027.0</v>
      </c>
      <c r="DR1" s="91">
        <v>46028.0</v>
      </c>
      <c r="DS1" s="91">
        <v>46029.0</v>
      </c>
      <c r="DT1" s="91">
        <v>46030.0</v>
      </c>
      <c r="DU1" s="91">
        <v>46031.0</v>
      </c>
      <c r="DV1" s="91">
        <v>46034.0</v>
      </c>
      <c r="DW1" s="91">
        <v>46035.0</v>
      </c>
      <c r="DX1" s="91">
        <v>46036.0</v>
      </c>
      <c r="DY1" s="91">
        <v>46038.0</v>
      </c>
      <c r="DZ1" s="91">
        <v>46041.0</v>
      </c>
      <c r="EA1" s="91">
        <v>46042.0</v>
      </c>
      <c r="EB1" s="91">
        <v>46043.0</v>
      </c>
      <c r="EC1" s="91">
        <v>46044.0</v>
      </c>
      <c r="ED1" s="91">
        <v>46045.0</v>
      </c>
      <c r="EE1" s="91">
        <v>46049.0</v>
      </c>
      <c r="EF1" s="91">
        <v>46050.0</v>
      </c>
      <c r="EG1" s="91">
        <v>46051.0</v>
      </c>
      <c r="EH1" s="91">
        <v>46052.0</v>
      </c>
      <c r="EI1" s="91">
        <v>46054.0</v>
      </c>
      <c r="EJ1" s="91">
        <v>46054.0</v>
      </c>
      <c r="EK1" s="91">
        <v>46055.0</v>
      </c>
      <c r="EL1" s="91">
        <v>46056.0</v>
      </c>
      <c r="EM1" s="91">
        <v>46057.0</v>
      </c>
      <c r="EN1" s="91">
        <v>46058.0</v>
      </c>
      <c r="EO1" s="91">
        <v>46059.0</v>
      </c>
      <c r="EP1" s="91">
        <v>46062.0</v>
      </c>
      <c r="EQ1" s="91">
        <v>46063.0</v>
      </c>
      <c r="ER1" s="91">
        <v>46064.0</v>
      </c>
      <c r="ES1" s="91">
        <v>46065.0</v>
      </c>
      <c r="ET1" s="91">
        <v>46066.0</v>
      </c>
      <c r="EU1" s="91">
        <v>46069.0</v>
      </c>
      <c r="EV1" s="91">
        <v>46070.0</v>
      </c>
      <c r="EW1" s="91">
        <v>46071.0</v>
      </c>
      <c r="EX1" s="91">
        <v>46072.0</v>
      </c>
      <c r="EY1" s="91">
        <v>46073.0</v>
      </c>
      <c r="EZ1" s="91">
        <v>46076.0</v>
      </c>
      <c r="FA1" s="91">
        <v>46077.0</v>
      </c>
      <c r="FB1" s="91">
        <v>46078.0</v>
      </c>
      <c r="FC1" s="91">
        <v>46079.0</v>
      </c>
      <c r="FD1" s="91"/>
      <c r="FE1" s="91"/>
    </row>
    <row r="2">
      <c r="A2" s="93" t="s">
        <v>167</v>
      </c>
      <c r="B2" s="93"/>
      <c r="C2" s="94"/>
      <c r="D2" s="95"/>
      <c r="E2" s="95"/>
      <c r="F2" s="95"/>
      <c r="G2" s="95"/>
      <c r="H2" s="95"/>
      <c r="I2" s="95"/>
      <c r="J2" s="95"/>
      <c r="K2" s="95"/>
      <c r="L2" s="95"/>
      <c r="M2" s="95"/>
      <c r="N2" s="95"/>
      <c r="O2" s="95"/>
      <c r="P2" s="95"/>
      <c r="Q2" s="96">
        <v>-1023.75</v>
      </c>
      <c r="R2" s="97">
        <v>2635.5</v>
      </c>
      <c r="S2" s="96">
        <v>-1974.0</v>
      </c>
      <c r="T2" s="96">
        <v>-1790.25</v>
      </c>
      <c r="U2" s="96">
        <v>-38.5</v>
      </c>
      <c r="V2" s="96">
        <v>-792.75</v>
      </c>
      <c r="W2" s="96">
        <v>-2184.0</v>
      </c>
      <c r="X2" s="97">
        <v>450.5</v>
      </c>
      <c r="Y2" s="97">
        <v>25.25</v>
      </c>
      <c r="Z2" s="96">
        <v>-418.25</v>
      </c>
      <c r="AA2" s="97">
        <v>1384.25</v>
      </c>
      <c r="AB2" s="96">
        <v>-1768.0</v>
      </c>
      <c r="AC2" s="97">
        <v>1606.5</v>
      </c>
      <c r="AD2" s="97">
        <v>392.0</v>
      </c>
      <c r="AE2" s="96">
        <v>-2826.25</v>
      </c>
      <c r="AF2" s="97">
        <v>1363.25</v>
      </c>
      <c r="AG2" s="97">
        <v>208.25</v>
      </c>
      <c r="AH2" s="97">
        <v>1940.75</v>
      </c>
      <c r="AI2" s="97">
        <v>716.5</v>
      </c>
      <c r="AJ2" s="98">
        <v>-810.0</v>
      </c>
      <c r="AK2" s="98">
        <v>1347.5</v>
      </c>
      <c r="AL2" s="98">
        <v>768.75</v>
      </c>
      <c r="AM2" s="98">
        <v>1200.0</v>
      </c>
      <c r="AN2" s="98">
        <v>-9614.75</v>
      </c>
      <c r="AO2" s="98">
        <v>2876.25</v>
      </c>
      <c r="AP2" s="98">
        <v>958.0</v>
      </c>
      <c r="AQ2" s="99">
        <v>-1200.0</v>
      </c>
      <c r="AR2" s="99">
        <v>-810.0</v>
      </c>
      <c r="AS2" s="99">
        <v>-3300.0</v>
      </c>
      <c r="AT2" s="99">
        <v>-1064.0</v>
      </c>
      <c r="AU2" s="98">
        <v>375.0</v>
      </c>
      <c r="AV2" s="98">
        <v>-3183.75</v>
      </c>
      <c r="AW2" s="98">
        <v>321.0</v>
      </c>
      <c r="AX2" s="98">
        <v>-1930.25</v>
      </c>
      <c r="AY2" s="98">
        <v>1088.5</v>
      </c>
      <c r="AZ2" s="98">
        <v>-2640.75</v>
      </c>
      <c r="BA2" s="98">
        <v>772.5</v>
      </c>
      <c r="BB2" s="98">
        <v>-25.5</v>
      </c>
      <c r="BC2" s="98">
        <v>-2539.75</v>
      </c>
      <c r="BD2" s="98">
        <v>1041.25</v>
      </c>
      <c r="BE2" s="98">
        <v>705.25</v>
      </c>
      <c r="BF2" s="100">
        <v>1146.25</v>
      </c>
      <c r="BG2" s="101">
        <v>-3927.0</v>
      </c>
      <c r="BH2" s="100">
        <v>908.0</v>
      </c>
      <c r="BI2" s="100">
        <v>3112.0</v>
      </c>
      <c r="BJ2" s="101">
        <v>-2219.0</v>
      </c>
      <c r="BK2" s="101">
        <v>-2000.0</v>
      </c>
      <c r="BL2" s="102">
        <v>3000.0</v>
      </c>
      <c r="BM2" s="101">
        <v>-2227.0</v>
      </c>
      <c r="BN2" s="100"/>
      <c r="BO2" s="100"/>
      <c r="BP2" s="100"/>
      <c r="BQ2" s="100"/>
      <c r="BR2" s="100"/>
      <c r="BS2" s="100"/>
      <c r="BT2" s="100"/>
      <c r="BU2" s="100"/>
      <c r="BV2" s="100"/>
      <c r="BW2" s="100"/>
      <c r="BX2" s="100"/>
      <c r="BY2" s="100"/>
      <c r="BZ2" s="100"/>
      <c r="CA2" s="100"/>
      <c r="CB2" s="100"/>
      <c r="CC2" s="100"/>
      <c r="CD2" s="100"/>
      <c r="CE2" s="100"/>
      <c r="CF2" s="100"/>
      <c r="CG2" s="100"/>
      <c r="CH2" s="100"/>
      <c r="CI2" s="100"/>
      <c r="CJ2" s="100"/>
      <c r="CK2" s="100"/>
      <c r="CL2" s="100"/>
      <c r="CM2" s="100"/>
      <c r="CN2" s="100"/>
      <c r="CO2" s="100"/>
      <c r="CP2" s="100"/>
      <c r="CQ2" s="100"/>
      <c r="CR2" s="100"/>
      <c r="CS2" s="100"/>
      <c r="CT2" s="100"/>
      <c r="CU2" s="100"/>
      <c r="CV2" s="100"/>
      <c r="CW2" s="100"/>
      <c r="CX2" s="100"/>
      <c r="CY2" s="100"/>
      <c r="CZ2" s="100"/>
      <c r="DA2" s="102" t="s">
        <v>168</v>
      </c>
      <c r="DB2" s="100"/>
      <c r="DC2" s="100"/>
      <c r="DD2" s="100"/>
      <c r="DE2" s="100"/>
      <c r="DF2" s="100"/>
      <c r="DG2" s="100"/>
      <c r="DH2" s="100"/>
      <c r="DI2" s="100"/>
      <c r="DJ2" s="100"/>
      <c r="DK2" s="100"/>
      <c r="DL2" s="100"/>
      <c r="DM2" s="100"/>
      <c r="DN2" s="100"/>
      <c r="DO2" s="100"/>
      <c r="DP2" s="100"/>
      <c r="DQ2" s="100"/>
      <c r="DR2" s="100"/>
      <c r="DS2" s="100"/>
      <c r="DT2" s="100"/>
      <c r="DU2" s="100"/>
      <c r="DV2" s="100"/>
      <c r="DW2" s="100"/>
      <c r="DX2" s="100"/>
      <c r="DY2" s="100"/>
      <c r="DZ2" s="100"/>
      <c r="EA2" s="100"/>
      <c r="EB2" s="100"/>
      <c r="EC2" s="100"/>
      <c r="ED2" s="100"/>
      <c r="EE2" s="100"/>
      <c r="EF2" s="100"/>
      <c r="EG2" s="100"/>
      <c r="EH2" s="100"/>
      <c r="EI2" s="100"/>
      <c r="EJ2" s="100"/>
      <c r="EK2" s="100"/>
      <c r="EL2" s="100"/>
      <c r="EM2" s="100"/>
      <c r="EN2" s="100"/>
      <c r="EO2" s="100"/>
      <c r="EP2" s="100"/>
      <c r="EQ2" s="100"/>
      <c r="ER2" s="100"/>
      <c r="ES2" s="100"/>
      <c r="ET2" s="100"/>
      <c r="EU2" s="100"/>
      <c r="EV2" s="100"/>
      <c r="EW2" s="100"/>
      <c r="EX2" s="100"/>
      <c r="EY2" s="100"/>
      <c r="EZ2" s="100"/>
      <c r="FA2" s="100"/>
      <c r="FB2" s="100"/>
      <c r="FC2" s="100"/>
      <c r="FD2" s="100"/>
      <c r="FE2" s="100"/>
    </row>
    <row r="3">
      <c r="A3" s="93" t="s">
        <v>89</v>
      </c>
      <c r="B3" s="93"/>
      <c r="C3" s="94"/>
      <c r="D3" s="99"/>
      <c r="E3" s="99"/>
      <c r="F3" s="99"/>
      <c r="G3" s="99"/>
      <c r="H3" s="99"/>
      <c r="I3" s="99"/>
      <c r="J3" s="99"/>
      <c r="K3" s="99"/>
      <c r="L3" s="99"/>
      <c r="M3" s="99"/>
      <c r="N3" s="99"/>
      <c r="O3" s="99"/>
      <c r="P3" s="99"/>
      <c r="Q3" s="99">
        <v>6.0</v>
      </c>
      <c r="R3" s="99">
        <v>3.0</v>
      </c>
      <c r="S3" s="99">
        <v>5.0</v>
      </c>
      <c r="T3" s="99">
        <v>2.0</v>
      </c>
      <c r="U3" s="99">
        <v>6.0</v>
      </c>
      <c r="V3" s="99">
        <v>3.0</v>
      </c>
      <c r="W3" s="99">
        <v>2.0</v>
      </c>
      <c r="X3" s="99">
        <v>3.0</v>
      </c>
      <c r="Y3" s="99">
        <v>8.0</v>
      </c>
      <c r="Z3" s="99">
        <v>7.0</v>
      </c>
      <c r="AA3" s="99">
        <v>2.0</v>
      </c>
      <c r="AB3" s="99">
        <v>9.0</v>
      </c>
      <c r="AC3" s="99">
        <v>4.0</v>
      </c>
      <c r="AD3" s="99">
        <v>4.0</v>
      </c>
      <c r="AE3" s="99">
        <v>9.0</v>
      </c>
      <c r="AF3" s="99">
        <v>1.0</v>
      </c>
      <c r="AG3" s="99">
        <v>2.0</v>
      </c>
      <c r="AH3" s="99">
        <v>2.0</v>
      </c>
      <c r="AI3" s="99">
        <v>2.0</v>
      </c>
      <c r="AJ3" s="98">
        <v>6.0</v>
      </c>
      <c r="AK3" s="98">
        <v>1.0</v>
      </c>
      <c r="AL3" s="98">
        <v>2.0</v>
      </c>
      <c r="AM3" s="98">
        <v>3.0</v>
      </c>
      <c r="AN3" s="98">
        <v>5.0</v>
      </c>
      <c r="AO3" s="98">
        <v>4.0</v>
      </c>
      <c r="AP3" s="98">
        <v>10.0</v>
      </c>
      <c r="AQ3" s="103">
        <v>4.0</v>
      </c>
      <c r="AR3" s="103">
        <v>3.0</v>
      </c>
      <c r="AS3" s="103">
        <v>7.0</v>
      </c>
      <c r="AT3" s="103">
        <v>2.0</v>
      </c>
      <c r="AU3" s="98">
        <v>1.0</v>
      </c>
      <c r="AV3" s="98">
        <v>5.0</v>
      </c>
      <c r="AW3" s="98">
        <v>7.0</v>
      </c>
      <c r="AX3" s="98">
        <v>13.0</v>
      </c>
      <c r="AY3" s="98">
        <v>2.0</v>
      </c>
      <c r="AZ3" s="98">
        <v>11.0</v>
      </c>
      <c r="BA3" s="98">
        <v>1.0</v>
      </c>
      <c r="BB3" s="98">
        <v>9.0</v>
      </c>
      <c r="BC3" s="98">
        <v>9.0</v>
      </c>
      <c r="BD3" s="98">
        <v>1.0</v>
      </c>
      <c r="BE3" s="98">
        <v>1.0</v>
      </c>
      <c r="BF3" s="104">
        <v>1.0</v>
      </c>
      <c r="BG3" s="104">
        <v>5.0</v>
      </c>
      <c r="BH3" s="105">
        <v>1.0</v>
      </c>
      <c r="BI3" s="106"/>
      <c r="BJ3" s="106"/>
      <c r="BK3" s="106"/>
      <c r="BL3" s="106"/>
      <c r="BM3" s="106"/>
      <c r="BN3" s="106"/>
      <c r="BO3" s="106"/>
      <c r="BP3" s="106"/>
      <c r="BQ3" s="106"/>
      <c r="BR3" s="106"/>
      <c r="BS3" s="106"/>
      <c r="BT3" s="106"/>
      <c r="BU3" s="106"/>
      <c r="BV3" s="106"/>
      <c r="BW3" s="106"/>
      <c r="BX3" s="106"/>
      <c r="BY3" s="106"/>
      <c r="BZ3" s="106"/>
      <c r="CA3" s="106"/>
      <c r="CB3" s="106"/>
      <c r="CC3" s="106"/>
      <c r="CD3" s="106"/>
      <c r="CE3" s="106"/>
      <c r="CF3" s="106"/>
      <c r="CG3" s="106"/>
      <c r="CH3" s="106"/>
      <c r="CI3" s="106"/>
      <c r="CJ3" s="106"/>
      <c r="CK3" s="106"/>
      <c r="CL3" s="106"/>
      <c r="CM3" s="106"/>
      <c r="CN3" s="106"/>
      <c r="CO3" s="106"/>
      <c r="CP3" s="106"/>
      <c r="CQ3" s="106"/>
      <c r="CR3" s="106"/>
      <c r="CS3" s="107"/>
      <c r="CT3" s="106"/>
      <c r="CU3" s="106"/>
      <c r="CV3" s="106"/>
      <c r="CW3" s="106"/>
      <c r="CX3" s="106"/>
      <c r="CY3" s="106"/>
      <c r="CZ3" s="106"/>
      <c r="DA3" s="106"/>
      <c r="DB3" s="106"/>
      <c r="DC3" s="108"/>
      <c r="DD3" s="106"/>
      <c r="DE3" s="106"/>
      <c r="DF3" s="106"/>
      <c r="DG3" s="106"/>
      <c r="DH3" s="106"/>
      <c r="DI3" s="106"/>
      <c r="DJ3" s="106"/>
      <c r="DK3" s="106"/>
      <c r="DL3" s="106"/>
      <c r="DM3" s="106"/>
      <c r="DN3" s="106"/>
      <c r="DO3" s="106"/>
      <c r="DP3" s="106"/>
      <c r="DQ3" s="106"/>
      <c r="DR3" s="106"/>
      <c r="DS3" s="106"/>
      <c r="DT3" s="106"/>
      <c r="DU3" s="106"/>
      <c r="DV3" s="106"/>
      <c r="DW3" s="106"/>
      <c r="DX3" s="106"/>
      <c r="DY3" s="106"/>
      <c r="DZ3" s="106"/>
      <c r="EA3" s="106"/>
      <c r="EB3" s="106"/>
      <c r="EC3" s="106"/>
      <c r="ED3" s="106"/>
      <c r="EE3" s="106"/>
      <c r="EF3" s="106"/>
      <c r="EG3" s="106"/>
      <c r="EH3" s="106"/>
      <c r="EI3" s="106"/>
      <c r="EJ3" s="106"/>
      <c r="EK3" s="106"/>
      <c r="EL3" s="106"/>
      <c r="EM3" s="106"/>
      <c r="EN3" s="106"/>
      <c r="EO3" s="106"/>
      <c r="EP3" s="106"/>
      <c r="EQ3" s="106"/>
      <c r="ER3" s="106"/>
      <c r="ES3" s="106"/>
      <c r="ET3" s="106"/>
      <c r="EU3" s="106"/>
      <c r="EV3" s="106"/>
      <c r="EW3" s="106"/>
      <c r="EX3" s="106"/>
      <c r="EY3" s="106"/>
      <c r="EZ3" s="106"/>
      <c r="FA3" s="106"/>
      <c r="FB3" s="106"/>
      <c r="FC3" s="106"/>
      <c r="FD3" s="106"/>
      <c r="FE3" s="106"/>
    </row>
    <row r="4">
      <c r="A4" s="93"/>
      <c r="B4" s="93"/>
      <c r="C4" s="94"/>
      <c r="D4" s="99"/>
      <c r="E4" s="99"/>
      <c r="F4" s="99"/>
      <c r="G4" s="99"/>
      <c r="H4" s="99"/>
      <c r="I4" s="99"/>
      <c r="J4" s="99"/>
      <c r="K4" s="99"/>
      <c r="L4" s="99"/>
      <c r="M4" s="99"/>
      <c r="N4" s="99"/>
      <c r="O4" s="99"/>
      <c r="P4" s="99"/>
      <c r="Q4" s="99"/>
      <c r="R4" s="99"/>
      <c r="S4" s="99"/>
      <c r="T4" s="99"/>
      <c r="U4" s="99"/>
      <c r="V4" s="99"/>
      <c r="W4" s="99"/>
      <c r="X4" s="99"/>
      <c r="Y4" s="99"/>
      <c r="Z4" s="99"/>
      <c r="AA4" s="99"/>
      <c r="AB4" s="99"/>
      <c r="AC4" s="99"/>
      <c r="AD4" s="99"/>
      <c r="AE4" s="99"/>
      <c r="AF4" s="99"/>
      <c r="AG4" s="99"/>
      <c r="AH4" s="99"/>
      <c r="AI4" s="99"/>
      <c r="AJ4" s="98"/>
      <c r="AK4" s="109"/>
      <c r="AL4" s="98"/>
      <c r="AM4" s="98"/>
      <c r="AN4" s="98"/>
      <c r="AO4" s="98"/>
      <c r="AP4" s="98"/>
      <c r="AQ4" s="103"/>
      <c r="AR4" s="103"/>
      <c r="AS4" s="103"/>
      <c r="AT4" s="103"/>
      <c r="AU4" s="98"/>
      <c r="AV4" s="98"/>
      <c r="AW4" s="98"/>
      <c r="AX4" s="98"/>
      <c r="AY4" s="98"/>
      <c r="AZ4" s="98"/>
      <c r="BA4" s="98"/>
      <c r="BB4" s="98"/>
      <c r="BC4" s="98"/>
      <c r="BD4" s="98"/>
      <c r="BE4" s="98"/>
      <c r="BF4" s="104"/>
      <c r="BG4" s="104"/>
      <c r="BH4" s="105"/>
      <c r="BI4" s="106"/>
      <c r="BJ4" s="106"/>
      <c r="BK4" s="106"/>
      <c r="BL4" s="106"/>
      <c r="BM4" s="106"/>
      <c r="BN4" s="106"/>
      <c r="BO4" s="106"/>
      <c r="BP4" s="106"/>
      <c r="BQ4" s="106"/>
      <c r="BR4" s="106"/>
      <c r="BS4" s="106"/>
      <c r="BT4" s="106"/>
      <c r="BU4" s="106"/>
      <c r="BV4" s="106"/>
      <c r="BW4" s="106"/>
      <c r="BX4" s="106"/>
      <c r="BY4" s="106"/>
      <c r="BZ4" s="106"/>
      <c r="CA4" s="106"/>
      <c r="CB4" s="106"/>
      <c r="CC4" s="106"/>
      <c r="CD4" s="106"/>
      <c r="CE4" s="106"/>
      <c r="CF4" s="106"/>
      <c r="CG4" s="106"/>
      <c r="CH4" s="106"/>
      <c r="CI4" s="106"/>
      <c r="CJ4" s="106"/>
      <c r="CK4" s="106"/>
      <c r="CL4" s="106"/>
      <c r="CM4" s="106"/>
      <c r="CN4" s="106"/>
      <c r="CO4" s="106"/>
      <c r="CP4" s="106"/>
      <c r="CQ4" s="106"/>
      <c r="CR4" s="106"/>
      <c r="CS4" s="107"/>
      <c r="CT4" s="106"/>
      <c r="CU4" s="106"/>
      <c r="CV4" s="106"/>
      <c r="CW4" s="106"/>
      <c r="CX4" s="108"/>
      <c r="CY4" s="106"/>
      <c r="CZ4" s="106"/>
      <c r="DA4" s="106"/>
      <c r="DB4" s="106"/>
      <c r="DC4" s="108"/>
      <c r="DD4" s="106"/>
      <c r="DE4" s="106"/>
      <c r="DF4" s="108"/>
      <c r="DG4" s="106"/>
      <c r="DH4" s="106"/>
      <c r="DI4" s="106"/>
      <c r="DJ4" s="106"/>
      <c r="DK4" s="106"/>
      <c r="DL4" s="110"/>
      <c r="DM4" s="108"/>
      <c r="DN4" s="110"/>
      <c r="DO4" s="108"/>
      <c r="DP4" s="108"/>
      <c r="DQ4" s="106"/>
      <c r="DR4" s="106"/>
      <c r="DS4" s="106"/>
      <c r="DT4" s="106"/>
      <c r="DU4" s="108"/>
      <c r="DV4" s="106"/>
      <c r="DW4" s="106"/>
      <c r="DX4" s="106"/>
      <c r="DY4" s="106"/>
      <c r="DZ4" s="106"/>
      <c r="EA4" s="106"/>
      <c r="EB4" s="106"/>
      <c r="EC4" s="106"/>
      <c r="ED4" s="106"/>
      <c r="EE4" s="106"/>
      <c r="EF4" s="106"/>
      <c r="EG4" s="106"/>
      <c r="EH4" s="106"/>
      <c r="EI4" s="106"/>
      <c r="EJ4" s="106"/>
      <c r="EK4" s="106"/>
      <c r="EL4" s="106"/>
      <c r="EM4" s="106"/>
      <c r="EN4" s="106"/>
      <c r="EO4" s="106"/>
      <c r="EP4" s="106"/>
      <c r="EQ4" s="106"/>
      <c r="ER4" s="106"/>
      <c r="ES4" s="106"/>
      <c r="ET4" s="106"/>
      <c r="EU4" s="106"/>
      <c r="EV4" s="106"/>
      <c r="EW4" s="106"/>
      <c r="EX4" s="106"/>
      <c r="EY4" s="106"/>
      <c r="EZ4" s="106"/>
      <c r="FA4" s="106"/>
      <c r="FB4" s="106"/>
      <c r="FC4" s="106"/>
      <c r="FD4" s="106"/>
      <c r="FE4" s="106"/>
    </row>
    <row r="5">
      <c r="A5" s="93" t="s">
        <v>169</v>
      </c>
      <c r="B5" s="93"/>
      <c r="C5" s="94"/>
      <c r="D5" s="106"/>
      <c r="E5" s="106"/>
      <c r="F5" s="106"/>
      <c r="G5" s="106"/>
      <c r="H5" s="106"/>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11" t="s">
        <v>170</v>
      </c>
      <c r="AK5" s="111" t="s">
        <v>171</v>
      </c>
      <c r="AL5" s="111" t="s">
        <v>172</v>
      </c>
      <c r="AM5" s="111" t="s">
        <v>173</v>
      </c>
      <c r="AN5" s="111" t="s">
        <v>174</v>
      </c>
      <c r="AO5" s="111" t="s">
        <v>175</v>
      </c>
      <c r="AP5" s="111" t="s">
        <v>176</v>
      </c>
      <c r="AQ5" s="111" t="s">
        <v>177</v>
      </c>
      <c r="AR5" s="111" t="s">
        <v>178</v>
      </c>
      <c r="AS5" s="111" t="s">
        <v>179</v>
      </c>
      <c r="AT5" s="111" t="s">
        <v>180</v>
      </c>
      <c r="AU5" s="111" t="s">
        <v>181</v>
      </c>
      <c r="AV5" s="111" t="s">
        <v>182</v>
      </c>
      <c r="AW5" s="111" t="s">
        <v>183</v>
      </c>
      <c r="AX5" s="111" t="s">
        <v>184</v>
      </c>
      <c r="AY5" s="111" t="s">
        <v>185</v>
      </c>
      <c r="AZ5" s="111" t="s">
        <v>186</v>
      </c>
      <c r="BA5" s="111" t="s">
        <v>187</v>
      </c>
      <c r="BB5" s="111" t="s">
        <v>188</v>
      </c>
      <c r="BC5" s="111" t="s">
        <v>189</v>
      </c>
      <c r="BD5" s="111" t="s">
        <v>190</v>
      </c>
      <c r="BE5" s="111" t="s">
        <v>191</v>
      </c>
      <c r="BF5" s="111" t="s">
        <v>192</v>
      </c>
      <c r="BG5" s="111" t="s">
        <v>193</v>
      </c>
      <c r="BH5" s="111" t="s">
        <v>194</v>
      </c>
      <c r="BI5" s="111" t="s">
        <v>195</v>
      </c>
      <c r="BJ5" s="111" t="s">
        <v>196</v>
      </c>
      <c r="BK5" s="111" t="s">
        <v>197</v>
      </c>
      <c r="BL5" s="111" t="s">
        <v>198</v>
      </c>
      <c r="BM5" s="111" t="s">
        <v>199</v>
      </c>
      <c r="BN5" s="111" t="s">
        <v>200</v>
      </c>
      <c r="BO5" s="111" t="s">
        <v>201</v>
      </c>
      <c r="BP5" s="111" t="s">
        <v>202</v>
      </c>
      <c r="BQ5" s="111" t="s">
        <v>203</v>
      </c>
      <c r="BR5" s="111" t="s">
        <v>204</v>
      </c>
      <c r="BS5" s="111" t="s">
        <v>205</v>
      </c>
      <c r="BT5" s="111" t="s">
        <v>206</v>
      </c>
      <c r="BU5" s="111" t="s">
        <v>207</v>
      </c>
      <c r="BV5" s="111" t="s">
        <v>208</v>
      </c>
      <c r="BW5" s="111" t="s">
        <v>209</v>
      </c>
      <c r="BX5" s="111" t="s">
        <v>210</v>
      </c>
      <c r="BY5" s="111" t="s">
        <v>211</v>
      </c>
      <c r="BZ5" s="111" t="s">
        <v>212</v>
      </c>
      <c r="CA5" s="111" t="s">
        <v>213</v>
      </c>
      <c r="CB5" s="111" t="s">
        <v>214</v>
      </c>
      <c r="CC5" s="111" t="s">
        <v>215</v>
      </c>
      <c r="CD5" s="111" t="s">
        <v>216</v>
      </c>
      <c r="CE5" s="111" t="s">
        <v>217</v>
      </c>
      <c r="CF5" s="111" t="s">
        <v>218</v>
      </c>
      <c r="CG5" s="111" t="s">
        <v>219</v>
      </c>
      <c r="CH5" s="111" t="s">
        <v>220</v>
      </c>
      <c r="CI5" s="111" t="s">
        <v>221</v>
      </c>
      <c r="CJ5" s="111" t="s">
        <v>222</v>
      </c>
      <c r="CK5" s="111" t="s">
        <v>223</v>
      </c>
      <c r="CL5" s="111" t="s">
        <v>224</v>
      </c>
      <c r="CM5" s="111" t="s">
        <v>225</v>
      </c>
      <c r="CN5" s="111" t="s">
        <v>226</v>
      </c>
      <c r="CO5" s="111" t="s">
        <v>227</v>
      </c>
      <c r="CP5" s="111" t="s">
        <v>228</v>
      </c>
      <c r="CQ5" s="111" t="s">
        <v>229</v>
      </c>
      <c r="CR5" s="111" t="s">
        <v>230</v>
      </c>
      <c r="CS5" s="107" t="s">
        <v>231</v>
      </c>
      <c r="CT5" s="111" t="s">
        <v>232</v>
      </c>
      <c r="CU5" s="111" t="s">
        <v>233</v>
      </c>
      <c r="CV5" s="111" t="s">
        <v>234</v>
      </c>
      <c r="CW5" s="111" t="s">
        <v>235</v>
      </c>
      <c r="CX5" s="112" t="s">
        <v>236</v>
      </c>
      <c r="CY5" s="111" t="s">
        <v>237</v>
      </c>
      <c r="CZ5" s="111" t="s">
        <v>238</v>
      </c>
      <c r="DA5" s="111" t="s">
        <v>239</v>
      </c>
      <c r="DB5" s="111" t="s">
        <v>240</v>
      </c>
      <c r="DC5" s="107" t="s">
        <v>241</v>
      </c>
      <c r="DD5" s="111" t="s">
        <v>242</v>
      </c>
      <c r="DE5" s="111" t="s">
        <v>243</v>
      </c>
      <c r="DF5" s="107" t="s">
        <v>244</v>
      </c>
      <c r="DG5" s="107" t="s">
        <v>245</v>
      </c>
      <c r="DH5" s="107" t="s">
        <v>246</v>
      </c>
      <c r="DI5" s="107" t="s">
        <v>247</v>
      </c>
      <c r="DJ5" s="112" t="s">
        <v>248</v>
      </c>
      <c r="DK5" s="112" t="s">
        <v>249</v>
      </c>
      <c r="DL5" s="113" t="s">
        <v>250</v>
      </c>
      <c r="DM5" s="112" t="s">
        <v>251</v>
      </c>
      <c r="DN5" s="112" t="s">
        <v>251</v>
      </c>
      <c r="DO5" s="112" t="s">
        <v>252</v>
      </c>
      <c r="DP5" s="114" t="s">
        <v>253</v>
      </c>
      <c r="DQ5" s="112" t="s">
        <v>254</v>
      </c>
      <c r="DR5" s="107"/>
      <c r="DS5" s="112" t="s">
        <v>255</v>
      </c>
      <c r="DT5" s="112" t="s">
        <v>255</v>
      </c>
      <c r="DU5" s="114" t="s">
        <v>256</v>
      </c>
      <c r="DV5" s="112" t="s">
        <v>257</v>
      </c>
      <c r="DW5" s="112" t="s">
        <v>258</v>
      </c>
      <c r="DX5" s="112"/>
      <c r="DY5" s="112"/>
      <c r="DZ5" s="112" t="s">
        <v>259</v>
      </c>
      <c r="EA5" s="112" t="s">
        <v>260</v>
      </c>
      <c r="EB5" s="112"/>
      <c r="EC5" s="112"/>
      <c r="ED5" s="112"/>
      <c r="EE5" s="112" t="s">
        <v>261</v>
      </c>
      <c r="EF5" s="112" t="s">
        <v>262</v>
      </c>
      <c r="EG5" s="112" t="s">
        <v>263</v>
      </c>
      <c r="EH5" s="112" t="s">
        <v>263</v>
      </c>
      <c r="EI5" s="115" t="s">
        <v>264</v>
      </c>
      <c r="EJ5" s="116" t="s">
        <v>265</v>
      </c>
      <c r="EK5" s="112"/>
      <c r="EL5" s="116" t="s">
        <v>266</v>
      </c>
      <c r="EM5" s="116" t="s">
        <v>267</v>
      </c>
      <c r="EN5" s="116"/>
      <c r="EO5" s="116"/>
      <c r="EP5" s="116" t="s">
        <v>268</v>
      </c>
      <c r="EQ5" s="116" t="s">
        <v>269</v>
      </c>
      <c r="ER5" s="116" t="s">
        <v>270</v>
      </c>
      <c r="ES5" s="116"/>
      <c r="ET5" s="116"/>
      <c r="EU5" s="116" t="s">
        <v>271</v>
      </c>
      <c r="EV5" s="116" t="s">
        <v>272</v>
      </c>
      <c r="EW5" s="116" t="s">
        <v>273</v>
      </c>
      <c r="EX5" s="116" t="s">
        <v>274</v>
      </c>
      <c r="EY5" s="116" t="s">
        <v>275</v>
      </c>
      <c r="EZ5" s="116" t="s">
        <v>276</v>
      </c>
      <c r="FA5" s="116" t="s">
        <v>277</v>
      </c>
      <c r="FB5" s="115" t="s">
        <v>278</v>
      </c>
      <c r="FC5" s="116" t="s">
        <v>279</v>
      </c>
      <c r="FD5" s="116"/>
      <c r="FE5" s="116"/>
    </row>
    <row r="6">
      <c r="A6" s="93" t="s">
        <v>280</v>
      </c>
      <c r="B6" s="93"/>
      <c r="C6" s="94"/>
      <c r="D6" s="106"/>
      <c r="E6" s="106"/>
      <c r="F6" s="106"/>
      <c r="G6" s="106"/>
      <c r="H6" s="106"/>
      <c r="I6" s="106"/>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11" t="s">
        <v>281</v>
      </c>
      <c r="AK6" s="111" t="s">
        <v>282</v>
      </c>
      <c r="AL6" s="111" t="s">
        <v>283</v>
      </c>
      <c r="AM6" s="111" t="s">
        <v>284</v>
      </c>
      <c r="AN6" s="111" t="s">
        <v>285</v>
      </c>
      <c r="AO6" s="111" t="s">
        <v>286</v>
      </c>
      <c r="AP6" s="111" t="s">
        <v>287</v>
      </c>
      <c r="AQ6" s="111" t="s">
        <v>288</v>
      </c>
      <c r="AR6" s="111" t="s">
        <v>289</v>
      </c>
      <c r="AS6" s="111" t="s">
        <v>290</v>
      </c>
      <c r="AT6" s="111" t="s">
        <v>291</v>
      </c>
      <c r="AU6" s="111" t="s">
        <v>292</v>
      </c>
      <c r="AV6" s="111" t="s">
        <v>293</v>
      </c>
      <c r="AW6" s="111" t="s">
        <v>294</v>
      </c>
      <c r="AX6" s="111" t="s">
        <v>295</v>
      </c>
      <c r="AY6" s="111" t="s">
        <v>296</v>
      </c>
      <c r="AZ6" s="111" t="s">
        <v>297</v>
      </c>
      <c r="BA6" s="111" t="s">
        <v>298</v>
      </c>
      <c r="BB6" s="111" t="s">
        <v>299</v>
      </c>
      <c r="BC6" s="111" t="s">
        <v>300</v>
      </c>
      <c r="BD6" s="111" t="s">
        <v>301</v>
      </c>
      <c r="BE6" s="111" t="s">
        <v>302</v>
      </c>
      <c r="BF6" s="111" t="s">
        <v>303</v>
      </c>
      <c r="BG6" s="111" t="s">
        <v>304</v>
      </c>
      <c r="BH6" s="111" t="s">
        <v>305</v>
      </c>
      <c r="BI6" s="111" t="s">
        <v>306</v>
      </c>
      <c r="BJ6" s="111" t="s">
        <v>307</v>
      </c>
      <c r="BK6" s="111" t="s">
        <v>308</v>
      </c>
      <c r="BL6" s="111" t="s">
        <v>309</v>
      </c>
      <c r="BM6" s="111" t="s">
        <v>310</v>
      </c>
      <c r="BN6" s="111" t="s">
        <v>311</v>
      </c>
      <c r="BO6" s="111" t="s">
        <v>312</v>
      </c>
      <c r="BP6" s="111" t="s">
        <v>313</v>
      </c>
      <c r="BQ6" s="111" t="s">
        <v>314</v>
      </c>
      <c r="BR6" s="111" t="s">
        <v>315</v>
      </c>
      <c r="BS6" s="111" t="s">
        <v>316</v>
      </c>
      <c r="BT6" s="111" t="s">
        <v>317</v>
      </c>
      <c r="BU6" s="111" t="s">
        <v>318</v>
      </c>
      <c r="BV6" s="111" t="s">
        <v>319</v>
      </c>
      <c r="BW6" s="111" t="s">
        <v>320</v>
      </c>
      <c r="BX6" s="111" t="s">
        <v>321</v>
      </c>
      <c r="BY6" s="111" t="s">
        <v>322</v>
      </c>
      <c r="BZ6" s="111" t="s">
        <v>323</v>
      </c>
      <c r="CA6" s="111" t="s">
        <v>324</v>
      </c>
      <c r="CB6" s="111" t="s">
        <v>325</v>
      </c>
      <c r="CC6" s="111" t="s">
        <v>326</v>
      </c>
      <c r="CD6" s="111" t="s">
        <v>327</v>
      </c>
      <c r="CE6" s="111" t="s">
        <v>328</v>
      </c>
      <c r="CF6" s="111" t="s">
        <v>329</v>
      </c>
      <c r="CG6" s="111" t="s">
        <v>330</v>
      </c>
      <c r="CH6" s="111" t="s">
        <v>331</v>
      </c>
      <c r="CI6" s="111" t="s">
        <v>332</v>
      </c>
      <c r="CJ6" s="111" t="s">
        <v>333</v>
      </c>
      <c r="CK6" s="111" t="s">
        <v>334</v>
      </c>
      <c r="CL6" s="111" t="s">
        <v>335</v>
      </c>
      <c r="CM6" s="111" t="s">
        <v>336</v>
      </c>
      <c r="CN6" s="111" t="s">
        <v>337</v>
      </c>
      <c r="CO6" s="111" t="s">
        <v>338</v>
      </c>
      <c r="CP6" s="111" t="s">
        <v>339</v>
      </c>
      <c r="CQ6" s="111" t="s">
        <v>340</v>
      </c>
      <c r="CR6" s="111" t="s">
        <v>341</v>
      </c>
      <c r="CS6" s="107" t="s">
        <v>342</v>
      </c>
      <c r="CT6" s="111" t="s">
        <v>343</v>
      </c>
      <c r="CU6" s="111" t="s">
        <v>344</v>
      </c>
      <c r="CV6" s="111" t="s">
        <v>345</v>
      </c>
      <c r="CW6" s="111" t="s">
        <v>346</v>
      </c>
      <c r="CX6" s="117" t="s">
        <v>347</v>
      </c>
      <c r="CY6" s="111" t="s">
        <v>348</v>
      </c>
      <c r="CZ6" s="111" t="s">
        <v>349</v>
      </c>
      <c r="DA6" s="111" t="s">
        <v>350</v>
      </c>
      <c r="DB6" s="111" t="s">
        <v>351</v>
      </c>
      <c r="DC6" s="107" t="s">
        <v>352</v>
      </c>
      <c r="DD6" s="111" t="s">
        <v>353</v>
      </c>
      <c r="DE6" s="111" t="s">
        <v>354</v>
      </c>
      <c r="DF6" s="107" t="s">
        <v>355</v>
      </c>
      <c r="DG6" s="107" t="s">
        <v>356</v>
      </c>
      <c r="DH6" s="107" t="s">
        <v>357</v>
      </c>
      <c r="DI6" s="107" t="s">
        <v>358</v>
      </c>
      <c r="DJ6" s="117" t="s">
        <v>359</v>
      </c>
      <c r="DK6" s="117" t="s">
        <v>360</v>
      </c>
      <c r="DL6" s="118" t="s">
        <v>361</v>
      </c>
      <c r="DM6" s="117" t="s">
        <v>362</v>
      </c>
      <c r="DN6" s="117" t="s">
        <v>362</v>
      </c>
      <c r="DO6" s="117" t="s">
        <v>363</v>
      </c>
      <c r="DP6" s="119" t="s">
        <v>364</v>
      </c>
      <c r="DQ6" s="117" t="s">
        <v>365</v>
      </c>
      <c r="DR6" s="107"/>
      <c r="DS6" s="117" t="s">
        <v>366</v>
      </c>
      <c r="DT6" s="117" t="s">
        <v>366</v>
      </c>
      <c r="DU6" s="119" t="s">
        <v>367</v>
      </c>
      <c r="DV6" s="117" t="s">
        <v>368</v>
      </c>
      <c r="DW6" s="117" t="s">
        <v>369</v>
      </c>
      <c r="DX6" s="117"/>
      <c r="DY6" s="117"/>
      <c r="DZ6" s="117" t="s">
        <v>370</v>
      </c>
      <c r="EA6" s="117" t="s">
        <v>371</v>
      </c>
      <c r="EB6" s="117"/>
      <c r="EC6" s="117"/>
      <c r="ED6" s="117"/>
      <c r="EE6" s="117" t="s">
        <v>372</v>
      </c>
      <c r="EF6" s="117" t="s">
        <v>373</v>
      </c>
      <c r="EG6" s="117" t="s">
        <v>374</v>
      </c>
      <c r="EH6" s="117" t="s">
        <v>374</v>
      </c>
      <c r="EI6" s="120" t="s">
        <v>375</v>
      </c>
      <c r="EJ6" s="121" t="s">
        <v>376</v>
      </c>
      <c r="EK6" s="117"/>
      <c r="EL6" s="121" t="s">
        <v>377</v>
      </c>
      <c r="EM6" s="121" t="s">
        <v>378</v>
      </c>
      <c r="EN6" s="121"/>
      <c r="EO6" s="121"/>
      <c r="EP6" s="121" t="s">
        <v>379</v>
      </c>
      <c r="EQ6" s="121" t="s">
        <v>380</v>
      </c>
      <c r="ER6" s="121" t="s">
        <v>381</v>
      </c>
      <c r="ES6" s="121"/>
      <c r="ET6" s="121"/>
      <c r="EU6" s="121" t="s">
        <v>382</v>
      </c>
      <c r="EV6" s="121" t="s">
        <v>383</v>
      </c>
      <c r="EW6" s="121" t="s">
        <v>384</v>
      </c>
      <c r="EX6" s="121" t="s">
        <v>385</v>
      </c>
      <c r="EY6" s="121" t="s">
        <v>386</v>
      </c>
      <c r="EZ6" s="121" t="s">
        <v>387</v>
      </c>
      <c r="FA6" s="121" t="s">
        <v>388</v>
      </c>
      <c r="FB6" s="120" t="s">
        <v>389</v>
      </c>
      <c r="FC6" s="121" t="s">
        <v>390</v>
      </c>
      <c r="FD6" s="121"/>
      <c r="FE6" s="121"/>
    </row>
    <row r="7">
      <c r="A7" s="93" t="s">
        <v>391</v>
      </c>
      <c r="B7" s="93"/>
      <c r="C7" s="94"/>
      <c r="D7" s="106"/>
      <c r="E7" s="106"/>
      <c r="F7" s="106"/>
      <c r="G7" s="106"/>
      <c r="H7" s="106"/>
      <c r="I7" s="106"/>
      <c r="J7" s="106"/>
      <c r="K7" s="106"/>
      <c r="L7" s="106"/>
      <c r="M7" s="106"/>
      <c r="N7" s="106"/>
      <c r="O7" s="106"/>
      <c r="P7" s="106"/>
      <c r="Q7" s="106"/>
      <c r="R7" s="106"/>
      <c r="S7" s="106"/>
      <c r="T7" s="106"/>
      <c r="U7" s="106"/>
      <c r="V7" s="106"/>
      <c r="W7" s="106"/>
      <c r="X7" s="106"/>
      <c r="Y7" s="106"/>
      <c r="Z7" s="106"/>
      <c r="AA7" s="106"/>
      <c r="AB7" s="106"/>
      <c r="AC7" s="106"/>
      <c r="AD7" s="106"/>
      <c r="AE7" s="106"/>
      <c r="AF7" s="106"/>
      <c r="AG7" s="106"/>
      <c r="AH7" s="106"/>
      <c r="AI7" s="106"/>
      <c r="AJ7" s="111" t="s">
        <v>392</v>
      </c>
      <c r="AK7" s="111" t="s">
        <v>392</v>
      </c>
      <c r="AL7" s="111" t="s">
        <v>392</v>
      </c>
      <c r="AM7" s="111" t="s">
        <v>392</v>
      </c>
      <c r="AN7" s="111" t="s">
        <v>392</v>
      </c>
      <c r="AO7" s="111" t="s">
        <v>392</v>
      </c>
      <c r="AP7" s="111" t="s">
        <v>392</v>
      </c>
      <c r="AQ7" s="111" t="s">
        <v>392</v>
      </c>
      <c r="AR7" s="111" t="s">
        <v>392</v>
      </c>
      <c r="AS7" s="111" t="s">
        <v>392</v>
      </c>
      <c r="AT7" s="111" t="s">
        <v>392</v>
      </c>
      <c r="AU7" s="111" t="s">
        <v>392</v>
      </c>
      <c r="AV7" s="111" t="s">
        <v>392</v>
      </c>
      <c r="AW7" s="111" t="s">
        <v>392</v>
      </c>
      <c r="AX7" s="111" t="s">
        <v>392</v>
      </c>
      <c r="AY7" s="111" t="s">
        <v>392</v>
      </c>
      <c r="AZ7" s="111" t="s">
        <v>392</v>
      </c>
      <c r="BA7" s="111" t="s">
        <v>392</v>
      </c>
      <c r="BB7" s="111" t="s">
        <v>392</v>
      </c>
      <c r="BC7" s="111" t="s">
        <v>392</v>
      </c>
      <c r="BD7" s="111" t="s">
        <v>392</v>
      </c>
      <c r="BE7" s="111" t="s">
        <v>392</v>
      </c>
      <c r="BF7" s="111" t="s">
        <v>392</v>
      </c>
      <c r="BG7" s="111" t="s">
        <v>392</v>
      </c>
      <c r="BH7" s="111" t="s">
        <v>392</v>
      </c>
      <c r="BI7" s="111" t="s">
        <v>392</v>
      </c>
      <c r="BJ7" s="111" t="s">
        <v>392</v>
      </c>
      <c r="BK7" s="111" t="s">
        <v>392</v>
      </c>
      <c r="BL7" s="111" t="s">
        <v>392</v>
      </c>
      <c r="BM7" s="111" t="s">
        <v>392</v>
      </c>
      <c r="BN7" s="111" t="s">
        <v>392</v>
      </c>
      <c r="BO7" s="111" t="s">
        <v>392</v>
      </c>
      <c r="BP7" s="111" t="s">
        <v>392</v>
      </c>
      <c r="BQ7" s="111" t="s">
        <v>392</v>
      </c>
      <c r="BR7" s="111" t="s">
        <v>392</v>
      </c>
      <c r="BS7" s="111" t="s">
        <v>392</v>
      </c>
      <c r="BT7" s="111" t="s">
        <v>392</v>
      </c>
      <c r="BU7" s="111" t="s">
        <v>392</v>
      </c>
      <c r="BV7" s="111" t="s">
        <v>392</v>
      </c>
      <c r="BW7" s="111" t="s">
        <v>392</v>
      </c>
      <c r="BX7" s="111" t="s">
        <v>392</v>
      </c>
      <c r="BY7" s="111" t="s">
        <v>392</v>
      </c>
      <c r="BZ7" s="111" t="s">
        <v>392</v>
      </c>
      <c r="CA7" s="111" t="s">
        <v>392</v>
      </c>
      <c r="CB7" s="111" t="s">
        <v>392</v>
      </c>
      <c r="CC7" s="111" t="s">
        <v>392</v>
      </c>
      <c r="CD7" s="111" t="s">
        <v>392</v>
      </c>
      <c r="CE7" s="111" t="s">
        <v>392</v>
      </c>
      <c r="CF7" s="111" t="s">
        <v>392</v>
      </c>
      <c r="CG7" s="111" t="s">
        <v>392</v>
      </c>
      <c r="CH7" s="111" t="s">
        <v>392</v>
      </c>
      <c r="CI7" s="111" t="s">
        <v>392</v>
      </c>
      <c r="CJ7" s="111" t="s">
        <v>392</v>
      </c>
      <c r="CK7" s="111" t="s">
        <v>392</v>
      </c>
      <c r="CL7" s="111" t="s">
        <v>392</v>
      </c>
      <c r="CM7" s="111" t="s">
        <v>392</v>
      </c>
      <c r="CN7" s="111" t="s">
        <v>392</v>
      </c>
      <c r="CO7" s="111" t="s">
        <v>392</v>
      </c>
      <c r="CP7" s="111" t="s">
        <v>392</v>
      </c>
      <c r="CQ7" s="111" t="s">
        <v>392</v>
      </c>
      <c r="CR7" s="111" t="s">
        <v>392</v>
      </c>
      <c r="CS7" s="107" t="s">
        <v>392</v>
      </c>
      <c r="CT7" s="111" t="s">
        <v>392</v>
      </c>
      <c r="CU7" s="111" t="s">
        <v>392</v>
      </c>
      <c r="CV7" s="111" t="s">
        <v>392</v>
      </c>
      <c r="CW7" s="111" t="s">
        <v>392</v>
      </c>
      <c r="CX7" s="112" t="s">
        <v>392</v>
      </c>
      <c r="CY7" s="111" t="s">
        <v>392</v>
      </c>
      <c r="CZ7" s="111" t="s">
        <v>392</v>
      </c>
      <c r="DA7" s="111" t="s">
        <v>392</v>
      </c>
      <c r="DB7" s="111" t="s">
        <v>392</v>
      </c>
      <c r="DC7" s="107" t="s">
        <v>392</v>
      </c>
      <c r="DD7" s="111" t="s">
        <v>392</v>
      </c>
      <c r="DE7" s="111" t="s">
        <v>392</v>
      </c>
      <c r="DF7" s="107" t="s">
        <v>392</v>
      </c>
      <c r="DG7" s="107" t="s">
        <v>392</v>
      </c>
      <c r="DH7" s="107" t="s">
        <v>392</v>
      </c>
      <c r="DI7" s="107" t="s">
        <v>392</v>
      </c>
      <c r="DJ7" s="112" t="s">
        <v>392</v>
      </c>
      <c r="DK7" s="112" t="s">
        <v>392</v>
      </c>
      <c r="DL7" s="113" t="s">
        <v>392</v>
      </c>
      <c r="DM7" s="112" t="s">
        <v>392</v>
      </c>
      <c r="DN7" s="112" t="s">
        <v>392</v>
      </c>
      <c r="DO7" s="112" t="s">
        <v>392</v>
      </c>
      <c r="DP7" s="112" t="s">
        <v>392</v>
      </c>
      <c r="DQ7" s="112" t="s">
        <v>392</v>
      </c>
      <c r="DR7" s="107"/>
      <c r="DS7" s="112" t="s">
        <v>392</v>
      </c>
      <c r="DT7" s="112" t="s">
        <v>392</v>
      </c>
      <c r="DU7" s="112" t="s">
        <v>392</v>
      </c>
      <c r="DV7" s="112" t="s">
        <v>392</v>
      </c>
      <c r="DW7" s="112" t="s">
        <v>392</v>
      </c>
      <c r="DX7" s="112"/>
      <c r="DY7" s="112"/>
      <c r="DZ7" s="112" t="s">
        <v>392</v>
      </c>
      <c r="EA7" s="112" t="s">
        <v>392</v>
      </c>
      <c r="EB7" s="112"/>
      <c r="EC7" s="112"/>
      <c r="ED7" s="112"/>
      <c r="EE7" s="112" t="s">
        <v>392</v>
      </c>
      <c r="EF7" s="112" t="s">
        <v>392</v>
      </c>
      <c r="EG7" s="112" t="s">
        <v>392</v>
      </c>
      <c r="EH7" s="112" t="s">
        <v>392</v>
      </c>
      <c r="EI7" s="116" t="s">
        <v>392</v>
      </c>
      <c r="EJ7" s="116" t="s">
        <v>392</v>
      </c>
      <c r="EK7" s="112"/>
      <c r="EL7" s="116" t="s">
        <v>392</v>
      </c>
      <c r="EM7" s="116" t="s">
        <v>392</v>
      </c>
      <c r="EN7" s="116"/>
      <c r="EO7" s="116"/>
      <c r="EP7" s="116" t="s">
        <v>392</v>
      </c>
      <c r="EQ7" s="116" t="s">
        <v>392</v>
      </c>
      <c r="ER7" s="122" t="s">
        <v>393</v>
      </c>
      <c r="ES7" s="116"/>
      <c r="ET7" s="116"/>
      <c r="EU7" s="116" t="s">
        <v>392</v>
      </c>
      <c r="EV7" s="116" t="s">
        <v>392</v>
      </c>
      <c r="EW7" s="116" t="s">
        <v>392</v>
      </c>
      <c r="EX7" s="116" t="s">
        <v>392</v>
      </c>
      <c r="EY7" s="116" t="s">
        <v>392</v>
      </c>
      <c r="EZ7" s="116" t="s">
        <v>392</v>
      </c>
      <c r="FA7" s="116" t="s">
        <v>392</v>
      </c>
      <c r="FB7" s="116" t="s">
        <v>392</v>
      </c>
      <c r="FC7" s="116" t="s">
        <v>392</v>
      </c>
      <c r="FD7" s="116"/>
      <c r="FE7" s="116"/>
    </row>
    <row r="8" outlineLevel="1">
      <c r="A8" s="93"/>
      <c r="B8" s="93"/>
      <c r="C8" s="94"/>
      <c r="D8" s="106"/>
      <c r="E8" s="106"/>
      <c r="F8" s="106"/>
      <c r="G8" s="106"/>
      <c r="H8" s="106"/>
      <c r="I8" s="106"/>
      <c r="J8" s="106"/>
      <c r="K8" s="106"/>
      <c r="L8" s="106"/>
      <c r="M8" s="106"/>
      <c r="N8" s="106"/>
      <c r="O8" s="106"/>
      <c r="P8" s="106"/>
      <c r="Q8" s="106"/>
      <c r="R8" s="106"/>
      <c r="S8" s="106"/>
      <c r="T8" s="106"/>
      <c r="U8" s="106"/>
      <c r="V8" s="106"/>
      <c r="W8" s="106"/>
      <c r="X8" s="106"/>
      <c r="Y8" s="106"/>
      <c r="Z8" s="106"/>
      <c r="AA8" s="106"/>
      <c r="AB8" s="106"/>
      <c r="AC8" s="106"/>
      <c r="AD8" s="106"/>
      <c r="AE8" s="106"/>
      <c r="AF8" s="106"/>
      <c r="AG8" s="106"/>
      <c r="AH8" s="106"/>
      <c r="AI8" s="106"/>
      <c r="AJ8" s="111"/>
      <c r="AK8" s="123"/>
      <c r="AL8" s="106"/>
      <c r="AM8" s="106"/>
      <c r="AN8" s="106"/>
      <c r="AO8" s="106"/>
      <c r="AP8" s="106"/>
      <c r="AQ8" s="106"/>
      <c r="AR8" s="106"/>
      <c r="AS8" s="106"/>
      <c r="AT8" s="106"/>
      <c r="AU8" s="106"/>
      <c r="AV8" s="106"/>
      <c r="AW8" s="106"/>
      <c r="AX8" s="106"/>
      <c r="AY8" s="106"/>
      <c r="AZ8" s="106"/>
      <c r="BA8" s="106"/>
      <c r="BB8" s="106"/>
      <c r="BC8" s="106"/>
      <c r="BD8" s="107"/>
      <c r="BE8" s="107"/>
      <c r="BF8" s="107"/>
      <c r="BG8" s="107"/>
      <c r="BH8" s="107"/>
      <c r="BI8" s="107"/>
      <c r="BJ8" s="107"/>
      <c r="BK8" s="107"/>
      <c r="BL8" s="107"/>
      <c r="BM8" s="107"/>
      <c r="BN8" s="107"/>
      <c r="BO8" s="107"/>
      <c r="BP8" s="107"/>
      <c r="BQ8" s="107"/>
      <c r="BR8" s="107"/>
      <c r="BS8" s="107"/>
      <c r="BT8" s="107"/>
      <c r="BU8" s="107"/>
      <c r="BV8" s="124"/>
      <c r="BW8" s="107"/>
      <c r="BX8" s="107"/>
      <c r="BY8" s="107"/>
      <c r="BZ8" s="107"/>
      <c r="CA8" s="107"/>
      <c r="CB8" s="107"/>
      <c r="CC8" s="107"/>
      <c r="CD8" s="107"/>
      <c r="CE8" s="107"/>
      <c r="CF8" s="107"/>
      <c r="CG8" s="107"/>
      <c r="CH8" s="107"/>
      <c r="CI8" s="107"/>
      <c r="CJ8" s="107"/>
      <c r="CK8" s="107"/>
      <c r="CL8" s="107"/>
      <c r="CM8" s="107"/>
      <c r="CN8" s="107"/>
      <c r="CO8" s="107"/>
      <c r="CP8" s="107"/>
      <c r="CQ8" s="107"/>
      <c r="CR8" s="107"/>
      <c r="CS8" s="107"/>
      <c r="CT8" s="107"/>
      <c r="CU8" s="107"/>
      <c r="CV8" s="107"/>
      <c r="CW8" s="107"/>
      <c r="CX8" s="123"/>
      <c r="CY8" s="107"/>
      <c r="CZ8" s="107"/>
      <c r="DA8" s="107"/>
      <c r="DB8" s="107"/>
      <c r="DC8" s="107"/>
      <c r="DD8" s="125"/>
      <c r="DE8" s="125"/>
      <c r="DF8" s="107"/>
      <c r="DG8" s="107"/>
      <c r="DH8" s="123"/>
      <c r="DI8" s="123"/>
      <c r="DJ8" s="123"/>
      <c r="DK8" s="123"/>
      <c r="DL8" s="126"/>
      <c r="DM8" s="123"/>
      <c r="DN8" s="123"/>
      <c r="DO8" s="123"/>
      <c r="DP8" s="123"/>
      <c r="DQ8" s="107"/>
      <c r="DR8" s="127"/>
      <c r="DS8" s="127"/>
      <c r="DT8" s="123"/>
      <c r="DU8" s="123"/>
      <c r="DV8" s="123"/>
      <c r="DW8" s="123"/>
      <c r="DX8" s="123"/>
      <c r="DY8" s="123"/>
      <c r="DZ8" s="123"/>
      <c r="EA8" s="123"/>
      <c r="EB8" s="123"/>
      <c r="EC8" s="123"/>
      <c r="ED8" s="123"/>
      <c r="EE8" s="123"/>
      <c r="EF8" s="123"/>
      <c r="EG8" s="123"/>
      <c r="EH8" s="123"/>
      <c r="EI8" s="123"/>
      <c r="EJ8" s="123"/>
      <c r="EK8" s="123"/>
      <c r="EL8" s="123"/>
      <c r="EM8" s="123"/>
      <c r="EN8" s="123"/>
      <c r="EO8" s="123"/>
      <c r="EP8" s="128"/>
      <c r="EQ8" s="123"/>
      <c r="ER8" s="123"/>
      <c r="ES8" s="123"/>
      <c r="ET8" s="123"/>
      <c r="EU8" s="123"/>
      <c r="EV8" s="123"/>
      <c r="EW8" s="123"/>
      <c r="EX8" s="123"/>
      <c r="EY8" s="123"/>
      <c r="EZ8" s="128"/>
      <c r="FA8" s="128"/>
      <c r="FB8" s="128"/>
      <c r="FC8" s="128"/>
      <c r="FD8" s="128"/>
      <c r="FE8" s="128"/>
    </row>
    <row r="9" outlineLevel="1">
      <c r="A9" s="93" t="s">
        <v>394</v>
      </c>
      <c r="B9" s="93" t="s">
        <v>395</v>
      </c>
      <c r="C9" s="94"/>
      <c r="D9" s="106">
        <v>59288.7</v>
      </c>
      <c r="E9" s="106" t="s">
        <v>396</v>
      </c>
      <c r="F9" s="106" t="s">
        <v>397</v>
      </c>
      <c r="G9" s="106" t="s">
        <v>398</v>
      </c>
      <c r="H9" s="106" t="s">
        <v>399</v>
      </c>
      <c r="I9" s="106" t="s">
        <v>400</v>
      </c>
      <c r="J9" s="106" t="s">
        <v>401</v>
      </c>
      <c r="K9" s="106" t="s">
        <v>402</v>
      </c>
      <c r="L9" s="106" t="s">
        <v>403</v>
      </c>
      <c r="M9" s="106" t="s">
        <v>404</v>
      </c>
      <c r="N9" s="106" t="s">
        <v>405</v>
      </c>
      <c r="O9" s="106" t="s">
        <v>406</v>
      </c>
      <c r="P9" s="106" t="s">
        <v>407</v>
      </c>
      <c r="Q9" s="106" t="s">
        <v>408</v>
      </c>
      <c r="R9" s="106" t="s">
        <v>409</v>
      </c>
      <c r="S9" s="106" t="s">
        <v>410</v>
      </c>
      <c r="T9" s="106" t="s">
        <v>411</v>
      </c>
      <c r="U9" s="106" t="s">
        <v>412</v>
      </c>
      <c r="V9" s="106" t="s">
        <v>413</v>
      </c>
      <c r="W9" s="106" t="s">
        <v>414</v>
      </c>
      <c r="X9" s="106" t="s">
        <v>415</v>
      </c>
      <c r="Y9" s="106" t="s">
        <v>416</v>
      </c>
      <c r="Z9" s="106" t="s">
        <v>417</v>
      </c>
      <c r="AA9" s="106" t="s">
        <v>418</v>
      </c>
      <c r="AB9" s="106" t="s">
        <v>419</v>
      </c>
      <c r="AC9" s="106" t="s">
        <v>420</v>
      </c>
      <c r="AD9" s="106" t="s">
        <v>421</v>
      </c>
      <c r="AE9" s="106" t="s">
        <v>422</v>
      </c>
      <c r="AF9" s="106" t="s">
        <v>423</v>
      </c>
      <c r="AG9" s="106" t="s">
        <v>424</v>
      </c>
      <c r="AH9" s="106" t="s">
        <v>425</v>
      </c>
      <c r="AI9" s="106" t="s">
        <v>426</v>
      </c>
      <c r="AJ9" s="111" t="s">
        <v>427</v>
      </c>
      <c r="AK9" s="106" t="s">
        <v>428</v>
      </c>
      <c r="AL9" s="106" t="s">
        <v>429</v>
      </c>
      <c r="AM9" s="106" t="s">
        <v>430</v>
      </c>
      <c r="AN9" s="106" t="s">
        <v>431</v>
      </c>
      <c r="AO9" s="106" t="s">
        <v>432</v>
      </c>
      <c r="AP9" s="106" t="s">
        <v>433</v>
      </c>
      <c r="AQ9" s="106" t="s">
        <v>434</v>
      </c>
      <c r="AR9" s="106" t="s">
        <v>435</v>
      </c>
      <c r="AS9" s="106" t="s">
        <v>436</v>
      </c>
      <c r="AT9" s="106" t="s">
        <v>437</v>
      </c>
      <c r="AU9" s="106" t="s">
        <v>438</v>
      </c>
      <c r="AV9" s="106" t="s">
        <v>439</v>
      </c>
      <c r="AW9" s="106" t="s">
        <v>440</v>
      </c>
      <c r="AX9" s="106" t="s">
        <v>441</v>
      </c>
      <c r="AY9" s="106" t="s">
        <v>442</v>
      </c>
      <c r="AZ9" s="106" t="s">
        <v>443</v>
      </c>
      <c r="BA9" s="106" t="s">
        <v>444</v>
      </c>
      <c r="BB9" s="106" t="s">
        <v>445</v>
      </c>
      <c r="BC9" s="106" t="s">
        <v>446</v>
      </c>
      <c r="BD9" s="107" t="s">
        <v>447</v>
      </c>
      <c r="BE9" s="107" t="s">
        <v>448</v>
      </c>
      <c r="BF9" s="107" t="s">
        <v>449</v>
      </c>
      <c r="BG9" s="107" t="s">
        <v>450</v>
      </c>
      <c r="BH9" s="107" t="s">
        <v>451</v>
      </c>
      <c r="BI9" s="107" t="s">
        <v>452</v>
      </c>
      <c r="BJ9" s="107" t="s">
        <v>453</v>
      </c>
      <c r="BK9" s="107" t="s">
        <v>454</v>
      </c>
      <c r="BL9" s="107" t="s">
        <v>455</v>
      </c>
      <c r="BM9" s="107" t="s">
        <v>456</v>
      </c>
      <c r="BN9" s="107" t="s">
        <v>457</v>
      </c>
      <c r="BO9" s="107" t="s">
        <v>458</v>
      </c>
      <c r="BP9" s="107" t="s">
        <v>459</v>
      </c>
      <c r="BQ9" s="107" t="s">
        <v>460</v>
      </c>
      <c r="BR9" s="107" t="s">
        <v>461</v>
      </c>
      <c r="BS9" s="107" t="s">
        <v>462</v>
      </c>
      <c r="BT9" s="107" t="s">
        <v>463</v>
      </c>
      <c r="BU9" s="107" t="s">
        <v>464</v>
      </c>
      <c r="BV9" s="124" t="s">
        <v>465</v>
      </c>
      <c r="BW9" s="107" t="s">
        <v>466</v>
      </c>
      <c r="BX9" s="107" t="s">
        <v>467</v>
      </c>
      <c r="BY9" s="107" t="s">
        <v>468</v>
      </c>
      <c r="BZ9" s="107" t="s">
        <v>469</v>
      </c>
      <c r="CA9" s="107" t="s">
        <v>470</v>
      </c>
      <c r="CB9" s="107" t="s">
        <v>471</v>
      </c>
      <c r="CC9" s="107" t="s">
        <v>472</v>
      </c>
      <c r="CD9" s="107" t="s">
        <v>473</v>
      </c>
      <c r="CE9" s="107" t="s">
        <v>474</v>
      </c>
      <c r="CF9" s="107" t="s">
        <v>475</v>
      </c>
      <c r="CG9" s="107" t="s">
        <v>476</v>
      </c>
      <c r="CH9" s="107" t="s">
        <v>477</v>
      </c>
      <c r="CI9" s="107" t="s">
        <v>478</v>
      </c>
      <c r="CJ9" s="107" t="s">
        <v>479</v>
      </c>
      <c r="CK9" s="107" t="s">
        <v>480</v>
      </c>
      <c r="CL9" s="107" t="s">
        <v>481</v>
      </c>
      <c r="CM9" s="107" t="s">
        <v>482</v>
      </c>
      <c r="CN9" s="107" t="s">
        <v>483</v>
      </c>
      <c r="CO9" s="107" t="s">
        <v>484</v>
      </c>
      <c r="CP9" s="107" t="s">
        <v>485</v>
      </c>
      <c r="CQ9" s="107" t="s">
        <v>486</v>
      </c>
      <c r="CR9" s="107" t="s">
        <v>487</v>
      </c>
      <c r="CS9" s="107" t="s">
        <v>488</v>
      </c>
      <c r="CT9" s="107" t="s">
        <v>489</v>
      </c>
      <c r="CU9" s="107" t="s">
        <v>490</v>
      </c>
      <c r="CV9" s="107" t="s">
        <v>491</v>
      </c>
      <c r="CW9" s="107" t="s">
        <v>492</v>
      </c>
      <c r="CX9" s="107" t="s">
        <v>493</v>
      </c>
      <c r="CY9" s="107" t="s">
        <v>494</v>
      </c>
      <c r="CZ9" s="107" t="s">
        <v>495</v>
      </c>
      <c r="DA9" s="107" t="s">
        <v>496</v>
      </c>
      <c r="DB9" s="107" t="s">
        <v>497</v>
      </c>
      <c r="DC9" s="107" t="s">
        <v>498</v>
      </c>
      <c r="DD9" s="107" t="s">
        <v>499</v>
      </c>
      <c r="DE9" s="107" t="s">
        <v>500</v>
      </c>
      <c r="DF9" s="107" t="s">
        <v>501</v>
      </c>
      <c r="DG9" s="107" t="s">
        <v>502</v>
      </c>
      <c r="DH9" s="107" t="s">
        <v>503</v>
      </c>
      <c r="DI9" s="107" t="s">
        <v>504</v>
      </c>
      <c r="DJ9" s="107" t="s">
        <v>505</v>
      </c>
      <c r="DK9" s="107" t="s">
        <v>506</v>
      </c>
      <c r="DL9" s="107" t="s">
        <v>507</v>
      </c>
      <c r="DM9" s="107" t="s">
        <v>508</v>
      </c>
      <c r="DN9" s="107" t="s">
        <v>509</v>
      </c>
      <c r="DO9" s="107" t="s">
        <v>510</v>
      </c>
      <c r="DP9" s="107" t="s">
        <v>510</v>
      </c>
      <c r="DQ9" s="107" t="s">
        <v>511</v>
      </c>
      <c r="DR9" s="127"/>
      <c r="DS9" s="127"/>
      <c r="DT9" s="127"/>
      <c r="DU9" s="127"/>
      <c r="DV9" s="127"/>
      <c r="DW9" s="127"/>
      <c r="DX9" s="127"/>
      <c r="DY9" s="127"/>
      <c r="DZ9" s="127"/>
      <c r="EA9" s="127"/>
      <c r="EB9" s="127"/>
      <c r="EC9" s="127"/>
      <c r="ED9" s="127"/>
      <c r="EE9" s="127"/>
      <c r="EF9" s="127"/>
      <c r="EG9" s="127"/>
      <c r="EH9" s="127"/>
      <c r="EI9" s="127"/>
      <c r="EJ9" s="127"/>
      <c r="EK9" s="127"/>
      <c r="EL9" s="127"/>
      <c r="EM9" s="127"/>
      <c r="EN9" s="127"/>
      <c r="EO9" s="127"/>
      <c r="EP9" s="127"/>
      <c r="EQ9" s="127"/>
      <c r="ER9" s="127"/>
      <c r="ES9" s="127"/>
      <c r="ET9" s="127"/>
      <c r="EU9" s="127"/>
      <c r="EV9" s="127"/>
      <c r="EW9" s="127"/>
      <c r="EX9" s="127"/>
      <c r="EY9" s="127"/>
      <c r="EZ9" s="127"/>
      <c r="FA9" s="127"/>
      <c r="FB9" s="127"/>
      <c r="FC9" s="127"/>
      <c r="FD9" s="127"/>
      <c r="FE9" s="127"/>
    </row>
    <row r="10" outlineLevel="1">
      <c r="A10" s="93" t="s">
        <v>512</v>
      </c>
      <c r="B10" s="93" t="s">
        <v>395</v>
      </c>
      <c r="C10" s="94"/>
      <c r="D10" s="106" t="s">
        <v>513</v>
      </c>
      <c r="E10" s="106" t="s">
        <v>514</v>
      </c>
      <c r="F10" s="106" t="s">
        <v>515</v>
      </c>
      <c r="G10" s="106" t="s">
        <v>516</v>
      </c>
      <c r="H10" s="106" t="s">
        <v>517</v>
      </c>
      <c r="I10" s="106" t="s">
        <v>518</v>
      </c>
      <c r="J10" s="106" t="s">
        <v>519</v>
      </c>
      <c r="K10" s="106" t="s">
        <v>520</v>
      </c>
      <c r="L10" s="106" t="s">
        <v>521</v>
      </c>
      <c r="M10" s="106" t="s">
        <v>522</v>
      </c>
      <c r="N10" s="106" t="s">
        <v>523</v>
      </c>
      <c r="O10" s="106" t="s">
        <v>524</v>
      </c>
      <c r="P10" s="106" t="s">
        <v>525</v>
      </c>
      <c r="Q10" s="106" t="s">
        <v>526</v>
      </c>
      <c r="R10" s="106" t="s">
        <v>527</v>
      </c>
      <c r="S10" s="106" t="s">
        <v>528</v>
      </c>
      <c r="T10" s="106" t="s">
        <v>529</v>
      </c>
      <c r="U10" s="106" t="s">
        <v>530</v>
      </c>
      <c r="V10" s="106" t="s">
        <v>531</v>
      </c>
      <c r="W10" s="106" t="s">
        <v>532</v>
      </c>
      <c r="X10" s="106" t="s">
        <v>533</v>
      </c>
      <c r="Y10" s="106" t="s">
        <v>534</v>
      </c>
      <c r="Z10" s="106" t="s">
        <v>535</v>
      </c>
      <c r="AA10" s="106" t="s">
        <v>536</v>
      </c>
      <c r="AB10" s="106" t="s">
        <v>537</v>
      </c>
      <c r="AC10" s="106" t="s">
        <v>538</v>
      </c>
      <c r="AD10" s="106" t="s">
        <v>539</v>
      </c>
      <c r="AE10" s="106" t="s">
        <v>540</v>
      </c>
      <c r="AF10" s="106" t="s">
        <v>541</v>
      </c>
      <c r="AG10" s="106" t="s">
        <v>542</v>
      </c>
      <c r="AH10" s="106" t="s">
        <v>543</v>
      </c>
      <c r="AI10" s="106" t="s">
        <v>544</v>
      </c>
      <c r="AJ10" s="111" t="s">
        <v>545</v>
      </c>
      <c r="AK10" s="106" t="s">
        <v>546</v>
      </c>
      <c r="AL10" s="106" t="s">
        <v>547</v>
      </c>
      <c r="AM10" s="106" t="s">
        <v>548</v>
      </c>
      <c r="AN10" s="106" t="s">
        <v>549</v>
      </c>
      <c r="AO10" s="106" t="s">
        <v>550</v>
      </c>
      <c r="AP10" s="106" t="s">
        <v>551</v>
      </c>
      <c r="AQ10" s="106" t="s">
        <v>552</v>
      </c>
      <c r="AR10" s="106" t="s">
        <v>553</v>
      </c>
      <c r="AS10" s="106" t="s">
        <v>554</v>
      </c>
      <c r="AT10" s="106" t="s">
        <v>555</v>
      </c>
      <c r="AU10" s="106" t="s">
        <v>556</v>
      </c>
      <c r="AV10" s="106" t="s">
        <v>557</v>
      </c>
      <c r="AW10" s="106" t="s">
        <v>558</v>
      </c>
      <c r="AX10" s="106" t="s">
        <v>559</v>
      </c>
      <c r="AY10" s="106" t="s">
        <v>560</v>
      </c>
      <c r="AZ10" s="106" t="s">
        <v>561</v>
      </c>
      <c r="BA10" s="106" t="s">
        <v>562</v>
      </c>
      <c r="BB10" s="106" t="s">
        <v>563</v>
      </c>
      <c r="BC10" s="106" t="s">
        <v>564</v>
      </c>
      <c r="BD10" s="107" t="s">
        <v>565</v>
      </c>
      <c r="BE10" s="107" t="s">
        <v>566</v>
      </c>
      <c r="BF10" s="107" t="s">
        <v>567</v>
      </c>
      <c r="BG10" s="107" t="s">
        <v>568</v>
      </c>
      <c r="BH10" s="107" t="s">
        <v>569</v>
      </c>
      <c r="BI10" s="107" t="s">
        <v>570</v>
      </c>
      <c r="BJ10" s="107" t="s">
        <v>571</v>
      </c>
      <c r="BK10" s="107" t="s">
        <v>572</v>
      </c>
      <c r="BL10" s="107" t="s">
        <v>573</v>
      </c>
      <c r="BM10" s="107" t="s">
        <v>574</v>
      </c>
      <c r="BN10" s="107" t="s">
        <v>575</v>
      </c>
      <c r="BO10" s="107" t="s">
        <v>576</v>
      </c>
      <c r="BP10" s="107" t="s">
        <v>577</v>
      </c>
      <c r="BQ10" s="107" t="s">
        <v>578</v>
      </c>
      <c r="BR10" s="107" t="s">
        <v>579</v>
      </c>
      <c r="BS10" s="107" t="s">
        <v>580</v>
      </c>
      <c r="BT10" s="107" t="s">
        <v>581</v>
      </c>
      <c r="BU10" s="107" t="s">
        <v>582</v>
      </c>
      <c r="BV10" s="124" t="s">
        <v>583</v>
      </c>
      <c r="BW10" s="107" t="s">
        <v>584</v>
      </c>
      <c r="BX10" s="107" t="s">
        <v>585</v>
      </c>
      <c r="BY10" s="107" t="s">
        <v>586</v>
      </c>
      <c r="BZ10" s="107" t="s">
        <v>587</v>
      </c>
      <c r="CA10" s="107" t="s">
        <v>588</v>
      </c>
      <c r="CB10" s="107" t="s">
        <v>589</v>
      </c>
      <c r="CC10" s="107" t="s">
        <v>590</v>
      </c>
      <c r="CD10" s="107" t="s">
        <v>591</v>
      </c>
      <c r="CE10" s="107" t="s">
        <v>592</v>
      </c>
      <c r="CF10" s="107" t="s">
        <v>593</v>
      </c>
      <c r="CG10" s="107" t="s">
        <v>594</v>
      </c>
      <c r="CH10" s="107" t="s">
        <v>595</v>
      </c>
      <c r="CI10" s="107" t="s">
        <v>596</v>
      </c>
      <c r="CJ10" s="107" t="s">
        <v>597</v>
      </c>
      <c r="CK10" s="107" t="s">
        <v>598</v>
      </c>
      <c r="CL10" s="107" t="s">
        <v>599</v>
      </c>
      <c r="CM10" s="107" t="s">
        <v>600</v>
      </c>
      <c r="CN10" s="107" t="s">
        <v>601</v>
      </c>
      <c r="CO10" s="107" t="s">
        <v>602</v>
      </c>
      <c r="CP10" s="107" t="s">
        <v>603</v>
      </c>
      <c r="CQ10" s="107" t="s">
        <v>604</v>
      </c>
      <c r="CR10" s="107" t="s">
        <v>605</v>
      </c>
      <c r="CS10" s="107" t="s">
        <v>606</v>
      </c>
      <c r="CT10" s="107" t="s">
        <v>607</v>
      </c>
      <c r="CU10" s="107" t="s">
        <v>608</v>
      </c>
      <c r="CV10" s="107" t="s">
        <v>609</v>
      </c>
      <c r="CW10" s="107" t="s">
        <v>610</v>
      </c>
      <c r="CX10" s="107" t="s">
        <v>611</v>
      </c>
      <c r="CY10" s="107" t="s">
        <v>612</v>
      </c>
      <c r="CZ10" s="107" t="s">
        <v>613</v>
      </c>
      <c r="DA10" s="107" t="s">
        <v>614</v>
      </c>
      <c r="DB10" s="107" t="s">
        <v>615</v>
      </c>
      <c r="DC10" s="107" t="s">
        <v>616</v>
      </c>
      <c r="DD10" s="107" t="s">
        <v>617</v>
      </c>
      <c r="DE10" s="107" t="s">
        <v>618</v>
      </c>
      <c r="DF10" s="107" t="s">
        <v>619</v>
      </c>
      <c r="DG10" s="107" t="s">
        <v>620</v>
      </c>
      <c r="DH10" s="107" t="s">
        <v>621</v>
      </c>
      <c r="DI10" s="107" t="s">
        <v>622</v>
      </c>
      <c r="DJ10" s="107" t="s">
        <v>623</v>
      </c>
      <c r="DK10" s="107" t="s">
        <v>624</v>
      </c>
      <c r="DL10" s="107" t="s">
        <v>625</v>
      </c>
      <c r="DM10" s="107" t="s">
        <v>626</v>
      </c>
      <c r="DN10" s="107" t="s">
        <v>627</v>
      </c>
      <c r="DO10" s="107" t="s">
        <v>628</v>
      </c>
      <c r="DP10" s="107" t="s">
        <v>629</v>
      </c>
      <c r="DQ10" s="107" t="s">
        <v>630</v>
      </c>
      <c r="DR10" s="127"/>
      <c r="DS10" s="127"/>
      <c r="DT10" s="127"/>
      <c r="DU10" s="127"/>
      <c r="DV10" s="127"/>
      <c r="DW10" s="127"/>
      <c r="DX10" s="127"/>
      <c r="DY10" s="127"/>
      <c r="DZ10" s="127"/>
      <c r="EA10" s="127"/>
      <c r="EB10" s="127"/>
      <c r="EC10" s="127"/>
      <c r="ED10" s="127"/>
      <c r="EE10" s="127"/>
      <c r="EF10" s="127"/>
      <c r="EG10" s="127"/>
      <c r="EH10" s="127"/>
      <c r="EI10" s="127"/>
      <c r="EJ10" s="127"/>
      <c r="EK10" s="127"/>
      <c r="EL10" s="127"/>
      <c r="EM10" s="127"/>
      <c r="EN10" s="127"/>
      <c r="EO10" s="127"/>
      <c r="EP10" s="127"/>
      <c r="EQ10" s="127"/>
      <c r="ER10" s="127"/>
      <c r="ES10" s="127"/>
      <c r="ET10" s="127"/>
      <c r="EU10" s="127"/>
      <c r="EV10" s="127"/>
      <c r="EW10" s="127"/>
      <c r="EX10" s="127"/>
      <c r="EY10" s="127"/>
      <c r="EZ10" s="127"/>
      <c r="FA10" s="127"/>
      <c r="FB10" s="127"/>
      <c r="FC10" s="127"/>
      <c r="FD10" s="127"/>
      <c r="FE10" s="127"/>
    </row>
    <row r="11" outlineLevel="1">
      <c r="A11" s="93" t="s">
        <v>631</v>
      </c>
      <c r="B11" s="93" t="s">
        <v>395</v>
      </c>
      <c r="C11" s="94"/>
      <c r="D11" s="106" t="s">
        <v>632</v>
      </c>
      <c r="E11" s="106" t="s">
        <v>633</v>
      </c>
      <c r="F11" s="106" t="s">
        <v>634</v>
      </c>
      <c r="G11" s="106" t="s">
        <v>635</v>
      </c>
      <c r="H11" s="106" t="s">
        <v>636</v>
      </c>
      <c r="I11" s="106" t="s">
        <v>637</v>
      </c>
      <c r="J11" s="106" t="s">
        <v>638</v>
      </c>
      <c r="K11" s="106" t="s">
        <v>639</v>
      </c>
      <c r="L11" s="106" t="s">
        <v>640</v>
      </c>
      <c r="M11" s="106" t="s">
        <v>641</v>
      </c>
      <c r="N11" s="106" t="s">
        <v>642</v>
      </c>
      <c r="O11" s="106" t="s">
        <v>643</v>
      </c>
      <c r="P11" s="106" t="s">
        <v>644</v>
      </c>
      <c r="Q11" s="106" t="s">
        <v>645</v>
      </c>
      <c r="R11" s="106" t="s">
        <v>646</v>
      </c>
      <c r="S11" s="106" t="s">
        <v>647</v>
      </c>
      <c r="T11" s="106" t="s">
        <v>648</v>
      </c>
      <c r="U11" s="106" t="s">
        <v>649</v>
      </c>
      <c r="V11" s="106" t="s">
        <v>650</v>
      </c>
      <c r="W11" s="106" t="s">
        <v>651</v>
      </c>
      <c r="X11" s="106" t="s">
        <v>652</v>
      </c>
      <c r="Y11" s="106" t="s">
        <v>653</v>
      </c>
      <c r="Z11" s="106" t="s">
        <v>654</v>
      </c>
      <c r="AA11" s="106" t="s">
        <v>655</v>
      </c>
      <c r="AB11" s="106" t="s">
        <v>656</v>
      </c>
      <c r="AC11" s="106" t="s">
        <v>657</v>
      </c>
      <c r="AD11" s="106" t="s">
        <v>658</v>
      </c>
      <c r="AE11" s="106" t="s">
        <v>659</v>
      </c>
      <c r="AF11" s="106" t="s">
        <v>660</v>
      </c>
      <c r="AG11" s="106" t="s">
        <v>661</v>
      </c>
      <c r="AH11" s="106" t="s">
        <v>662</v>
      </c>
      <c r="AI11" s="106" t="s">
        <v>663</v>
      </c>
      <c r="AJ11" s="111" t="s">
        <v>664</v>
      </c>
      <c r="AK11" s="106" t="s">
        <v>665</v>
      </c>
      <c r="AL11" s="106" t="s">
        <v>666</v>
      </c>
      <c r="AM11" s="106" t="s">
        <v>667</v>
      </c>
      <c r="AN11" s="106" t="s">
        <v>668</v>
      </c>
      <c r="AO11" s="106" t="s">
        <v>669</v>
      </c>
      <c r="AP11" s="106" t="s">
        <v>670</v>
      </c>
      <c r="AQ11" s="106" t="s">
        <v>671</v>
      </c>
      <c r="AR11" s="106" t="s">
        <v>672</v>
      </c>
      <c r="AS11" s="106" t="s">
        <v>673</v>
      </c>
      <c r="AT11" s="106" t="s">
        <v>674</v>
      </c>
      <c r="AU11" s="106" t="s">
        <v>675</v>
      </c>
      <c r="AV11" s="106" t="s">
        <v>676</v>
      </c>
      <c r="AW11" s="106" t="s">
        <v>677</v>
      </c>
      <c r="AX11" s="106" t="s">
        <v>678</v>
      </c>
      <c r="AY11" s="106" t="s">
        <v>679</v>
      </c>
      <c r="AZ11" s="106" t="s">
        <v>680</v>
      </c>
      <c r="BA11" s="106" t="s">
        <v>681</v>
      </c>
      <c r="BB11" s="106" t="s">
        <v>682</v>
      </c>
      <c r="BC11" s="106" t="s">
        <v>683</v>
      </c>
      <c r="BD11" s="107" t="s">
        <v>684</v>
      </c>
      <c r="BE11" s="107" t="s">
        <v>685</v>
      </c>
      <c r="BF11" s="107" t="s">
        <v>686</v>
      </c>
      <c r="BG11" s="107" t="s">
        <v>687</v>
      </c>
      <c r="BH11" s="107" t="s">
        <v>688</v>
      </c>
      <c r="BI11" s="107" t="s">
        <v>689</v>
      </c>
      <c r="BJ11" s="107" t="s">
        <v>690</v>
      </c>
      <c r="BK11" s="107" t="s">
        <v>691</v>
      </c>
      <c r="BL11" s="107" t="s">
        <v>692</v>
      </c>
      <c r="BM11" s="107" t="s">
        <v>693</v>
      </c>
      <c r="BN11" s="107" t="s">
        <v>694</v>
      </c>
      <c r="BO11" s="107" t="s">
        <v>695</v>
      </c>
      <c r="BP11" s="107" t="s">
        <v>696</v>
      </c>
      <c r="BQ11" s="107" t="s">
        <v>697</v>
      </c>
      <c r="BR11" s="107" t="s">
        <v>698</v>
      </c>
      <c r="BS11" s="107" t="s">
        <v>699</v>
      </c>
      <c r="BT11" s="107" t="s">
        <v>700</v>
      </c>
      <c r="BU11" s="107" t="s">
        <v>701</v>
      </c>
      <c r="BV11" s="124" t="s">
        <v>702</v>
      </c>
      <c r="BW11" s="107" t="s">
        <v>703</v>
      </c>
      <c r="BX11" s="107" t="s">
        <v>704</v>
      </c>
      <c r="BY11" s="107" t="s">
        <v>705</v>
      </c>
      <c r="BZ11" s="107" t="s">
        <v>706</v>
      </c>
      <c r="CA11" s="107" t="s">
        <v>707</v>
      </c>
      <c r="CB11" s="107" t="s">
        <v>708</v>
      </c>
      <c r="CC11" s="107" t="s">
        <v>709</v>
      </c>
      <c r="CD11" s="107" t="s">
        <v>710</v>
      </c>
      <c r="CE11" s="107" t="s">
        <v>711</v>
      </c>
      <c r="CF11" s="107" t="s">
        <v>712</v>
      </c>
      <c r="CG11" s="107" t="s">
        <v>713</v>
      </c>
      <c r="CH11" s="107" t="s">
        <v>714</v>
      </c>
      <c r="CI11" s="107" t="s">
        <v>715</v>
      </c>
      <c r="CJ11" s="107" t="s">
        <v>716</v>
      </c>
      <c r="CK11" s="107" t="s">
        <v>717</v>
      </c>
      <c r="CL11" s="107" t="s">
        <v>718</v>
      </c>
      <c r="CM11" s="107" t="s">
        <v>719</v>
      </c>
      <c r="CN11" s="107" t="s">
        <v>720</v>
      </c>
      <c r="CO11" s="107" t="s">
        <v>721</v>
      </c>
      <c r="CP11" s="107" t="s">
        <v>722</v>
      </c>
      <c r="CQ11" s="107" t="s">
        <v>723</v>
      </c>
      <c r="CR11" s="107" t="s">
        <v>724</v>
      </c>
      <c r="CS11" s="107" t="s">
        <v>725</v>
      </c>
      <c r="CT11" s="107" t="s">
        <v>726</v>
      </c>
      <c r="CU11" s="107" t="s">
        <v>727</v>
      </c>
      <c r="CV11" s="107" t="s">
        <v>728</v>
      </c>
      <c r="CW11" s="107" t="s">
        <v>729</v>
      </c>
      <c r="CX11" s="107" t="s">
        <v>730</v>
      </c>
      <c r="CY11" s="107" t="s">
        <v>731</v>
      </c>
      <c r="CZ11" s="107" t="s">
        <v>732</v>
      </c>
      <c r="DA11" s="107" t="s">
        <v>733</v>
      </c>
      <c r="DB11" s="107" t="s">
        <v>734</v>
      </c>
      <c r="DC11" s="107" t="s">
        <v>735</v>
      </c>
      <c r="DD11" s="107" t="s">
        <v>736</v>
      </c>
      <c r="DE11" s="107" t="s">
        <v>737</v>
      </c>
      <c r="DF11" s="107" t="s">
        <v>738</v>
      </c>
      <c r="DG11" s="107" t="s">
        <v>739</v>
      </c>
      <c r="DH11" s="107" t="s">
        <v>740</v>
      </c>
      <c r="DI11" s="107" t="s">
        <v>741</v>
      </c>
      <c r="DJ11" s="107" t="s">
        <v>742</v>
      </c>
      <c r="DK11" s="107" t="s">
        <v>743</v>
      </c>
      <c r="DL11" s="107" t="s">
        <v>744</v>
      </c>
      <c r="DM11" s="107" t="s">
        <v>745</v>
      </c>
      <c r="DN11" s="107" t="s">
        <v>746</v>
      </c>
      <c r="DO11" s="107" t="s">
        <v>747</v>
      </c>
      <c r="DP11" s="107" t="s">
        <v>748</v>
      </c>
      <c r="DQ11" s="107" t="s">
        <v>749</v>
      </c>
      <c r="DR11" s="127"/>
      <c r="DS11" s="127"/>
      <c r="DT11" s="127"/>
      <c r="DU11" s="127"/>
      <c r="DV11" s="127"/>
      <c r="DW11" s="127"/>
      <c r="DX11" s="127"/>
      <c r="DY11" s="127"/>
      <c r="DZ11" s="127"/>
      <c r="EA11" s="127"/>
      <c r="EB11" s="127"/>
      <c r="EC11" s="127"/>
      <c r="ED11" s="127"/>
      <c r="EE11" s="127"/>
      <c r="EF11" s="127"/>
      <c r="EG11" s="127"/>
      <c r="EH11" s="127"/>
      <c r="EI11" s="127"/>
      <c r="EJ11" s="127"/>
      <c r="EK11" s="127"/>
      <c r="EL11" s="127"/>
      <c r="EM11" s="127"/>
      <c r="EN11" s="127"/>
      <c r="EO11" s="127"/>
      <c r="EP11" s="127"/>
      <c r="EQ11" s="127"/>
      <c r="ER11" s="127"/>
      <c r="ES11" s="127"/>
      <c r="ET11" s="127"/>
      <c r="EU11" s="127"/>
      <c r="EV11" s="127"/>
      <c r="EW11" s="127"/>
      <c r="EX11" s="127"/>
      <c r="EY11" s="127"/>
      <c r="EZ11" s="127"/>
      <c r="FA11" s="127"/>
      <c r="FB11" s="127"/>
      <c r="FC11" s="127"/>
      <c r="FD11" s="127"/>
      <c r="FE11" s="127"/>
    </row>
    <row r="12" outlineLevel="1">
      <c r="A12" s="129"/>
      <c r="B12" s="129"/>
      <c r="C12" s="94"/>
      <c r="D12" s="130"/>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95"/>
      <c r="AK12" s="106"/>
      <c r="AL12" s="130"/>
      <c r="AM12" s="130"/>
      <c r="AN12" s="130"/>
      <c r="AO12" s="106"/>
      <c r="AP12" s="106"/>
      <c r="AQ12" s="106"/>
      <c r="AR12" s="106"/>
      <c r="AS12" s="106"/>
      <c r="AT12" s="106"/>
      <c r="AU12" s="106"/>
      <c r="AV12" s="106"/>
      <c r="AW12" s="106"/>
      <c r="AX12" s="106"/>
      <c r="AY12" s="106"/>
      <c r="AZ12" s="106"/>
      <c r="BA12" s="106"/>
      <c r="BB12" s="106"/>
      <c r="BC12" s="106"/>
      <c r="BD12" s="130"/>
      <c r="BE12" s="130"/>
      <c r="BF12" s="107"/>
      <c r="BG12" s="107"/>
      <c r="BH12" s="107"/>
      <c r="BI12" s="107"/>
      <c r="BJ12" s="107"/>
      <c r="BK12" s="107"/>
      <c r="BL12" s="107"/>
      <c r="BM12" s="107"/>
      <c r="BN12" s="107"/>
      <c r="BO12" s="107"/>
      <c r="BP12" s="107"/>
      <c r="BQ12" s="107"/>
      <c r="BR12" s="107"/>
      <c r="BS12" s="107"/>
      <c r="BT12" s="107"/>
      <c r="BU12" s="107"/>
      <c r="BV12" s="131"/>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c r="CY12" s="107"/>
      <c r="CZ12" s="107"/>
      <c r="DA12" s="107"/>
      <c r="DB12" s="107"/>
      <c r="DC12" s="107"/>
      <c r="DD12" s="107"/>
      <c r="DE12" s="107"/>
      <c r="DF12" s="107"/>
      <c r="DG12" s="107"/>
      <c r="DH12" s="107"/>
      <c r="DI12" s="107"/>
      <c r="DJ12" s="107"/>
      <c r="DK12" s="107"/>
      <c r="DL12" s="107"/>
      <c r="DM12" s="107"/>
      <c r="DN12" s="107"/>
      <c r="DO12" s="107"/>
      <c r="DP12" s="107"/>
      <c r="DQ12" s="107"/>
      <c r="DR12" s="125"/>
      <c r="DS12" s="125"/>
      <c r="DT12" s="127"/>
      <c r="DU12" s="125"/>
      <c r="DV12" s="127"/>
      <c r="DW12" s="127"/>
      <c r="DX12" s="127"/>
      <c r="DY12" s="127"/>
      <c r="DZ12" s="127"/>
      <c r="EA12" s="127"/>
      <c r="EB12" s="127"/>
      <c r="EC12" s="127"/>
      <c r="ED12" s="127"/>
      <c r="EE12" s="127"/>
      <c r="EF12" s="127"/>
      <c r="EG12" s="127"/>
      <c r="EH12" s="127"/>
      <c r="EI12" s="127"/>
      <c r="EJ12" s="127"/>
      <c r="EK12" s="127"/>
      <c r="EL12" s="127"/>
      <c r="EM12" s="127"/>
      <c r="EN12" s="127"/>
      <c r="EO12" s="127"/>
      <c r="EP12" s="127"/>
      <c r="EQ12" s="127"/>
      <c r="ER12" s="127"/>
      <c r="ES12" s="127"/>
      <c r="ET12" s="127"/>
      <c r="EU12" s="127"/>
      <c r="EV12" s="127"/>
      <c r="EW12" s="127"/>
      <c r="EX12" s="127"/>
      <c r="EY12" s="127"/>
      <c r="EZ12" s="127"/>
      <c r="FA12" s="127"/>
      <c r="FB12" s="127"/>
      <c r="FC12" s="127"/>
      <c r="FD12" s="127"/>
      <c r="FE12" s="127"/>
    </row>
    <row r="13" outlineLevel="1">
      <c r="A13" s="93" t="s">
        <v>750</v>
      </c>
      <c r="B13" s="93" t="s">
        <v>395</v>
      </c>
      <c r="C13" s="94"/>
      <c r="D13" s="106" t="s">
        <v>751</v>
      </c>
      <c r="E13" s="106" t="s">
        <v>752</v>
      </c>
      <c r="F13" s="106" t="s">
        <v>753</v>
      </c>
      <c r="G13" s="106" t="s">
        <v>754</v>
      </c>
      <c r="H13" s="106" t="s">
        <v>755</v>
      </c>
      <c r="I13" s="106" t="s">
        <v>756</v>
      </c>
      <c r="J13" s="106" t="s">
        <v>757</v>
      </c>
      <c r="K13" s="106" t="s">
        <v>758</v>
      </c>
      <c r="L13" s="106" t="s">
        <v>759</v>
      </c>
      <c r="M13" s="106" t="s">
        <v>760</v>
      </c>
      <c r="N13" s="106" t="s">
        <v>761</v>
      </c>
      <c r="O13" s="106" t="s">
        <v>762</v>
      </c>
      <c r="P13" s="106" t="s">
        <v>763</v>
      </c>
      <c r="Q13" s="106" t="s">
        <v>764</v>
      </c>
      <c r="R13" s="106" t="s">
        <v>765</v>
      </c>
      <c r="S13" s="106" t="s">
        <v>766</v>
      </c>
      <c r="T13" s="106" t="s">
        <v>767</v>
      </c>
      <c r="U13" s="106" t="s">
        <v>768</v>
      </c>
      <c r="V13" s="106" t="s">
        <v>769</v>
      </c>
      <c r="W13" s="106" t="s">
        <v>770</v>
      </c>
      <c r="X13" s="106" t="s">
        <v>771</v>
      </c>
      <c r="Y13" s="106" t="s">
        <v>772</v>
      </c>
      <c r="Z13" s="106" t="s">
        <v>773</v>
      </c>
      <c r="AA13" s="106" t="s">
        <v>774</v>
      </c>
      <c r="AB13" s="106" t="s">
        <v>775</v>
      </c>
      <c r="AC13" s="106" t="s">
        <v>776</v>
      </c>
      <c r="AD13" s="106" t="s">
        <v>777</v>
      </c>
      <c r="AE13" s="106" t="s">
        <v>778</v>
      </c>
      <c r="AF13" s="106" t="s">
        <v>779</v>
      </c>
      <c r="AG13" s="106" t="s">
        <v>780</v>
      </c>
      <c r="AH13" s="106" t="s">
        <v>781</v>
      </c>
      <c r="AI13" s="106" t="s">
        <v>782</v>
      </c>
      <c r="AJ13" s="111" t="s">
        <v>783</v>
      </c>
      <c r="AK13" s="106" t="s">
        <v>784</v>
      </c>
      <c r="AL13" s="106" t="s">
        <v>785</v>
      </c>
      <c r="AM13" s="106" t="s">
        <v>786</v>
      </c>
      <c r="AN13" s="106" t="s">
        <v>787</v>
      </c>
      <c r="AO13" s="106" t="s">
        <v>788</v>
      </c>
      <c r="AP13" s="106" t="s">
        <v>789</v>
      </c>
      <c r="AQ13" s="106" t="s">
        <v>790</v>
      </c>
      <c r="AR13" s="106" t="s">
        <v>791</v>
      </c>
      <c r="AS13" s="106" t="s">
        <v>792</v>
      </c>
      <c r="AT13" s="106" t="s">
        <v>793</v>
      </c>
      <c r="AU13" s="106" t="s">
        <v>794</v>
      </c>
      <c r="AV13" s="106" t="s">
        <v>795</v>
      </c>
      <c r="AW13" s="106" t="s">
        <v>796</v>
      </c>
      <c r="AX13" s="106" t="s">
        <v>797</v>
      </c>
      <c r="AY13" s="106" t="s">
        <v>798</v>
      </c>
      <c r="AZ13" s="106" t="s">
        <v>799</v>
      </c>
      <c r="BA13" s="106" t="s">
        <v>800</v>
      </c>
      <c r="BB13" s="106" t="s">
        <v>801</v>
      </c>
      <c r="BC13" s="106" t="s">
        <v>802</v>
      </c>
      <c r="BD13" s="107" t="s">
        <v>803</v>
      </c>
      <c r="BE13" s="107" t="s">
        <v>804</v>
      </c>
      <c r="BF13" s="107" t="s">
        <v>805</v>
      </c>
      <c r="BG13" s="107" t="s">
        <v>806</v>
      </c>
      <c r="BH13" s="107" t="s">
        <v>807</v>
      </c>
      <c r="BI13" s="107" t="s">
        <v>808</v>
      </c>
      <c r="BJ13" s="107" t="s">
        <v>809</v>
      </c>
      <c r="BK13" s="107" t="s">
        <v>810</v>
      </c>
      <c r="BL13" s="107" t="s">
        <v>811</v>
      </c>
      <c r="BM13" s="107" t="s">
        <v>812</v>
      </c>
      <c r="BN13" s="107" t="s">
        <v>813</v>
      </c>
      <c r="BO13" s="107" t="s">
        <v>814</v>
      </c>
      <c r="BP13" s="107" t="s">
        <v>815</v>
      </c>
      <c r="BQ13" s="107" t="s">
        <v>816</v>
      </c>
      <c r="BR13" s="107" t="s">
        <v>817</v>
      </c>
      <c r="BS13" s="107" t="s">
        <v>818</v>
      </c>
      <c r="BT13" s="107" t="s">
        <v>819</v>
      </c>
      <c r="BU13" s="107" t="s">
        <v>820</v>
      </c>
      <c r="BV13" s="124" t="s">
        <v>821</v>
      </c>
      <c r="BW13" s="107" t="s">
        <v>822</v>
      </c>
      <c r="BX13" s="107" t="s">
        <v>823</v>
      </c>
      <c r="BY13" s="107" t="s">
        <v>824</v>
      </c>
      <c r="BZ13" s="107" t="s">
        <v>825</v>
      </c>
      <c r="CA13" s="107" t="s">
        <v>826</v>
      </c>
      <c r="CB13" s="107" t="s">
        <v>827</v>
      </c>
      <c r="CC13" s="107" t="s">
        <v>828</v>
      </c>
      <c r="CD13" s="107" t="s">
        <v>829</v>
      </c>
      <c r="CE13" s="107" t="s">
        <v>830</v>
      </c>
      <c r="CF13" s="107" t="s">
        <v>831</v>
      </c>
      <c r="CG13" s="107" t="s">
        <v>832</v>
      </c>
      <c r="CH13" s="107" t="s">
        <v>833</v>
      </c>
      <c r="CI13" s="107" t="s">
        <v>834</v>
      </c>
      <c r="CJ13" s="107" t="s">
        <v>835</v>
      </c>
      <c r="CK13" s="107" t="s">
        <v>836</v>
      </c>
      <c r="CL13" s="107" t="s">
        <v>837</v>
      </c>
      <c r="CM13" s="107" t="s">
        <v>838</v>
      </c>
      <c r="CN13" s="107" t="s">
        <v>839</v>
      </c>
      <c r="CO13" s="107" t="s">
        <v>840</v>
      </c>
      <c r="CP13" s="107" t="s">
        <v>841</v>
      </c>
      <c r="CQ13" s="107" t="s">
        <v>842</v>
      </c>
      <c r="CR13" s="107" t="s">
        <v>843</v>
      </c>
      <c r="CS13" s="107" t="s">
        <v>844</v>
      </c>
      <c r="CT13" s="107" t="s">
        <v>845</v>
      </c>
      <c r="CU13" s="107" t="s">
        <v>846</v>
      </c>
      <c r="CV13" s="107" t="s">
        <v>847</v>
      </c>
      <c r="CW13" s="107" t="s">
        <v>848</v>
      </c>
      <c r="CX13" s="107" t="s">
        <v>849</v>
      </c>
      <c r="CY13" s="107" t="s">
        <v>850</v>
      </c>
      <c r="CZ13" s="107" t="s">
        <v>851</v>
      </c>
      <c r="DA13" s="107" t="s">
        <v>852</v>
      </c>
      <c r="DB13" s="107" t="s">
        <v>853</v>
      </c>
      <c r="DC13" s="107" t="s">
        <v>854</v>
      </c>
      <c r="DD13" s="107" t="s">
        <v>855</v>
      </c>
      <c r="DE13" s="107" t="s">
        <v>856</v>
      </c>
      <c r="DF13" s="107" t="s">
        <v>857</v>
      </c>
      <c r="DG13" s="107" t="s">
        <v>858</v>
      </c>
      <c r="DH13" s="107" t="s">
        <v>859</v>
      </c>
      <c r="DI13" s="107" t="s">
        <v>860</v>
      </c>
      <c r="DJ13" s="107" t="s">
        <v>861</v>
      </c>
      <c r="DK13" s="107" t="s">
        <v>862</v>
      </c>
      <c r="DL13" s="107" t="s">
        <v>863</v>
      </c>
      <c r="DM13" s="107" t="s">
        <v>864</v>
      </c>
      <c r="DN13" s="107" t="s">
        <v>865</v>
      </c>
      <c r="DO13" s="107" t="s">
        <v>866</v>
      </c>
      <c r="DP13" s="107" t="s">
        <v>867</v>
      </c>
      <c r="DQ13" s="107" t="s">
        <v>868</v>
      </c>
      <c r="DR13" s="127"/>
      <c r="DS13" s="127"/>
      <c r="DT13" s="127"/>
      <c r="DU13" s="127"/>
      <c r="DV13" s="127"/>
      <c r="DW13" s="127"/>
      <c r="DX13" s="127"/>
      <c r="DY13" s="127"/>
      <c r="DZ13" s="127"/>
      <c r="EA13" s="127"/>
      <c r="EB13" s="127"/>
      <c r="EC13" s="127"/>
      <c r="ED13" s="127"/>
      <c r="EE13" s="127"/>
      <c r="EF13" s="127"/>
      <c r="EG13" s="127"/>
      <c r="EH13" s="127"/>
      <c r="EI13" s="127"/>
      <c r="EJ13" s="127"/>
      <c r="EK13" s="127"/>
      <c r="EL13" s="127"/>
      <c r="EM13" s="127"/>
      <c r="EN13" s="127"/>
      <c r="EO13" s="127"/>
      <c r="EP13" s="127"/>
      <c r="EQ13" s="127"/>
      <c r="ER13" s="127"/>
      <c r="ES13" s="127"/>
      <c r="ET13" s="127"/>
      <c r="EU13" s="127"/>
      <c r="EV13" s="127"/>
      <c r="EW13" s="127"/>
      <c r="EX13" s="127"/>
      <c r="EY13" s="127"/>
      <c r="EZ13" s="127"/>
      <c r="FA13" s="127"/>
      <c r="FB13" s="127"/>
      <c r="FC13" s="127"/>
      <c r="FD13" s="127"/>
      <c r="FE13" s="127"/>
    </row>
    <row r="14" outlineLevel="1">
      <c r="A14" s="93" t="s">
        <v>869</v>
      </c>
      <c r="B14" s="93" t="s">
        <v>395</v>
      </c>
      <c r="C14" s="94"/>
      <c r="D14" s="106" t="s">
        <v>870</v>
      </c>
      <c r="E14" s="106" t="s">
        <v>871</v>
      </c>
      <c r="F14" s="106" t="s">
        <v>872</v>
      </c>
      <c r="G14" s="106" t="s">
        <v>873</v>
      </c>
      <c r="H14" s="106" t="s">
        <v>874</v>
      </c>
      <c r="I14" s="106" t="s">
        <v>875</v>
      </c>
      <c r="J14" s="106" t="s">
        <v>876</v>
      </c>
      <c r="K14" s="106" t="s">
        <v>877</v>
      </c>
      <c r="L14" s="106" t="s">
        <v>878</v>
      </c>
      <c r="M14" s="106" t="s">
        <v>879</v>
      </c>
      <c r="N14" s="106" t="s">
        <v>880</v>
      </c>
      <c r="O14" s="106" t="s">
        <v>881</v>
      </c>
      <c r="P14" s="106" t="s">
        <v>882</v>
      </c>
      <c r="Q14" s="106" t="s">
        <v>883</v>
      </c>
      <c r="R14" s="106" t="s">
        <v>884</v>
      </c>
      <c r="S14" s="106" t="s">
        <v>885</v>
      </c>
      <c r="T14" s="106" t="s">
        <v>886</v>
      </c>
      <c r="U14" s="106" t="s">
        <v>887</v>
      </c>
      <c r="V14" s="106" t="s">
        <v>888</v>
      </c>
      <c r="W14" s="106" t="s">
        <v>889</v>
      </c>
      <c r="X14" s="106" t="s">
        <v>890</v>
      </c>
      <c r="Y14" s="106" t="s">
        <v>891</v>
      </c>
      <c r="Z14" s="106" t="s">
        <v>892</v>
      </c>
      <c r="AA14" s="106" t="s">
        <v>893</v>
      </c>
      <c r="AB14" s="106" t="s">
        <v>894</v>
      </c>
      <c r="AC14" s="106" t="s">
        <v>895</v>
      </c>
      <c r="AD14" s="106" t="s">
        <v>896</v>
      </c>
      <c r="AE14" s="106" t="s">
        <v>897</v>
      </c>
      <c r="AF14" s="106" t="s">
        <v>898</v>
      </c>
      <c r="AG14" s="106" t="s">
        <v>899</v>
      </c>
      <c r="AH14" s="106" t="s">
        <v>900</v>
      </c>
      <c r="AI14" s="106" t="s">
        <v>901</v>
      </c>
      <c r="AJ14" s="111" t="s">
        <v>902</v>
      </c>
      <c r="AK14" s="106" t="s">
        <v>903</v>
      </c>
      <c r="AL14" s="106" t="s">
        <v>904</v>
      </c>
      <c r="AM14" s="106" t="s">
        <v>905</v>
      </c>
      <c r="AN14" s="106" t="s">
        <v>906</v>
      </c>
      <c r="AO14" s="106" t="s">
        <v>907</v>
      </c>
      <c r="AP14" s="106" t="s">
        <v>908</v>
      </c>
      <c r="AQ14" s="106" t="s">
        <v>909</v>
      </c>
      <c r="AR14" s="106" t="s">
        <v>910</v>
      </c>
      <c r="AS14" s="106" t="s">
        <v>911</v>
      </c>
      <c r="AT14" s="106" t="s">
        <v>912</v>
      </c>
      <c r="AU14" s="106" t="s">
        <v>913</v>
      </c>
      <c r="AV14" s="106" t="s">
        <v>914</v>
      </c>
      <c r="AW14" s="106" t="s">
        <v>915</v>
      </c>
      <c r="AX14" s="106" t="s">
        <v>916</v>
      </c>
      <c r="AY14" s="106" t="s">
        <v>917</v>
      </c>
      <c r="AZ14" s="106" t="s">
        <v>918</v>
      </c>
      <c r="BA14" s="106" t="s">
        <v>919</v>
      </c>
      <c r="BB14" s="106" t="s">
        <v>920</v>
      </c>
      <c r="BC14" s="106" t="s">
        <v>921</v>
      </c>
      <c r="BD14" s="107" t="s">
        <v>922</v>
      </c>
      <c r="BE14" s="107" t="s">
        <v>923</v>
      </c>
      <c r="BF14" s="107" t="s">
        <v>924</v>
      </c>
      <c r="BG14" s="107" t="s">
        <v>925</v>
      </c>
      <c r="BH14" s="107" t="s">
        <v>926</v>
      </c>
      <c r="BI14" s="107" t="s">
        <v>927</v>
      </c>
      <c r="BJ14" s="107" t="s">
        <v>928</v>
      </c>
      <c r="BK14" s="107" t="s">
        <v>929</v>
      </c>
      <c r="BL14" s="107" t="s">
        <v>930</v>
      </c>
      <c r="BM14" s="107" t="s">
        <v>931</v>
      </c>
      <c r="BN14" s="107" t="s">
        <v>932</v>
      </c>
      <c r="BO14" s="107" t="s">
        <v>933</v>
      </c>
      <c r="BP14" s="107" t="s">
        <v>934</v>
      </c>
      <c r="BQ14" s="107" t="s">
        <v>935</v>
      </c>
      <c r="BR14" s="107" t="s">
        <v>936</v>
      </c>
      <c r="BS14" s="107" t="s">
        <v>937</v>
      </c>
      <c r="BT14" s="107" t="s">
        <v>938</v>
      </c>
      <c r="BU14" s="107" t="s">
        <v>939</v>
      </c>
      <c r="BV14" s="124" t="s">
        <v>940</v>
      </c>
      <c r="BW14" s="107" t="s">
        <v>941</v>
      </c>
      <c r="BX14" s="107" t="s">
        <v>942</v>
      </c>
      <c r="BY14" s="107" t="s">
        <v>943</v>
      </c>
      <c r="BZ14" s="107" t="s">
        <v>944</v>
      </c>
      <c r="CA14" s="107" t="s">
        <v>945</v>
      </c>
      <c r="CB14" s="107" t="s">
        <v>946</v>
      </c>
      <c r="CC14" s="107" t="s">
        <v>947</v>
      </c>
      <c r="CD14" s="107" t="s">
        <v>948</v>
      </c>
      <c r="CE14" s="107" t="s">
        <v>949</v>
      </c>
      <c r="CF14" s="107" t="s">
        <v>950</v>
      </c>
      <c r="CG14" s="107" t="s">
        <v>951</v>
      </c>
      <c r="CH14" s="107" t="s">
        <v>952</v>
      </c>
      <c r="CI14" s="107" t="s">
        <v>953</v>
      </c>
      <c r="CJ14" s="107" t="s">
        <v>954</v>
      </c>
      <c r="CK14" s="107" t="s">
        <v>955</v>
      </c>
      <c r="CL14" s="107" t="s">
        <v>956</v>
      </c>
      <c r="CM14" s="107" t="s">
        <v>957</v>
      </c>
      <c r="CN14" s="107" t="s">
        <v>958</v>
      </c>
      <c r="CO14" s="107" t="s">
        <v>959</v>
      </c>
      <c r="CP14" s="107" t="s">
        <v>960</v>
      </c>
      <c r="CQ14" s="107" t="s">
        <v>961</v>
      </c>
      <c r="CR14" s="107" t="s">
        <v>962</v>
      </c>
      <c r="CS14" s="107" t="s">
        <v>963</v>
      </c>
      <c r="CT14" s="107" t="s">
        <v>964</v>
      </c>
      <c r="CU14" s="107" t="s">
        <v>965</v>
      </c>
      <c r="CV14" s="107" t="s">
        <v>966</v>
      </c>
      <c r="CW14" s="107" t="s">
        <v>967</v>
      </c>
      <c r="CX14" s="107" t="s">
        <v>968</v>
      </c>
      <c r="CY14" s="107" t="s">
        <v>969</v>
      </c>
      <c r="CZ14" s="107" t="s">
        <v>970</v>
      </c>
      <c r="DA14" s="107" t="s">
        <v>971</v>
      </c>
      <c r="DB14" s="107" t="s">
        <v>972</v>
      </c>
      <c r="DC14" s="107" t="s">
        <v>973</v>
      </c>
      <c r="DD14" s="107" t="s">
        <v>974</v>
      </c>
      <c r="DE14" s="107" t="s">
        <v>975</v>
      </c>
      <c r="DF14" s="107" t="s">
        <v>976</v>
      </c>
      <c r="DG14" s="107" t="s">
        <v>977</v>
      </c>
      <c r="DH14" s="107" t="s">
        <v>978</v>
      </c>
      <c r="DI14" s="107" t="s">
        <v>979</v>
      </c>
      <c r="DJ14" s="107" t="s">
        <v>980</v>
      </c>
      <c r="DK14" s="107" t="s">
        <v>981</v>
      </c>
      <c r="DL14" s="107" t="s">
        <v>982</v>
      </c>
      <c r="DM14" s="107" t="s">
        <v>983</v>
      </c>
      <c r="DN14" s="107" t="s">
        <v>984</v>
      </c>
      <c r="DO14" s="107" t="s">
        <v>985</v>
      </c>
      <c r="DP14" s="107" t="s">
        <v>986</v>
      </c>
      <c r="DQ14" s="107" t="s">
        <v>987</v>
      </c>
      <c r="DR14" s="127"/>
      <c r="DS14" s="127"/>
      <c r="DT14" s="127"/>
      <c r="DU14" s="127"/>
      <c r="DV14" s="127"/>
      <c r="DW14" s="127"/>
      <c r="DX14" s="127"/>
      <c r="DY14" s="127"/>
      <c r="DZ14" s="127"/>
      <c r="EA14" s="127"/>
      <c r="EB14" s="127"/>
      <c r="EC14" s="127"/>
      <c r="ED14" s="127"/>
      <c r="EE14" s="127"/>
      <c r="EF14" s="127"/>
      <c r="EG14" s="127"/>
      <c r="EH14" s="127"/>
      <c r="EI14" s="127"/>
      <c r="EJ14" s="127"/>
      <c r="EK14" s="127"/>
      <c r="EL14" s="127"/>
      <c r="EM14" s="127"/>
      <c r="EN14" s="127"/>
      <c r="EO14" s="127"/>
      <c r="EP14" s="127"/>
      <c r="EQ14" s="127"/>
      <c r="ER14" s="127"/>
      <c r="ES14" s="127"/>
      <c r="ET14" s="127"/>
      <c r="EU14" s="127"/>
      <c r="EV14" s="127"/>
      <c r="EW14" s="127"/>
      <c r="EX14" s="127"/>
      <c r="EY14" s="127"/>
      <c r="EZ14" s="127"/>
      <c r="FA14" s="127"/>
      <c r="FB14" s="127"/>
      <c r="FC14" s="127"/>
      <c r="FD14" s="127"/>
      <c r="FE14" s="127"/>
    </row>
    <row r="15" outlineLevel="1">
      <c r="A15" s="93" t="s">
        <v>988</v>
      </c>
      <c r="B15" s="93" t="s">
        <v>395</v>
      </c>
      <c r="C15" s="94"/>
      <c r="D15" s="106" t="s">
        <v>989</v>
      </c>
      <c r="E15" s="106" t="s">
        <v>990</v>
      </c>
      <c r="F15" s="106" t="s">
        <v>991</v>
      </c>
      <c r="G15" s="106" t="s">
        <v>992</v>
      </c>
      <c r="H15" s="106" t="s">
        <v>993</v>
      </c>
      <c r="I15" s="106" t="s">
        <v>994</v>
      </c>
      <c r="J15" s="106" t="s">
        <v>995</v>
      </c>
      <c r="K15" s="106" t="s">
        <v>996</v>
      </c>
      <c r="L15" s="106" t="s">
        <v>997</v>
      </c>
      <c r="M15" s="106" t="s">
        <v>998</v>
      </c>
      <c r="N15" s="106" t="s">
        <v>999</v>
      </c>
      <c r="O15" s="106" t="s">
        <v>1000</v>
      </c>
      <c r="P15" s="106" t="s">
        <v>1001</v>
      </c>
      <c r="Q15" s="106" t="s">
        <v>1002</v>
      </c>
      <c r="R15" s="106" t="s">
        <v>1003</v>
      </c>
      <c r="S15" s="106" t="s">
        <v>1004</v>
      </c>
      <c r="T15" s="106" t="s">
        <v>1005</v>
      </c>
      <c r="U15" s="106" t="s">
        <v>1006</v>
      </c>
      <c r="V15" s="106" t="s">
        <v>1007</v>
      </c>
      <c r="W15" s="106" t="s">
        <v>1008</v>
      </c>
      <c r="X15" s="106" t="s">
        <v>1007</v>
      </c>
      <c r="Y15" s="106" t="s">
        <v>1009</v>
      </c>
      <c r="Z15" s="106" t="s">
        <v>1010</v>
      </c>
      <c r="AA15" s="106" t="s">
        <v>1011</v>
      </c>
      <c r="AB15" s="106" t="s">
        <v>1012</v>
      </c>
      <c r="AC15" s="106" t="s">
        <v>1013</v>
      </c>
      <c r="AD15" s="106" t="s">
        <v>1014</v>
      </c>
      <c r="AE15" s="106" t="s">
        <v>1015</v>
      </c>
      <c r="AF15" s="106" t="s">
        <v>1016</v>
      </c>
      <c r="AG15" s="106" t="s">
        <v>1017</v>
      </c>
      <c r="AH15" s="106" t="s">
        <v>1018</v>
      </c>
      <c r="AI15" s="106" t="s">
        <v>1019</v>
      </c>
      <c r="AJ15" s="111" t="s">
        <v>1020</v>
      </c>
      <c r="AK15" s="106" t="s">
        <v>1021</v>
      </c>
      <c r="AL15" s="106" t="s">
        <v>1022</v>
      </c>
      <c r="AM15" s="106" t="s">
        <v>1023</v>
      </c>
      <c r="AN15" s="106" t="s">
        <v>1024</v>
      </c>
      <c r="AO15" s="106" t="s">
        <v>1025</v>
      </c>
      <c r="AP15" s="106" t="s">
        <v>1026</v>
      </c>
      <c r="AQ15" s="106" t="s">
        <v>1027</v>
      </c>
      <c r="AR15" s="106" t="s">
        <v>1028</v>
      </c>
      <c r="AS15" s="106" t="s">
        <v>1029</v>
      </c>
      <c r="AT15" s="106" t="s">
        <v>1030</v>
      </c>
      <c r="AU15" s="106" t="s">
        <v>1031</v>
      </c>
      <c r="AV15" s="106" t="s">
        <v>1032</v>
      </c>
      <c r="AW15" s="106" t="s">
        <v>1033</v>
      </c>
      <c r="AX15" s="106" t="s">
        <v>1034</v>
      </c>
      <c r="AY15" s="106" t="s">
        <v>1035</v>
      </c>
      <c r="AZ15" s="106" t="s">
        <v>1036</v>
      </c>
      <c r="BA15" s="106" t="s">
        <v>1037</v>
      </c>
      <c r="BB15" s="106" t="s">
        <v>1038</v>
      </c>
      <c r="BC15" s="106" t="s">
        <v>1039</v>
      </c>
      <c r="BD15" s="107" t="s">
        <v>1040</v>
      </c>
      <c r="BE15" s="107" t="s">
        <v>1041</v>
      </c>
      <c r="BF15" s="107" t="s">
        <v>1042</v>
      </c>
      <c r="BG15" s="107" t="s">
        <v>1043</v>
      </c>
      <c r="BH15" s="107" t="s">
        <v>1044</v>
      </c>
      <c r="BI15" s="107" t="s">
        <v>1045</v>
      </c>
      <c r="BJ15" s="107" t="s">
        <v>1046</v>
      </c>
      <c r="BK15" s="107" t="s">
        <v>1047</v>
      </c>
      <c r="BL15" s="107" t="s">
        <v>1048</v>
      </c>
      <c r="BM15" s="107" t="s">
        <v>1049</v>
      </c>
      <c r="BN15" s="107" t="s">
        <v>1050</v>
      </c>
      <c r="BO15" s="107" t="s">
        <v>1051</v>
      </c>
      <c r="BP15" s="107" t="s">
        <v>1052</v>
      </c>
      <c r="BQ15" s="107" t="s">
        <v>1053</v>
      </c>
      <c r="BR15" s="107" t="s">
        <v>1054</v>
      </c>
      <c r="BS15" s="107" t="s">
        <v>1055</v>
      </c>
      <c r="BT15" s="107" t="s">
        <v>1056</v>
      </c>
      <c r="BU15" s="107" t="s">
        <v>1057</v>
      </c>
      <c r="BV15" s="124" t="s">
        <v>1058</v>
      </c>
      <c r="BW15" s="107" t="s">
        <v>1059</v>
      </c>
      <c r="BX15" s="107" t="s">
        <v>1060</v>
      </c>
      <c r="BY15" s="107" t="s">
        <v>1061</v>
      </c>
      <c r="BZ15" s="107" t="s">
        <v>1062</v>
      </c>
      <c r="CA15" s="107" t="s">
        <v>1063</v>
      </c>
      <c r="CB15" s="107" t="s">
        <v>1064</v>
      </c>
      <c r="CC15" s="107" t="s">
        <v>1065</v>
      </c>
      <c r="CD15" s="107" t="s">
        <v>1066</v>
      </c>
      <c r="CE15" s="107" t="s">
        <v>1067</v>
      </c>
      <c r="CF15" s="107" t="s">
        <v>1068</v>
      </c>
      <c r="CG15" s="107" t="s">
        <v>1069</v>
      </c>
      <c r="CH15" s="107" t="s">
        <v>1070</v>
      </c>
      <c r="CI15" s="107" t="s">
        <v>1071</v>
      </c>
      <c r="CJ15" s="107" t="s">
        <v>1072</v>
      </c>
      <c r="CK15" s="107" t="s">
        <v>1073</v>
      </c>
      <c r="CL15" s="107" t="s">
        <v>1074</v>
      </c>
      <c r="CM15" s="107" t="s">
        <v>1075</v>
      </c>
      <c r="CN15" s="107" t="s">
        <v>1076</v>
      </c>
      <c r="CO15" s="107" t="s">
        <v>1077</v>
      </c>
      <c r="CP15" s="107" t="s">
        <v>1078</v>
      </c>
      <c r="CQ15" s="107" t="s">
        <v>1079</v>
      </c>
      <c r="CR15" s="107" t="s">
        <v>1080</v>
      </c>
      <c r="CS15" s="107" t="s">
        <v>1081</v>
      </c>
      <c r="CT15" s="107" t="s">
        <v>1082</v>
      </c>
      <c r="CU15" s="107" t="s">
        <v>1083</v>
      </c>
      <c r="CV15" s="107" t="s">
        <v>1084</v>
      </c>
      <c r="CW15" s="107" t="s">
        <v>1085</v>
      </c>
      <c r="CX15" s="107" t="s">
        <v>1086</v>
      </c>
      <c r="CY15" s="107" t="s">
        <v>1087</v>
      </c>
      <c r="CZ15" s="107" t="s">
        <v>1088</v>
      </c>
      <c r="DA15" s="107" t="s">
        <v>1089</v>
      </c>
      <c r="DB15" s="107" t="s">
        <v>1090</v>
      </c>
      <c r="DC15" s="107" t="s">
        <v>1091</v>
      </c>
      <c r="DD15" s="107" t="s">
        <v>1092</v>
      </c>
      <c r="DE15" s="107" t="s">
        <v>1093</v>
      </c>
      <c r="DF15" s="107" t="s">
        <v>1094</v>
      </c>
      <c r="DG15" s="107" t="s">
        <v>1095</v>
      </c>
      <c r="DH15" s="107" t="s">
        <v>1096</v>
      </c>
      <c r="DI15" s="107" t="s">
        <v>1097</v>
      </c>
      <c r="DJ15" s="107" t="s">
        <v>1098</v>
      </c>
      <c r="DK15" s="107" t="s">
        <v>1099</v>
      </c>
      <c r="DL15" s="107" t="s">
        <v>1100</v>
      </c>
      <c r="DM15" s="107" t="s">
        <v>1101</v>
      </c>
      <c r="DN15" s="107" t="s">
        <v>1102</v>
      </c>
      <c r="DO15" s="107" t="s">
        <v>1103</v>
      </c>
      <c r="DP15" s="107" t="s">
        <v>1104</v>
      </c>
      <c r="DQ15" s="107" t="s">
        <v>1105</v>
      </c>
      <c r="DR15" s="127"/>
      <c r="DS15" s="127"/>
      <c r="DT15" s="127"/>
      <c r="DU15" s="127"/>
      <c r="DV15" s="127"/>
      <c r="DW15" s="127"/>
      <c r="DX15" s="127"/>
      <c r="DY15" s="127"/>
      <c r="DZ15" s="127"/>
      <c r="EA15" s="127"/>
      <c r="EB15" s="127"/>
      <c r="EC15" s="127"/>
      <c r="ED15" s="127"/>
      <c r="EE15" s="127"/>
      <c r="EF15" s="127"/>
      <c r="EG15" s="127"/>
      <c r="EH15" s="127"/>
      <c r="EI15" s="127"/>
      <c r="EJ15" s="127"/>
      <c r="EK15" s="127"/>
      <c r="EL15" s="127"/>
      <c r="EM15" s="127"/>
      <c r="EN15" s="127"/>
      <c r="EO15" s="127"/>
      <c r="EP15" s="127"/>
      <c r="EQ15" s="127"/>
      <c r="ER15" s="127"/>
      <c r="ES15" s="127"/>
      <c r="ET15" s="127"/>
      <c r="EU15" s="127"/>
      <c r="EV15" s="127"/>
      <c r="EW15" s="127"/>
      <c r="EX15" s="127"/>
      <c r="EY15" s="127"/>
      <c r="EZ15" s="127"/>
      <c r="FA15" s="127"/>
      <c r="FB15" s="127"/>
      <c r="FC15" s="127"/>
      <c r="FD15" s="127"/>
      <c r="FE15" s="127"/>
    </row>
    <row r="16" outlineLevel="1">
      <c r="A16" s="93" t="s">
        <v>1106</v>
      </c>
      <c r="B16" s="93" t="s">
        <v>395</v>
      </c>
      <c r="C16" s="94"/>
      <c r="D16" s="106" t="s">
        <v>1107</v>
      </c>
      <c r="E16" s="106" t="s">
        <v>1108</v>
      </c>
      <c r="F16" s="106" t="s">
        <v>1109</v>
      </c>
      <c r="G16" s="106" t="s">
        <v>1110</v>
      </c>
      <c r="H16" s="106" t="s">
        <v>1111</v>
      </c>
      <c r="I16" s="106" t="s">
        <v>1112</v>
      </c>
      <c r="J16" s="106" t="s">
        <v>1113</v>
      </c>
      <c r="K16" s="106" t="s">
        <v>1114</v>
      </c>
      <c r="L16" s="106" t="s">
        <v>1115</v>
      </c>
      <c r="M16" s="106" t="s">
        <v>1116</v>
      </c>
      <c r="N16" s="106" t="s">
        <v>1117</v>
      </c>
      <c r="O16" s="106" t="s">
        <v>1118</v>
      </c>
      <c r="P16" s="106" t="s">
        <v>1119</v>
      </c>
      <c r="Q16" s="106" t="s">
        <v>1120</v>
      </c>
      <c r="R16" s="106" t="s">
        <v>1121</v>
      </c>
      <c r="S16" s="106" t="s">
        <v>1122</v>
      </c>
      <c r="T16" s="106" t="s">
        <v>1123</v>
      </c>
      <c r="U16" s="106" t="s">
        <v>1124</v>
      </c>
      <c r="V16" s="106" t="s">
        <v>1125</v>
      </c>
      <c r="W16" s="106" t="s">
        <v>1126</v>
      </c>
      <c r="X16" s="106" t="s">
        <v>1127</v>
      </c>
      <c r="Y16" s="106" t="s">
        <v>1128</v>
      </c>
      <c r="Z16" s="106" t="s">
        <v>1129</v>
      </c>
      <c r="AA16" s="106" t="s">
        <v>1130</v>
      </c>
      <c r="AB16" s="106" t="s">
        <v>1131</v>
      </c>
      <c r="AC16" s="106" t="s">
        <v>1132</v>
      </c>
      <c r="AD16" s="106" t="s">
        <v>1133</v>
      </c>
      <c r="AE16" s="106" t="s">
        <v>1134</v>
      </c>
      <c r="AF16" s="106" t="s">
        <v>1135</v>
      </c>
      <c r="AG16" s="106" t="s">
        <v>1136</v>
      </c>
      <c r="AH16" s="106" t="s">
        <v>1137</v>
      </c>
      <c r="AI16" s="106" t="s">
        <v>1138</v>
      </c>
      <c r="AJ16" s="111" t="s">
        <v>1139</v>
      </c>
      <c r="AK16" s="106" t="s">
        <v>1140</v>
      </c>
      <c r="AL16" s="106" t="s">
        <v>1141</v>
      </c>
      <c r="AM16" s="106" t="s">
        <v>1142</v>
      </c>
      <c r="AN16" s="106" t="s">
        <v>1143</v>
      </c>
      <c r="AO16" s="106" t="s">
        <v>1144</v>
      </c>
      <c r="AP16" s="106" t="s">
        <v>1145</v>
      </c>
      <c r="AQ16" s="106" t="s">
        <v>1146</v>
      </c>
      <c r="AR16" s="106" t="s">
        <v>1147</v>
      </c>
      <c r="AS16" s="106" t="s">
        <v>1148</v>
      </c>
      <c r="AT16" s="106" t="s">
        <v>1149</v>
      </c>
      <c r="AU16" s="106" t="s">
        <v>1150</v>
      </c>
      <c r="AV16" s="106" t="s">
        <v>1151</v>
      </c>
      <c r="AW16" s="106" t="s">
        <v>1152</v>
      </c>
      <c r="AX16" s="106" t="s">
        <v>1153</v>
      </c>
      <c r="AY16" s="106" t="s">
        <v>1154</v>
      </c>
      <c r="AZ16" s="106" t="s">
        <v>1155</v>
      </c>
      <c r="BA16" s="106" t="s">
        <v>1156</v>
      </c>
      <c r="BB16" s="106" t="s">
        <v>1157</v>
      </c>
      <c r="BC16" s="106" t="s">
        <v>1158</v>
      </c>
      <c r="BD16" s="107" t="s">
        <v>1159</v>
      </c>
      <c r="BE16" s="107" t="s">
        <v>1160</v>
      </c>
      <c r="BF16" s="107" t="s">
        <v>1161</v>
      </c>
      <c r="BG16" s="107" t="s">
        <v>1162</v>
      </c>
      <c r="BH16" s="107" t="s">
        <v>1163</v>
      </c>
      <c r="BI16" s="107" t="s">
        <v>1164</v>
      </c>
      <c r="BJ16" s="107" t="s">
        <v>1165</v>
      </c>
      <c r="BK16" s="107" t="s">
        <v>1166</v>
      </c>
      <c r="BL16" s="107" t="s">
        <v>1167</v>
      </c>
      <c r="BM16" s="107" t="s">
        <v>1168</v>
      </c>
      <c r="BN16" s="107" t="s">
        <v>1169</v>
      </c>
      <c r="BO16" s="107" t="s">
        <v>1170</v>
      </c>
      <c r="BP16" s="107" t="s">
        <v>1171</v>
      </c>
      <c r="BQ16" s="107" t="s">
        <v>1172</v>
      </c>
      <c r="BR16" s="107" t="s">
        <v>1173</v>
      </c>
      <c r="BS16" s="107" t="s">
        <v>1174</v>
      </c>
      <c r="BT16" s="107" t="s">
        <v>1175</v>
      </c>
      <c r="BU16" s="107" t="s">
        <v>1176</v>
      </c>
      <c r="BV16" s="124" t="s">
        <v>1177</v>
      </c>
      <c r="BW16" s="107" t="s">
        <v>1178</v>
      </c>
      <c r="BX16" s="107" t="s">
        <v>1179</v>
      </c>
      <c r="BY16" s="107" t="s">
        <v>1180</v>
      </c>
      <c r="BZ16" s="107" t="s">
        <v>1181</v>
      </c>
      <c r="CA16" s="107" t="s">
        <v>1182</v>
      </c>
      <c r="CB16" s="107" t="s">
        <v>1183</v>
      </c>
      <c r="CC16" s="107" t="s">
        <v>1184</v>
      </c>
      <c r="CD16" s="107" t="s">
        <v>1185</v>
      </c>
      <c r="CE16" s="107" t="s">
        <v>1186</v>
      </c>
      <c r="CF16" s="107" t="s">
        <v>1187</v>
      </c>
      <c r="CG16" s="107" t="s">
        <v>1188</v>
      </c>
      <c r="CH16" s="107" t="s">
        <v>1189</v>
      </c>
      <c r="CI16" s="107" t="s">
        <v>1190</v>
      </c>
      <c r="CJ16" s="107" t="s">
        <v>1191</v>
      </c>
      <c r="CK16" s="107" t="s">
        <v>1192</v>
      </c>
      <c r="CL16" s="107" t="s">
        <v>1193</v>
      </c>
      <c r="CM16" s="107" t="s">
        <v>1194</v>
      </c>
      <c r="CN16" s="107" t="s">
        <v>1195</v>
      </c>
      <c r="CO16" s="107" t="s">
        <v>1196</v>
      </c>
      <c r="CP16" s="107" t="s">
        <v>1197</v>
      </c>
      <c r="CQ16" s="107" t="s">
        <v>1198</v>
      </c>
      <c r="CR16" s="107" t="s">
        <v>1199</v>
      </c>
      <c r="CS16" s="107" t="s">
        <v>1200</v>
      </c>
      <c r="CT16" s="107" t="s">
        <v>1201</v>
      </c>
      <c r="CU16" s="107" t="s">
        <v>1202</v>
      </c>
      <c r="CV16" s="107" t="s">
        <v>1203</v>
      </c>
      <c r="CW16" s="107" t="s">
        <v>1204</v>
      </c>
      <c r="CX16" s="107" t="s">
        <v>1205</v>
      </c>
      <c r="CY16" s="107" t="s">
        <v>1206</v>
      </c>
      <c r="CZ16" s="107" t="s">
        <v>1207</v>
      </c>
      <c r="DA16" s="107" t="s">
        <v>1208</v>
      </c>
      <c r="DB16" s="107" t="s">
        <v>1209</v>
      </c>
      <c r="DC16" s="107" t="s">
        <v>1210</v>
      </c>
      <c r="DD16" s="107" t="s">
        <v>1211</v>
      </c>
      <c r="DE16" s="107" t="s">
        <v>1212</v>
      </c>
      <c r="DF16" s="107" t="s">
        <v>1213</v>
      </c>
      <c r="DG16" s="107" t="s">
        <v>1214</v>
      </c>
      <c r="DH16" s="107" t="s">
        <v>1215</v>
      </c>
      <c r="DI16" s="107" t="s">
        <v>1216</v>
      </c>
      <c r="DJ16" s="107" t="s">
        <v>1217</v>
      </c>
      <c r="DK16" s="107" t="s">
        <v>1218</v>
      </c>
      <c r="DL16" s="107" t="s">
        <v>1219</v>
      </c>
      <c r="DM16" s="107" t="s">
        <v>1220</v>
      </c>
      <c r="DN16" s="107" t="s">
        <v>1221</v>
      </c>
      <c r="DO16" s="107" t="s">
        <v>1222</v>
      </c>
      <c r="DP16" s="107" t="s">
        <v>1223</v>
      </c>
      <c r="DQ16" s="107" t="s">
        <v>1224</v>
      </c>
      <c r="DR16" s="127"/>
      <c r="DS16" s="127"/>
      <c r="DT16" s="127"/>
      <c r="DU16" s="127"/>
      <c r="DV16" s="127"/>
      <c r="DW16" s="127"/>
      <c r="DX16" s="127"/>
      <c r="DY16" s="127"/>
      <c r="DZ16" s="127"/>
      <c r="EA16" s="127"/>
      <c r="EB16" s="127"/>
      <c r="EC16" s="127"/>
      <c r="ED16" s="127"/>
      <c r="EE16" s="127"/>
      <c r="EF16" s="127"/>
      <c r="EG16" s="127"/>
      <c r="EH16" s="127"/>
      <c r="EI16" s="127"/>
      <c r="EJ16" s="127"/>
      <c r="EK16" s="127"/>
      <c r="EL16" s="127"/>
      <c r="EM16" s="127"/>
      <c r="EN16" s="127"/>
      <c r="EO16" s="127"/>
      <c r="EP16" s="127"/>
      <c r="EQ16" s="127"/>
      <c r="ER16" s="127"/>
      <c r="ES16" s="127"/>
      <c r="ET16" s="127"/>
      <c r="EU16" s="127"/>
      <c r="EV16" s="127"/>
      <c r="EW16" s="127"/>
      <c r="EX16" s="127"/>
      <c r="EY16" s="127"/>
      <c r="EZ16" s="127"/>
      <c r="FA16" s="127"/>
      <c r="FB16" s="127"/>
      <c r="FC16" s="127"/>
      <c r="FD16" s="127"/>
      <c r="FE16" s="127"/>
    </row>
    <row r="17" outlineLevel="1">
      <c r="A17" s="93" t="s">
        <v>1225</v>
      </c>
      <c r="B17" s="93" t="s">
        <v>395</v>
      </c>
      <c r="C17" s="94"/>
      <c r="D17" s="106" t="s">
        <v>1226</v>
      </c>
      <c r="E17" s="106" t="s">
        <v>1227</v>
      </c>
      <c r="F17" s="106" t="s">
        <v>1228</v>
      </c>
      <c r="G17" s="106" t="s">
        <v>1229</v>
      </c>
      <c r="H17" s="106" t="s">
        <v>1230</v>
      </c>
      <c r="I17" s="106" t="s">
        <v>1231</v>
      </c>
      <c r="J17" s="106" t="s">
        <v>1232</v>
      </c>
      <c r="K17" s="106" t="s">
        <v>1233</v>
      </c>
      <c r="L17" s="106" t="s">
        <v>1234</v>
      </c>
      <c r="M17" s="106" t="s">
        <v>1235</v>
      </c>
      <c r="N17" s="106" t="s">
        <v>1236</v>
      </c>
      <c r="O17" s="106" t="s">
        <v>1237</v>
      </c>
      <c r="P17" s="106" t="s">
        <v>1238</v>
      </c>
      <c r="Q17" s="106" t="s">
        <v>1239</v>
      </c>
      <c r="R17" s="106" t="s">
        <v>1240</v>
      </c>
      <c r="S17" s="106" t="s">
        <v>1241</v>
      </c>
      <c r="T17" s="106" t="s">
        <v>1242</v>
      </c>
      <c r="U17" s="106" t="s">
        <v>1243</v>
      </c>
      <c r="V17" s="106" t="s">
        <v>1244</v>
      </c>
      <c r="W17" s="106" t="s">
        <v>1245</v>
      </c>
      <c r="X17" s="106" t="s">
        <v>1246</v>
      </c>
      <c r="Y17" s="106" t="s">
        <v>1247</v>
      </c>
      <c r="Z17" s="106" t="s">
        <v>1248</v>
      </c>
      <c r="AA17" s="106" t="s">
        <v>1249</v>
      </c>
      <c r="AB17" s="106" t="s">
        <v>1250</v>
      </c>
      <c r="AC17" s="106" t="s">
        <v>1251</v>
      </c>
      <c r="AD17" s="106" t="s">
        <v>1252</v>
      </c>
      <c r="AE17" s="106" t="s">
        <v>1253</v>
      </c>
      <c r="AF17" s="106" t="s">
        <v>1254</v>
      </c>
      <c r="AG17" s="106" t="s">
        <v>1255</v>
      </c>
      <c r="AH17" s="106" t="s">
        <v>1256</v>
      </c>
      <c r="AI17" s="106" t="s">
        <v>1257</v>
      </c>
      <c r="AJ17" s="111" t="s">
        <v>1258</v>
      </c>
      <c r="AK17" s="106" t="s">
        <v>1259</v>
      </c>
      <c r="AL17" s="106" t="s">
        <v>1260</v>
      </c>
      <c r="AM17" s="106" t="s">
        <v>1261</v>
      </c>
      <c r="AN17" s="106" t="s">
        <v>1262</v>
      </c>
      <c r="AO17" s="106" t="s">
        <v>1263</v>
      </c>
      <c r="AP17" s="106" t="s">
        <v>1264</v>
      </c>
      <c r="AQ17" s="106" t="s">
        <v>1265</v>
      </c>
      <c r="AR17" s="106" t="s">
        <v>1266</v>
      </c>
      <c r="AS17" s="106" t="s">
        <v>1267</v>
      </c>
      <c r="AT17" s="106" t="s">
        <v>1268</v>
      </c>
      <c r="AU17" s="106" t="s">
        <v>1269</v>
      </c>
      <c r="AV17" s="106" t="s">
        <v>1270</v>
      </c>
      <c r="AW17" s="106" t="s">
        <v>1271</v>
      </c>
      <c r="AX17" s="106" t="s">
        <v>1272</v>
      </c>
      <c r="AY17" s="106" t="s">
        <v>1273</v>
      </c>
      <c r="AZ17" s="106" t="s">
        <v>1274</v>
      </c>
      <c r="BA17" s="106" t="s">
        <v>1275</v>
      </c>
      <c r="BB17" s="106" t="s">
        <v>1276</v>
      </c>
      <c r="BC17" s="106" t="s">
        <v>1277</v>
      </c>
      <c r="BD17" s="107" t="s">
        <v>1278</v>
      </c>
      <c r="BE17" s="107" t="s">
        <v>1279</v>
      </c>
      <c r="BF17" s="107" t="s">
        <v>1280</v>
      </c>
      <c r="BG17" s="107" t="s">
        <v>1281</v>
      </c>
      <c r="BH17" s="107" t="s">
        <v>1282</v>
      </c>
      <c r="BI17" s="107" t="s">
        <v>1283</v>
      </c>
      <c r="BJ17" s="107" t="s">
        <v>1284</v>
      </c>
      <c r="BK17" s="107" t="s">
        <v>1285</v>
      </c>
      <c r="BL17" s="107" t="s">
        <v>1286</v>
      </c>
      <c r="BM17" s="107" t="s">
        <v>1287</v>
      </c>
      <c r="BN17" s="107" t="s">
        <v>1288</v>
      </c>
      <c r="BO17" s="107" t="s">
        <v>1289</v>
      </c>
      <c r="BP17" s="107" t="s">
        <v>1290</v>
      </c>
      <c r="BQ17" s="107" t="s">
        <v>1291</v>
      </c>
      <c r="BR17" s="107" t="s">
        <v>1292</v>
      </c>
      <c r="BS17" s="107" t="s">
        <v>1293</v>
      </c>
      <c r="BT17" s="107" t="s">
        <v>1294</v>
      </c>
      <c r="BU17" s="107" t="s">
        <v>1295</v>
      </c>
      <c r="BV17" s="124" t="s">
        <v>1296</v>
      </c>
      <c r="BW17" s="107" t="s">
        <v>1297</v>
      </c>
      <c r="BX17" s="107" t="s">
        <v>1298</v>
      </c>
      <c r="BY17" s="107" t="s">
        <v>1299</v>
      </c>
      <c r="BZ17" s="107" t="s">
        <v>1300</v>
      </c>
      <c r="CA17" s="107" t="s">
        <v>1301</v>
      </c>
      <c r="CB17" s="107" t="s">
        <v>1302</v>
      </c>
      <c r="CC17" s="107" t="s">
        <v>1303</v>
      </c>
      <c r="CD17" s="107" t="s">
        <v>1304</v>
      </c>
      <c r="CE17" s="107" t="s">
        <v>1305</v>
      </c>
      <c r="CF17" s="107" t="s">
        <v>1306</v>
      </c>
      <c r="CG17" s="107" t="s">
        <v>1307</v>
      </c>
      <c r="CH17" s="107" t="s">
        <v>1308</v>
      </c>
      <c r="CI17" s="107" t="s">
        <v>1309</v>
      </c>
      <c r="CJ17" s="107" t="s">
        <v>1310</v>
      </c>
      <c r="CK17" s="107" t="s">
        <v>1311</v>
      </c>
      <c r="CL17" s="107" t="s">
        <v>1312</v>
      </c>
      <c r="CM17" s="107" t="s">
        <v>1313</v>
      </c>
      <c r="CN17" s="107" t="s">
        <v>1314</v>
      </c>
      <c r="CO17" s="107" t="s">
        <v>1315</v>
      </c>
      <c r="CP17" s="107" t="s">
        <v>1316</v>
      </c>
      <c r="CQ17" s="107" t="s">
        <v>1317</v>
      </c>
      <c r="CR17" s="107" t="s">
        <v>1318</v>
      </c>
      <c r="CS17" s="107" t="s">
        <v>1319</v>
      </c>
      <c r="CT17" s="107" t="s">
        <v>1320</v>
      </c>
      <c r="CU17" s="107" t="s">
        <v>1321</v>
      </c>
      <c r="CV17" s="107" t="s">
        <v>1322</v>
      </c>
      <c r="CW17" s="107" t="s">
        <v>1323</v>
      </c>
      <c r="CX17" s="107" t="s">
        <v>1324</v>
      </c>
      <c r="CY17" s="107" t="s">
        <v>1325</v>
      </c>
      <c r="CZ17" s="107" t="s">
        <v>1326</v>
      </c>
      <c r="DA17" s="107" t="s">
        <v>1327</v>
      </c>
      <c r="DB17" s="107" t="s">
        <v>1328</v>
      </c>
      <c r="DC17" s="107" t="s">
        <v>1329</v>
      </c>
      <c r="DD17" s="107" t="s">
        <v>1330</v>
      </c>
      <c r="DE17" s="107" t="s">
        <v>1331</v>
      </c>
      <c r="DF17" s="107" t="s">
        <v>1332</v>
      </c>
      <c r="DG17" s="107" t="s">
        <v>1333</v>
      </c>
      <c r="DH17" s="107" t="s">
        <v>1334</v>
      </c>
      <c r="DI17" s="107" t="s">
        <v>1335</v>
      </c>
      <c r="DJ17" s="107" t="s">
        <v>1336</v>
      </c>
      <c r="DK17" s="107" t="s">
        <v>1337</v>
      </c>
      <c r="DL17" s="107" t="s">
        <v>1338</v>
      </c>
      <c r="DM17" s="107" t="s">
        <v>1339</v>
      </c>
      <c r="DN17" s="107" t="s">
        <v>1340</v>
      </c>
      <c r="DO17" s="107" t="s">
        <v>1341</v>
      </c>
      <c r="DP17" s="107" t="s">
        <v>1342</v>
      </c>
      <c r="DQ17" s="107" t="s">
        <v>1343</v>
      </c>
      <c r="DR17" s="127"/>
      <c r="DS17" s="127"/>
      <c r="DT17" s="127"/>
      <c r="DU17" s="127"/>
      <c r="DV17" s="127"/>
      <c r="DW17" s="127"/>
      <c r="DX17" s="127"/>
      <c r="DY17" s="127"/>
      <c r="DZ17" s="127"/>
      <c r="EA17" s="127"/>
      <c r="EB17" s="127"/>
      <c r="EC17" s="127"/>
      <c r="ED17" s="127"/>
      <c r="EE17" s="127"/>
      <c r="EF17" s="127"/>
      <c r="EG17" s="127"/>
      <c r="EH17" s="127"/>
      <c r="EI17" s="127"/>
      <c r="EJ17" s="127"/>
      <c r="EK17" s="127"/>
      <c r="EL17" s="127"/>
      <c r="EM17" s="127"/>
      <c r="EN17" s="127"/>
      <c r="EO17" s="127"/>
      <c r="EP17" s="127"/>
      <c r="EQ17" s="127"/>
      <c r="ER17" s="127"/>
      <c r="ES17" s="127"/>
      <c r="ET17" s="127"/>
      <c r="EU17" s="127"/>
      <c r="EV17" s="127"/>
      <c r="EW17" s="127"/>
      <c r="EX17" s="127"/>
      <c r="EY17" s="127"/>
      <c r="EZ17" s="127"/>
      <c r="FA17" s="127"/>
      <c r="FB17" s="127"/>
      <c r="FC17" s="127"/>
      <c r="FD17" s="127"/>
      <c r="FE17" s="127"/>
    </row>
    <row r="18" outlineLevel="1">
      <c r="A18" s="93" t="s">
        <v>1344</v>
      </c>
      <c r="B18" s="93" t="s">
        <v>395</v>
      </c>
      <c r="C18" s="94"/>
      <c r="D18" s="106" t="s">
        <v>1345</v>
      </c>
      <c r="E18" s="106" t="s">
        <v>1346</v>
      </c>
      <c r="F18" s="106" t="s">
        <v>1347</v>
      </c>
      <c r="G18" s="106" t="s">
        <v>1348</v>
      </c>
      <c r="H18" s="106" t="s">
        <v>1349</v>
      </c>
      <c r="I18" s="106" t="s">
        <v>1350</v>
      </c>
      <c r="J18" s="106" t="s">
        <v>1351</v>
      </c>
      <c r="K18" s="106" t="s">
        <v>1352</v>
      </c>
      <c r="L18" s="106" t="s">
        <v>1353</v>
      </c>
      <c r="M18" s="106" t="s">
        <v>1354</v>
      </c>
      <c r="N18" s="106" t="s">
        <v>1355</v>
      </c>
      <c r="O18" s="106" t="s">
        <v>1356</v>
      </c>
      <c r="P18" s="106" t="s">
        <v>1357</v>
      </c>
      <c r="Q18" s="106" t="s">
        <v>1358</v>
      </c>
      <c r="R18" s="106" t="s">
        <v>1359</v>
      </c>
      <c r="S18" s="106" t="s">
        <v>1360</v>
      </c>
      <c r="T18" s="106" t="s">
        <v>1361</v>
      </c>
      <c r="U18" s="106" t="s">
        <v>1362</v>
      </c>
      <c r="V18" s="106" t="s">
        <v>1363</v>
      </c>
      <c r="W18" s="106" t="s">
        <v>1364</v>
      </c>
      <c r="X18" s="106" t="s">
        <v>1365</v>
      </c>
      <c r="Y18" s="106" t="s">
        <v>1366</v>
      </c>
      <c r="Z18" s="106" t="s">
        <v>1367</v>
      </c>
      <c r="AA18" s="106" t="s">
        <v>1368</v>
      </c>
      <c r="AB18" s="106" t="s">
        <v>1369</v>
      </c>
      <c r="AC18" s="106" t="s">
        <v>1370</v>
      </c>
      <c r="AD18" s="106" t="s">
        <v>1371</v>
      </c>
      <c r="AE18" s="106" t="s">
        <v>1372</v>
      </c>
      <c r="AF18" s="106" t="s">
        <v>1373</v>
      </c>
      <c r="AG18" s="106" t="s">
        <v>1374</v>
      </c>
      <c r="AH18" s="106" t="s">
        <v>1375</v>
      </c>
      <c r="AI18" s="106" t="s">
        <v>1376</v>
      </c>
      <c r="AJ18" s="111" t="s">
        <v>1377</v>
      </c>
      <c r="AK18" s="106" t="s">
        <v>1378</v>
      </c>
      <c r="AL18" s="106" t="s">
        <v>1379</v>
      </c>
      <c r="AM18" s="106" t="s">
        <v>1380</v>
      </c>
      <c r="AN18" s="106" t="s">
        <v>1381</v>
      </c>
      <c r="AO18" s="106" t="s">
        <v>1382</v>
      </c>
      <c r="AP18" s="106" t="s">
        <v>1383</v>
      </c>
      <c r="AQ18" s="106" t="s">
        <v>1384</v>
      </c>
      <c r="AR18" s="106" t="s">
        <v>1385</v>
      </c>
      <c r="AS18" s="106" t="s">
        <v>1386</v>
      </c>
      <c r="AT18" s="106" t="s">
        <v>1387</v>
      </c>
      <c r="AU18" s="106" t="s">
        <v>1388</v>
      </c>
      <c r="AV18" s="106" t="s">
        <v>1389</v>
      </c>
      <c r="AW18" s="106" t="s">
        <v>1390</v>
      </c>
      <c r="AX18" s="106" t="s">
        <v>1391</v>
      </c>
      <c r="AY18" s="106" t="s">
        <v>1392</v>
      </c>
      <c r="AZ18" s="106" t="s">
        <v>1393</v>
      </c>
      <c r="BA18" s="106" t="s">
        <v>1394</v>
      </c>
      <c r="BB18" s="106" t="s">
        <v>1395</v>
      </c>
      <c r="BC18" s="106" t="s">
        <v>1396</v>
      </c>
      <c r="BD18" s="107" t="s">
        <v>1397</v>
      </c>
      <c r="BE18" s="107" t="s">
        <v>1398</v>
      </c>
      <c r="BF18" s="107" t="s">
        <v>1399</v>
      </c>
      <c r="BG18" s="107" t="s">
        <v>1400</v>
      </c>
      <c r="BH18" s="107" t="s">
        <v>1401</v>
      </c>
      <c r="BI18" s="107" t="s">
        <v>1402</v>
      </c>
      <c r="BJ18" s="107" t="s">
        <v>1403</v>
      </c>
      <c r="BK18" s="107" t="s">
        <v>1404</v>
      </c>
      <c r="BL18" s="107" t="s">
        <v>1405</v>
      </c>
      <c r="BM18" s="107" t="s">
        <v>1406</v>
      </c>
      <c r="BN18" s="107" t="s">
        <v>1407</v>
      </c>
      <c r="BO18" s="107" t="s">
        <v>1408</v>
      </c>
      <c r="BP18" s="107" t="s">
        <v>1409</v>
      </c>
      <c r="BQ18" s="107" t="s">
        <v>1410</v>
      </c>
      <c r="BR18" s="107" t="s">
        <v>1411</v>
      </c>
      <c r="BS18" s="107" t="s">
        <v>1412</v>
      </c>
      <c r="BT18" s="107" t="s">
        <v>1413</v>
      </c>
      <c r="BU18" s="107" t="s">
        <v>1414</v>
      </c>
      <c r="BV18" s="124" t="s">
        <v>1415</v>
      </c>
      <c r="BW18" s="107" t="s">
        <v>1416</v>
      </c>
      <c r="BX18" s="107" t="s">
        <v>1417</v>
      </c>
      <c r="BY18" s="107" t="s">
        <v>1418</v>
      </c>
      <c r="BZ18" s="107" t="s">
        <v>1419</v>
      </c>
      <c r="CA18" s="107" t="s">
        <v>1420</v>
      </c>
      <c r="CB18" s="107" t="s">
        <v>1421</v>
      </c>
      <c r="CC18" s="107" t="s">
        <v>1422</v>
      </c>
      <c r="CD18" s="107" t="s">
        <v>1423</v>
      </c>
      <c r="CE18" s="107" t="s">
        <v>1424</v>
      </c>
      <c r="CF18" s="107" t="s">
        <v>1425</v>
      </c>
      <c r="CG18" s="107" t="s">
        <v>1426</v>
      </c>
      <c r="CH18" s="107" t="s">
        <v>1427</v>
      </c>
      <c r="CI18" s="107" t="s">
        <v>1428</v>
      </c>
      <c r="CJ18" s="107" t="s">
        <v>1429</v>
      </c>
      <c r="CK18" s="107" t="s">
        <v>1430</v>
      </c>
      <c r="CL18" s="107" t="s">
        <v>1431</v>
      </c>
      <c r="CM18" s="107" t="s">
        <v>1432</v>
      </c>
      <c r="CN18" s="107" t="s">
        <v>1433</v>
      </c>
      <c r="CO18" s="107" t="s">
        <v>1434</v>
      </c>
      <c r="CP18" s="107" t="s">
        <v>1435</v>
      </c>
      <c r="CQ18" s="107" t="s">
        <v>1436</v>
      </c>
      <c r="CR18" s="107" t="s">
        <v>1437</v>
      </c>
      <c r="CS18" s="107" t="s">
        <v>1438</v>
      </c>
      <c r="CT18" s="107" t="s">
        <v>1439</v>
      </c>
      <c r="CU18" s="107" t="s">
        <v>1440</v>
      </c>
      <c r="CV18" s="107" t="s">
        <v>1441</v>
      </c>
      <c r="CW18" s="107" t="s">
        <v>1442</v>
      </c>
      <c r="CX18" s="107" t="s">
        <v>1443</v>
      </c>
      <c r="CY18" s="107" t="s">
        <v>1444</v>
      </c>
      <c r="CZ18" s="107" t="s">
        <v>1445</v>
      </c>
      <c r="DA18" s="107" t="s">
        <v>1446</v>
      </c>
      <c r="DB18" s="107" t="s">
        <v>1447</v>
      </c>
      <c r="DC18" s="107" t="s">
        <v>1448</v>
      </c>
      <c r="DD18" s="107" t="s">
        <v>1449</v>
      </c>
      <c r="DE18" s="107" t="s">
        <v>1450</v>
      </c>
      <c r="DF18" s="107" t="s">
        <v>1451</v>
      </c>
      <c r="DG18" s="107" t="s">
        <v>1452</v>
      </c>
      <c r="DH18" s="107" t="s">
        <v>1453</v>
      </c>
      <c r="DI18" s="107" t="s">
        <v>1454</v>
      </c>
      <c r="DJ18" s="107" t="s">
        <v>1455</v>
      </c>
      <c r="DK18" s="107" t="s">
        <v>1456</v>
      </c>
      <c r="DL18" s="107" t="s">
        <v>1457</v>
      </c>
      <c r="DM18" s="107" t="s">
        <v>1458</v>
      </c>
      <c r="DN18" s="107" t="s">
        <v>1459</v>
      </c>
      <c r="DO18" s="107" t="s">
        <v>1460</v>
      </c>
      <c r="DP18" s="107" t="s">
        <v>1461</v>
      </c>
      <c r="DQ18" s="107" t="s">
        <v>1462</v>
      </c>
      <c r="DR18" s="127"/>
      <c r="DS18" s="127"/>
      <c r="DT18" s="127"/>
      <c r="DU18" s="127"/>
      <c r="DV18" s="127"/>
      <c r="DW18" s="127"/>
      <c r="DX18" s="127"/>
      <c r="DY18" s="127"/>
      <c r="DZ18" s="127"/>
      <c r="EA18" s="127"/>
      <c r="EB18" s="127"/>
      <c r="EC18" s="127"/>
      <c r="ED18" s="127"/>
      <c r="EE18" s="127"/>
      <c r="EF18" s="127"/>
      <c r="EG18" s="127"/>
      <c r="EH18" s="127"/>
      <c r="EI18" s="127"/>
      <c r="EJ18" s="127"/>
      <c r="EK18" s="127"/>
      <c r="EL18" s="127"/>
      <c r="EM18" s="127"/>
      <c r="EN18" s="127"/>
      <c r="EO18" s="127"/>
      <c r="EP18" s="127"/>
      <c r="EQ18" s="127"/>
      <c r="ER18" s="127"/>
      <c r="ES18" s="127"/>
      <c r="ET18" s="127"/>
      <c r="EU18" s="127"/>
      <c r="EV18" s="127"/>
      <c r="EW18" s="127"/>
      <c r="EX18" s="127"/>
      <c r="EY18" s="127"/>
      <c r="EZ18" s="127"/>
      <c r="FA18" s="127"/>
      <c r="FB18" s="127"/>
      <c r="FC18" s="127"/>
      <c r="FD18" s="127"/>
      <c r="FE18" s="127"/>
    </row>
    <row r="19" outlineLevel="1">
      <c r="A19" s="93" t="s">
        <v>1463</v>
      </c>
      <c r="B19" s="93" t="s">
        <v>395</v>
      </c>
      <c r="C19" s="94"/>
      <c r="D19" s="106" t="s">
        <v>1464</v>
      </c>
      <c r="E19" s="106" t="s">
        <v>1465</v>
      </c>
      <c r="F19" s="106" t="s">
        <v>1466</v>
      </c>
      <c r="G19" s="106" t="s">
        <v>1467</v>
      </c>
      <c r="H19" s="106" t="s">
        <v>1468</v>
      </c>
      <c r="I19" s="106" t="s">
        <v>1469</v>
      </c>
      <c r="J19" s="106" t="s">
        <v>1470</v>
      </c>
      <c r="K19" s="106" t="s">
        <v>1471</v>
      </c>
      <c r="L19" s="106" t="s">
        <v>1472</v>
      </c>
      <c r="M19" s="106" t="s">
        <v>1473</v>
      </c>
      <c r="N19" s="106" t="s">
        <v>1474</v>
      </c>
      <c r="O19" s="106" t="s">
        <v>1475</v>
      </c>
      <c r="P19" s="106" t="s">
        <v>1476</v>
      </c>
      <c r="Q19" s="106" t="s">
        <v>1477</v>
      </c>
      <c r="R19" s="106" t="s">
        <v>1478</v>
      </c>
      <c r="S19" s="106" t="s">
        <v>1479</v>
      </c>
      <c r="T19" s="106" t="s">
        <v>1480</v>
      </c>
      <c r="U19" s="106" t="s">
        <v>1481</v>
      </c>
      <c r="V19" s="106" t="s">
        <v>1482</v>
      </c>
      <c r="W19" s="106" t="s">
        <v>1483</v>
      </c>
      <c r="X19" s="106" t="s">
        <v>1484</v>
      </c>
      <c r="Y19" s="106" t="s">
        <v>1485</v>
      </c>
      <c r="Z19" s="106" t="s">
        <v>1486</v>
      </c>
      <c r="AA19" s="106" t="s">
        <v>1487</v>
      </c>
      <c r="AB19" s="106" t="s">
        <v>1488</v>
      </c>
      <c r="AC19" s="106" t="s">
        <v>1489</v>
      </c>
      <c r="AD19" s="106" t="s">
        <v>1490</v>
      </c>
      <c r="AE19" s="106" t="s">
        <v>1491</v>
      </c>
      <c r="AF19" s="106" t="s">
        <v>1492</v>
      </c>
      <c r="AG19" s="106" t="s">
        <v>1493</v>
      </c>
      <c r="AH19" s="106" t="s">
        <v>1494</v>
      </c>
      <c r="AI19" s="106" t="s">
        <v>1495</v>
      </c>
      <c r="AJ19" s="111" t="s">
        <v>1496</v>
      </c>
      <c r="AK19" s="106" t="s">
        <v>1497</v>
      </c>
      <c r="AL19" s="106" t="s">
        <v>1498</v>
      </c>
      <c r="AM19" s="106" t="s">
        <v>1499</v>
      </c>
      <c r="AN19" s="106" t="s">
        <v>1500</v>
      </c>
      <c r="AO19" s="106" t="s">
        <v>1501</v>
      </c>
      <c r="AP19" s="106" t="s">
        <v>1502</v>
      </c>
      <c r="AQ19" s="106" t="s">
        <v>1503</v>
      </c>
      <c r="AR19" s="106" t="s">
        <v>1504</v>
      </c>
      <c r="AS19" s="106" t="s">
        <v>1505</v>
      </c>
      <c r="AT19" s="106" t="s">
        <v>1506</v>
      </c>
      <c r="AU19" s="106" t="s">
        <v>1507</v>
      </c>
      <c r="AV19" s="106" t="s">
        <v>1508</v>
      </c>
      <c r="AW19" s="106" t="s">
        <v>1509</v>
      </c>
      <c r="AX19" s="106" t="s">
        <v>1510</v>
      </c>
      <c r="AY19" s="106" t="s">
        <v>1511</v>
      </c>
      <c r="AZ19" s="106" t="s">
        <v>1512</v>
      </c>
      <c r="BA19" s="106" t="s">
        <v>1513</v>
      </c>
      <c r="BB19" s="106" t="s">
        <v>1514</v>
      </c>
      <c r="BC19" s="106" t="s">
        <v>1515</v>
      </c>
      <c r="BD19" s="107" t="s">
        <v>1516</v>
      </c>
      <c r="BE19" s="107" t="s">
        <v>1517</v>
      </c>
      <c r="BF19" s="107" t="s">
        <v>1518</v>
      </c>
      <c r="BG19" s="107" t="s">
        <v>1519</v>
      </c>
      <c r="BH19" s="107" t="s">
        <v>1520</v>
      </c>
      <c r="BI19" s="107" t="s">
        <v>1521</v>
      </c>
      <c r="BJ19" s="107" t="s">
        <v>1522</v>
      </c>
      <c r="BK19" s="107" t="s">
        <v>1523</v>
      </c>
      <c r="BL19" s="107" t="s">
        <v>1524</v>
      </c>
      <c r="BM19" s="107" t="s">
        <v>1525</v>
      </c>
      <c r="BN19" s="107" t="s">
        <v>1526</v>
      </c>
      <c r="BO19" s="107" t="s">
        <v>1527</v>
      </c>
      <c r="BP19" s="107" t="s">
        <v>1528</v>
      </c>
      <c r="BQ19" s="107" t="s">
        <v>1529</v>
      </c>
      <c r="BR19" s="107" t="s">
        <v>1530</v>
      </c>
      <c r="BS19" s="107" t="s">
        <v>1531</v>
      </c>
      <c r="BT19" s="107" t="s">
        <v>1532</v>
      </c>
      <c r="BU19" s="107" t="s">
        <v>1533</v>
      </c>
      <c r="BV19" s="124" t="s">
        <v>1534</v>
      </c>
      <c r="BW19" s="107" t="s">
        <v>1535</v>
      </c>
      <c r="BX19" s="107" t="s">
        <v>1536</v>
      </c>
      <c r="BY19" s="107" t="s">
        <v>1537</v>
      </c>
      <c r="BZ19" s="107" t="s">
        <v>1538</v>
      </c>
      <c r="CA19" s="107" t="s">
        <v>1539</v>
      </c>
      <c r="CB19" s="107" t="s">
        <v>1540</v>
      </c>
      <c r="CC19" s="107" t="s">
        <v>1541</v>
      </c>
      <c r="CD19" s="107" t="s">
        <v>1542</v>
      </c>
      <c r="CE19" s="107" t="s">
        <v>1543</v>
      </c>
      <c r="CF19" s="107" t="s">
        <v>1544</v>
      </c>
      <c r="CG19" s="107" t="s">
        <v>1545</v>
      </c>
      <c r="CH19" s="107" t="s">
        <v>1546</v>
      </c>
      <c r="CI19" s="107" t="s">
        <v>1547</v>
      </c>
      <c r="CJ19" s="107" t="s">
        <v>1548</v>
      </c>
      <c r="CK19" s="107" t="s">
        <v>1549</v>
      </c>
      <c r="CL19" s="107" t="s">
        <v>1550</v>
      </c>
      <c r="CM19" s="107" t="s">
        <v>1551</v>
      </c>
      <c r="CN19" s="107" t="s">
        <v>1552</v>
      </c>
      <c r="CO19" s="107" t="s">
        <v>1553</v>
      </c>
      <c r="CP19" s="107" t="s">
        <v>1554</v>
      </c>
      <c r="CQ19" s="107" t="s">
        <v>1555</v>
      </c>
      <c r="CR19" s="107" t="s">
        <v>1556</v>
      </c>
      <c r="CS19" s="107" t="s">
        <v>1557</v>
      </c>
      <c r="CT19" s="107" t="s">
        <v>1558</v>
      </c>
      <c r="CU19" s="107" t="s">
        <v>1559</v>
      </c>
      <c r="CV19" s="107" t="s">
        <v>1560</v>
      </c>
      <c r="CW19" s="107" t="s">
        <v>1561</v>
      </c>
      <c r="CX19" s="107" t="s">
        <v>1562</v>
      </c>
      <c r="CY19" s="107" t="s">
        <v>1563</v>
      </c>
      <c r="CZ19" s="107" t="s">
        <v>1564</v>
      </c>
      <c r="DA19" s="107" t="s">
        <v>1565</v>
      </c>
      <c r="DB19" s="107" t="s">
        <v>1566</v>
      </c>
      <c r="DC19" s="107" t="s">
        <v>1567</v>
      </c>
      <c r="DD19" s="107" t="s">
        <v>1568</v>
      </c>
      <c r="DE19" s="107" t="s">
        <v>1569</v>
      </c>
      <c r="DF19" s="107" t="s">
        <v>1570</v>
      </c>
      <c r="DG19" s="107" t="s">
        <v>1571</v>
      </c>
      <c r="DH19" s="107" t="s">
        <v>1572</v>
      </c>
      <c r="DI19" s="107" t="s">
        <v>1573</v>
      </c>
      <c r="DJ19" s="107" t="s">
        <v>1574</v>
      </c>
      <c r="DK19" s="107" t="s">
        <v>1575</v>
      </c>
      <c r="DL19" s="107" t="s">
        <v>1576</v>
      </c>
      <c r="DM19" s="107" t="s">
        <v>1577</v>
      </c>
      <c r="DN19" s="107" t="s">
        <v>1578</v>
      </c>
      <c r="DO19" s="107" t="s">
        <v>1579</v>
      </c>
      <c r="DP19" s="107" t="s">
        <v>1580</v>
      </c>
      <c r="DQ19" s="107" t="s">
        <v>1581</v>
      </c>
      <c r="DR19" s="127"/>
      <c r="DS19" s="127"/>
      <c r="DT19" s="127"/>
      <c r="DU19" s="127"/>
      <c r="DV19" s="127"/>
      <c r="DW19" s="127"/>
      <c r="DX19" s="127"/>
      <c r="DY19" s="127"/>
      <c r="DZ19" s="127"/>
      <c r="EA19" s="127"/>
      <c r="EB19" s="127"/>
      <c r="EC19" s="127"/>
      <c r="ED19" s="127"/>
      <c r="EE19" s="127"/>
      <c r="EF19" s="127"/>
      <c r="EG19" s="127"/>
      <c r="EH19" s="127"/>
      <c r="EI19" s="127"/>
      <c r="EJ19" s="127"/>
      <c r="EK19" s="127"/>
      <c r="EL19" s="127"/>
      <c r="EM19" s="127"/>
      <c r="EN19" s="127"/>
      <c r="EO19" s="127"/>
      <c r="EP19" s="127"/>
      <c r="EQ19" s="127"/>
      <c r="ER19" s="127"/>
      <c r="ES19" s="127"/>
      <c r="ET19" s="127"/>
      <c r="EU19" s="127"/>
      <c r="EV19" s="127"/>
      <c r="EW19" s="127"/>
      <c r="EX19" s="127"/>
      <c r="EY19" s="127"/>
      <c r="EZ19" s="127"/>
      <c r="FA19" s="127"/>
      <c r="FB19" s="127"/>
      <c r="FC19" s="127"/>
      <c r="FD19" s="127"/>
      <c r="FE19" s="127"/>
    </row>
    <row r="20" outlineLevel="1">
      <c r="A20" s="93" t="s">
        <v>1582</v>
      </c>
      <c r="B20" s="93" t="s">
        <v>395</v>
      </c>
      <c r="C20" s="94"/>
      <c r="D20" s="106" t="s">
        <v>1583</v>
      </c>
      <c r="E20" s="106" t="s">
        <v>1584</v>
      </c>
      <c r="F20" s="106" t="s">
        <v>1585</v>
      </c>
      <c r="G20" s="106" t="s">
        <v>1586</v>
      </c>
      <c r="H20" s="106" t="s">
        <v>1587</v>
      </c>
      <c r="I20" s="106" t="s">
        <v>1588</v>
      </c>
      <c r="J20" s="106" t="s">
        <v>1589</v>
      </c>
      <c r="K20" s="106" t="s">
        <v>1590</v>
      </c>
      <c r="L20" s="106" t="s">
        <v>1591</v>
      </c>
      <c r="M20" s="106" t="s">
        <v>1592</v>
      </c>
      <c r="N20" s="106" t="s">
        <v>1593</v>
      </c>
      <c r="O20" s="106" t="s">
        <v>1594</v>
      </c>
      <c r="P20" s="106" t="s">
        <v>1595</v>
      </c>
      <c r="Q20" s="106" t="s">
        <v>1596</v>
      </c>
      <c r="R20" s="106" t="s">
        <v>1597</v>
      </c>
      <c r="S20" s="106" t="s">
        <v>1598</v>
      </c>
      <c r="T20" s="106" t="s">
        <v>1599</v>
      </c>
      <c r="U20" s="106" t="s">
        <v>1600</v>
      </c>
      <c r="V20" s="106" t="s">
        <v>1601</v>
      </c>
      <c r="W20" s="106" t="s">
        <v>1602</v>
      </c>
      <c r="X20" s="106" t="s">
        <v>1603</v>
      </c>
      <c r="Y20" s="106" t="s">
        <v>1604</v>
      </c>
      <c r="Z20" s="106" t="s">
        <v>1605</v>
      </c>
      <c r="AA20" s="106" t="s">
        <v>1606</v>
      </c>
      <c r="AB20" s="106" t="s">
        <v>1607</v>
      </c>
      <c r="AC20" s="106" t="s">
        <v>1608</v>
      </c>
      <c r="AD20" s="106" t="s">
        <v>1609</v>
      </c>
      <c r="AE20" s="106" t="s">
        <v>1610</v>
      </c>
      <c r="AF20" s="106" t="s">
        <v>1611</v>
      </c>
      <c r="AG20" s="106" t="s">
        <v>1612</v>
      </c>
      <c r="AH20" s="106" t="s">
        <v>1613</v>
      </c>
      <c r="AI20" s="106" t="s">
        <v>1614</v>
      </c>
      <c r="AJ20" s="111" t="s">
        <v>1615</v>
      </c>
      <c r="AK20" s="106" t="s">
        <v>1616</v>
      </c>
      <c r="AL20" s="106" t="s">
        <v>1617</v>
      </c>
      <c r="AM20" s="106" t="s">
        <v>1618</v>
      </c>
      <c r="AN20" s="106" t="s">
        <v>1619</v>
      </c>
      <c r="AO20" s="106" t="s">
        <v>1620</v>
      </c>
      <c r="AP20" s="106" t="s">
        <v>1621</v>
      </c>
      <c r="AQ20" s="106" t="s">
        <v>1622</v>
      </c>
      <c r="AR20" s="106" t="s">
        <v>1623</v>
      </c>
      <c r="AS20" s="106" t="s">
        <v>1624</v>
      </c>
      <c r="AT20" s="106" t="s">
        <v>1625</v>
      </c>
      <c r="AU20" s="106" t="s">
        <v>1626</v>
      </c>
      <c r="AV20" s="106" t="s">
        <v>1627</v>
      </c>
      <c r="AW20" s="106" t="s">
        <v>1628</v>
      </c>
      <c r="AX20" s="106" t="s">
        <v>1629</v>
      </c>
      <c r="AY20" s="106" t="s">
        <v>1630</v>
      </c>
      <c r="AZ20" s="106" t="s">
        <v>1631</v>
      </c>
      <c r="BA20" s="106" t="s">
        <v>1632</v>
      </c>
      <c r="BB20" s="106" t="s">
        <v>1633</v>
      </c>
      <c r="BC20" s="106" t="s">
        <v>1634</v>
      </c>
      <c r="BD20" s="107" t="s">
        <v>1635</v>
      </c>
      <c r="BE20" s="107" t="s">
        <v>1636</v>
      </c>
      <c r="BF20" s="107" t="s">
        <v>1637</v>
      </c>
      <c r="BG20" s="107" t="s">
        <v>1638</v>
      </c>
      <c r="BH20" s="107" t="s">
        <v>1639</v>
      </c>
      <c r="BI20" s="107" t="s">
        <v>1640</v>
      </c>
      <c r="BJ20" s="107" t="s">
        <v>1641</v>
      </c>
      <c r="BK20" s="107" t="s">
        <v>1642</v>
      </c>
      <c r="BL20" s="107" t="s">
        <v>1643</v>
      </c>
      <c r="BM20" s="107" t="s">
        <v>1644</v>
      </c>
      <c r="BN20" s="107" t="s">
        <v>1645</v>
      </c>
      <c r="BO20" s="107" t="s">
        <v>1646</v>
      </c>
      <c r="BP20" s="107" t="s">
        <v>1647</v>
      </c>
      <c r="BQ20" s="107" t="s">
        <v>1648</v>
      </c>
      <c r="BR20" s="107" t="s">
        <v>1649</v>
      </c>
      <c r="BS20" s="107" t="s">
        <v>1650</v>
      </c>
      <c r="BT20" s="107" t="s">
        <v>1651</v>
      </c>
      <c r="BU20" s="107" t="s">
        <v>1652</v>
      </c>
      <c r="BV20" s="124" t="s">
        <v>1653</v>
      </c>
      <c r="BW20" s="107" t="s">
        <v>1654</v>
      </c>
      <c r="BX20" s="107" t="s">
        <v>1655</v>
      </c>
      <c r="BY20" s="107" t="s">
        <v>1656</v>
      </c>
      <c r="BZ20" s="107" t="s">
        <v>1657</v>
      </c>
      <c r="CA20" s="107" t="s">
        <v>1658</v>
      </c>
      <c r="CB20" s="107" t="s">
        <v>1659</v>
      </c>
      <c r="CC20" s="107" t="s">
        <v>1660</v>
      </c>
      <c r="CD20" s="107" t="s">
        <v>1661</v>
      </c>
      <c r="CE20" s="107" t="s">
        <v>1662</v>
      </c>
      <c r="CF20" s="107" t="s">
        <v>1663</v>
      </c>
      <c r="CG20" s="107" t="s">
        <v>1664</v>
      </c>
      <c r="CH20" s="107" t="s">
        <v>1665</v>
      </c>
      <c r="CI20" s="107" t="s">
        <v>1666</v>
      </c>
      <c r="CJ20" s="107" t="s">
        <v>1667</v>
      </c>
      <c r="CK20" s="107" t="s">
        <v>1668</v>
      </c>
      <c r="CL20" s="107" t="s">
        <v>1669</v>
      </c>
      <c r="CM20" s="107" t="s">
        <v>1670</v>
      </c>
      <c r="CN20" s="107" t="s">
        <v>1671</v>
      </c>
      <c r="CO20" s="107" t="s">
        <v>1672</v>
      </c>
      <c r="CP20" s="107" t="s">
        <v>1673</v>
      </c>
      <c r="CQ20" s="107" t="s">
        <v>1674</v>
      </c>
      <c r="CR20" s="107" t="s">
        <v>1675</v>
      </c>
      <c r="CS20" s="107" t="s">
        <v>1676</v>
      </c>
      <c r="CT20" s="107" t="s">
        <v>1677</v>
      </c>
      <c r="CU20" s="107" t="s">
        <v>1670</v>
      </c>
      <c r="CV20" s="107" t="s">
        <v>1678</v>
      </c>
      <c r="CW20" s="107" t="s">
        <v>1679</v>
      </c>
      <c r="CX20" s="107" t="s">
        <v>1680</v>
      </c>
      <c r="CY20" s="107" t="s">
        <v>1681</v>
      </c>
      <c r="CZ20" s="107" t="s">
        <v>1682</v>
      </c>
      <c r="DA20" s="107" t="s">
        <v>1683</v>
      </c>
      <c r="DB20" s="107" t="s">
        <v>1684</v>
      </c>
      <c r="DC20" s="107" t="s">
        <v>1685</v>
      </c>
      <c r="DD20" s="107" t="s">
        <v>1686</v>
      </c>
      <c r="DE20" s="107" t="s">
        <v>1687</v>
      </c>
      <c r="DF20" s="107" t="s">
        <v>1688</v>
      </c>
      <c r="DG20" s="107" t="s">
        <v>1689</v>
      </c>
      <c r="DH20" s="107" t="s">
        <v>1690</v>
      </c>
      <c r="DI20" s="107" t="s">
        <v>1691</v>
      </c>
      <c r="DJ20" s="107" t="s">
        <v>1692</v>
      </c>
      <c r="DK20" s="107" t="s">
        <v>1693</v>
      </c>
      <c r="DL20" s="107" t="s">
        <v>1694</v>
      </c>
      <c r="DM20" s="107" t="s">
        <v>1695</v>
      </c>
      <c r="DN20" s="107" t="s">
        <v>1696</v>
      </c>
      <c r="DO20" s="107" t="s">
        <v>1697</v>
      </c>
      <c r="DP20" s="107" t="s">
        <v>1698</v>
      </c>
      <c r="DQ20" s="107" t="s">
        <v>1699</v>
      </c>
      <c r="DR20" s="127"/>
      <c r="DS20" s="127"/>
      <c r="DT20" s="127"/>
      <c r="DU20" s="127"/>
      <c r="DV20" s="127"/>
      <c r="DW20" s="127"/>
      <c r="DX20" s="127"/>
      <c r="DY20" s="127"/>
      <c r="DZ20" s="127"/>
      <c r="EA20" s="127"/>
      <c r="EB20" s="127"/>
      <c r="EC20" s="127"/>
      <c r="ED20" s="127"/>
      <c r="EE20" s="127"/>
      <c r="EF20" s="127"/>
      <c r="EG20" s="127"/>
      <c r="EH20" s="127"/>
      <c r="EI20" s="127"/>
      <c r="EJ20" s="127"/>
      <c r="EK20" s="127"/>
      <c r="EL20" s="127"/>
      <c r="EM20" s="127"/>
      <c r="EN20" s="127"/>
      <c r="EO20" s="127"/>
      <c r="EP20" s="127"/>
      <c r="EQ20" s="127"/>
      <c r="ER20" s="127"/>
      <c r="ES20" s="127"/>
      <c r="ET20" s="127"/>
      <c r="EU20" s="127"/>
      <c r="EV20" s="127"/>
      <c r="EW20" s="127"/>
      <c r="EX20" s="127"/>
      <c r="EY20" s="127"/>
      <c r="EZ20" s="127"/>
      <c r="FA20" s="127"/>
      <c r="FB20" s="127"/>
      <c r="FC20" s="127"/>
      <c r="FD20" s="127"/>
      <c r="FE20" s="127"/>
    </row>
    <row r="21" outlineLevel="1">
      <c r="A21" s="93" t="s">
        <v>1700</v>
      </c>
      <c r="B21" s="93" t="s">
        <v>395</v>
      </c>
      <c r="C21" s="94"/>
      <c r="D21" s="106" t="s">
        <v>1701</v>
      </c>
      <c r="E21" s="106" t="s">
        <v>1702</v>
      </c>
      <c r="F21" s="106" t="s">
        <v>1703</v>
      </c>
      <c r="G21" s="106" t="s">
        <v>1704</v>
      </c>
      <c r="H21" s="106" t="s">
        <v>1705</v>
      </c>
      <c r="I21" s="106" t="s">
        <v>1706</v>
      </c>
      <c r="J21" s="106" t="s">
        <v>1707</v>
      </c>
      <c r="K21" s="106" t="s">
        <v>1708</v>
      </c>
      <c r="L21" s="106" t="s">
        <v>1709</v>
      </c>
      <c r="M21" s="106" t="s">
        <v>1710</v>
      </c>
      <c r="N21" s="106" t="s">
        <v>1711</v>
      </c>
      <c r="O21" s="106" t="s">
        <v>1712</v>
      </c>
      <c r="P21" s="106" t="s">
        <v>1713</v>
      </c>
      <c r="Q21" s="106" t="s">
        <v>1714</v>
      </c>
      <c r="R21" s="106" t="s">
        <v>1715</v>
      </c>
      <c r="S21" s="106" t="s">
        <v>1716</v>
      </c>
      <c r="T21" s="106" t="s">
        <v>1717</v>
      </c>
      <c r="U21" s="106" t="s">
        <v>1718</v>
      </c>
      <c r="V21" s="106" t="s">
        <v>1719</v>
      </c>
      <c r="W21" s="106" t="s">
        <v>1720</v>
      </c>
      <c r="X21" s="106" t="s">
        <v>1721</v>
      </c>
      <c r="Y21" s="106" t="s">
        <v>1722</v>
      </c>
      <c r="Z21" s="106" t="s">
        <v>1723</v>
      </c>
      <c r="AA21" s="106" t="s">
        <v>1724</v>
      </c>
      <c r="AB21" s="106" t="s">
        <v>1725</v>
      </c>
      <c r="AC21" s="106" t="s">
        <v>1726</v>
      </c>
      <c r="AD21" s="106" t="s">
        <v>1727</v>
      </c>
      <c r="AE21" s="106" t="s">
        <v>1728</v>
      </c>
      <c r="AF21" s="106" t="s">
        <v>1729</v>
      </c>
      <c r="AG21" s="106" t="s">
        <v>1730</v>
      </c>
      <c r="AH21" s="106" t="s">
        <v>1731</v>
      </c>
      <c r="AI21" s="106" t="s">
        <v>1732</v>
      </c>
      <c r="AJ21" s="111" t="s">
        <v>1733</v>
      </c>
      <c r="AK21" s="106" t="s">
        <v>1734</v>
      </c>
      <c r="AL21" s="106" t="s">
        <v>1735</v>
      </c>
      <c r="AM21" s="106" t="s">
        <v>1736</v>
      </c>
      <c r="AN21" s="106" t="s">
        <v>1737</v>
      </c>
      <c r="AO21" s="106" t="s">
        <v>1738</v>
      </c>
      <c r="AP21" s="106" t="s">
        <v>1739</v>
      </c>
      <c r="AQ21" s="106" t="s">
        <v>1740</v>
      </c>
      <c r="AR21" s="106" t="s">
        <v>1741</v>
      </c>
      <c r="AS21" s="106" t="s">
        <v>1742</v>
      </c>
      <c r="AT21" s="106" t="s">
        <v>1743</v>
      </c>
      <c r="AU21" s="106" t="s">
        <v>1744</v>
      </c>
      <c r="AV21" s="106" t="s">
        <v>1745</v>
      </c>
      <c r="AW21" s="106" t="s">
        <v>1746</v>
      </c>
      <c r="AX21" s="106" t="s">
        <v>1747</v>
      </c>
      <c r="AY21" s="106" t="s">
        <v>1748</v>
      </c>
      <c r="AZ21" s="106" t="s">
        <v>1749</v>
      </c>
      <c r="BA21" s="106" t="s">
        <v>1750</v>
      </c>
      <c r="BB21" s="106" t="s">
        <v>1751</v>
      </c>
      <c r="BC21" s="106" t="s">
        <v>1752</v>
      </c>
      <c r="BD21" s="107" t="s">
        <v>1753</v>
      </c>
      <c r="BE21" s="107" t="s">
        <v>1754</v>
      </c>
      <c r="BF21" s="107" t="s">
        <v>1755</v>
      </c>
      <c r="BG21" s="107" t="s">
        <v>1756</v>
      </c>
      <c r="BH21" s="107" t="s">
        <v>1757</v>
      </c>
      <c r="BI21" s="107" t="s">
        <v>1758</v>
      </c>
      <c r="BJ21" s="107" t="s">
        <v>1759</v>
      </c>
      <c r="BK21" s="107" t="s">
        <v>1760</v>
      </c>
      <c r="BL21" s="107" t="s">
        <v>1761</v>
      </c>
      <c r="BM21" s="107" t="s">
        <v>1762</v>
      </c>
      <c r="BN21" s="107" t="s">
        <v>1763</v>
      </c>
      <c r="BO21" s="107" t="s">
        <v>1764</v>
      </c>
      <c r="BP21" s="107" t="s">
        <v>1765</v>
      </c>
      <c r="BQ21" s="107" t="s">
        <v>1766</v>
      </c>
      <c r="BR21" s="107" t="s">
        <v>1767</v>
      </c>
      <c r="BS21" s="107" t="s">
        <v>1768</v>
      </c>
      <c r="BT21" s="107" t="s">
        <v>1769</v>
      </c>
      <c r="BU21" s="107" t="s">
        <v>1770</v>
      </c>
      <c r="BV21" s="124" t="s">
        <v>1771</v>
      </c>
      <c r="BW21" s="107" t="s">
        <v>1772</v>
      </c>
      <c r="BX21" s="107" t="s">
        <v>1773</v>
      </c>
      <c r="BY21" s="107" t="s">
        <v>1774</v>
      </c>
      <c r="BZ21" s="107" t="s">
        <v>1775</v>
      </c>
      <c r="CA21" s="107" t="s">
        <v>1776</v>
      </c>
      <c r="CB21" s="107" t="s">
        <v>1777</v>
      </c>
      <c r="CC21" s="107" t="s">
        <v>1778</v>
      </c>
      <c r="CD21" s="107" t="s">
        <v>1779</v>
      </c>
      <c r="CE21" s="107" t="s">
        <v>1780</v>
      </c>
      <c r="CF21" s="107" t="s">
        <v>1781</v>
      </c>
      <c r="CG21" s="107" t="s">
        <v>1782</v>
      </c>
      <c r="CH21" s="107" t="s">
        <v>1783</v>
      </c>
      <c r="CI21" s="107" t="s">
        <v>1784</v>
      </c>
      <c r="CJ21" s="107" t="s">
        <v>1785</v>
      </c>
      <c r="CK21" s="107" t="s">
        <v>1786</v>
      </c>
      <c r="CL21" s="107" t="s">
        <v>1787</v>
      </c>
      <c r="CM21" s="107" t="s">
        <v>1788</v>
      </c>
      <c r="CN21" s="107" t="s">
        <v>1789</v>
      </c>
      <c r="CO21" s="107" t="s">
        <v>1790</v>
      </c>
      <c r="CP21" s="107" t="s">
        <v>1791</v>
      </c>
      <c r="CQ21" s="107" t="s">
        <v>1792</v>
      </c>
      <c r="CR21" s="107" t="s">
        <v>1793</v>
      </c>
      <c r="CS21" s="107" t="s">
        <v>1794</v>
      </c>
      <c r="CT21" s="107" t="s">
        <v>1795</v>
      </c>
      <c r="CU21" s="107" t="s">
        <v>1796</v>
      </c>
      <c r="CV21" s="107" t="s">
        <v>1797</v>
      </c>
      <c r="CW21" s="107" t="s">
        <v>1798</v>
      </c>
      <c r="CX21" s="107" t="s">
        <v>1799</v>
      </c>
      <c r="CY21" s="107" t="s">
        <v>1800</v>
      </c>
      <c r="CZ21" s="107" t="s">
        <v>1801</v>
      </c>
      <c r="DA21" s="107" t="s">
        <v>1802</v>
      </c>
      <c r="DB21" s="107" t="s">
        <v>1803</v>
      </c>
      <c r="DC21" s="107" t="s">
        <v>1804</v>
      </c>
      <c r="DD21" s="107" t="s">
        <v>1805</v>
      </c>
      <c r="DE21" s="107" t="s">
        <v>1806</v>
      </c>
      <c r="DF21" s="107" t="s">
        <v>1807</v>
      </c>
      <c r="DG21" s="107" t="s">
        <v>1808</v>
      </c>
      <c r="DH21" s="107" t="s">
        <v>1809</v>
      </c>
      <c r="DI21" s="107" t="s">
        <v>1810</v>
      </c>
      <c r="DJ21" s="107" t="s">
        <v>1811</v>
      </c>
      <c r="DK21" s="107" t="s">
        <v>1812</v>
      </c>
      <c r="DL21" s="107" t="s">
        <v>1813</v>
      </c>
      <c r="DM21" s="107" t="s">
        <v>1814</v>
      </c>
      <c r="DN21" s="107" t="s">
        <v>1815</v>
      </c>
      <c r="DO21" s="107" t="s">
        <v>1816</v>
      </c>
      <c r="DP21" s="107" t="s">
        <v>1817</v>
      </c>
      <c r="DQ21" s="107" t="s">
        <v>1818</v>
      </c>
      <c r="DR21" s="127"/>
      <c r="DS21" s="127"/>
      <c r="DT21" s="127"/>
      <c r="DU21" s="127"/>
      <c r="DV21" s="127"/>
      <c r="DW21" s="127"/>
      <c r="DX21" s="127"/>
      <c r="DY21" s="127"/>
      <c r="DZ21" s="127"/>
      <c r="EA21" s="127"/>
      <c r="EB21" s="127"/>
      <c r="EC21" s="127"/>
      <c r="ED21" s="127"/>
      <c r="EE21" s="127"/>
      <c r="EF21" s="127"/>
      <c r="EG21" s="127"/>
      <c r="EH21" s="127"/>
      <c r="EI21" s="127"/>
      <c r="EJ21" s="127"/>
      <c r="EK21" s="127"/>
      <c r="EL21" s="127"/>
      <c r="EM21" s="127"/>
      <c r="EN21" s="127"/>
      <c r="EO21" s="127"/>
      <c r="EP21" s="127"/>
      <c r="EQ21" s="127"/>
      <c r="ER21" s="127"/>
      <c r="ES21" s="127"/>
      <c r="ET21" s="127"/>
      <c r="EU21" s="127"/>
      <c r="EV21" s="127"/>
      <c r="EW21" s="127"/>
      <c r="EX21" s="127"/>
      <c r="EY21" s="127"/>
      <c r="EZ21" s="127"/>
      <c r="FA21" s="127"/>
      <c r="FB21" s="127"/>
      <c r="FC21" s="127"/>
      <c r="FD21" s="127"/>
      <c r="FE21" s="127"/>
    </row>
    <row r="22" outlineLevel="1">
      <c r="A22" s="93" t="s">
        <v>1819</v>
      </c>
      <c r="B22" s="93" t="s">
        <v>395</v>
      </c>
      <c r="C22" s="94"/>
      <c r="D22" s="106" t="s">
        <v>1820</v>
      </c>
      <c r="E22" s="106" t="s">
        <v>1821</v>
      </c>
      <c r="F22" s="106" t="s">
        <v>1822</v>
      </c>
      <c r="G22" s="106" t="s">
        <v>1823</v>
      </c>
      <c r="H22" s="106" t="s">
        <v>1824</v>
      </c>
      <c r="I22" s="106" t="s">
        <v>1825</v>
      </c>
      <c r="J22" s="106" t="s">
        <v>1826</v>
      </c>
      <c r="K22" s="106" t="s">
        <v>1827</v>
      </c>
      <c r="L22" s="106" t="s">
        <v>1828</v>
      </c>
      <c r="M22" s="106" t="s">
        <v>1829</v>
      </c>
      <c r="N22" s="106" t="s">
        <v>1830</v>
      </c>
      <c r="O22" s="106" t="s">
        <v>1831</v>
      </c>
      <c r="P22" s="106" t="s">
        <v>1832</v>
      </c>
      <c r="Q22" s="106" t="s">
        <v>1833</v>
      </c>
      <c r="R22" s="106" t="s">
        <v>1834</v>
      </c>
      <c r="S22" s="106" t="s">
        <v>1835</v>
      </c>
      <c r="T22" s="106" t="s">
        <v>1836</v>
      </c>
      <c r="U22" s="106" t="s">
        <v>1837</v>
      </c>
      <c r="V22" s="106" t="s">
        <v>1838</v>
      </c>
      <c r="W22" s="106" t="s">
        <v>1839</v>
      </c>
      <c r="X22" s="106" t="s">
        <v>1840</v>
      </c>
      <c r="Y22" s="106" t="s">
        <v>1841</v>
      </c>
      <c r="Z22" s="106" t="s">
        <v>1842</v>
      </c>
      <c r="AA22" s="106" t="s">
        <v>1843</v>
      </c>
      <c r="AB22" s="106" t="s">
        <v>1844</v>
      </c>
      <c r="AC22" s="106" t="s">
        <v>1845</v>
      </c>
      <c r="AD22" s="106" t="s">
        <v>1846</v>
      </c>
      <c r="AE22" s="106" t="s">
        <v>1847</v>
      </c>
      <c r="AF22" s="106" t="s">
        <v>1848</v>
      </c>
      <c r="AG22" s="106" t="s">
        <v>1849</v>
      </c>
      <c r="AH22" s="106" t="s">
        <v>1850</v>
      </c>
      <c r="AI22" s="106" t="s">
        <v>1851</v>
      </c>
      <c r="AJ22" s="111" t="s">
        <v>1852</v>
      </c>
      <c r="AK22" s="106" t="s">
        <v>1853</v>
      </c>
      <c r="AL22" s="106" t="s">
        <v>1854</v>
      </c>
      <c r="AM22" s="106" t="s">
        <v>1855</v>
      </c>
      <c r="AN22" s="106" t="s">
        <v>1856</v>
      </c>
      <c r="AO22" s="106" t="s">
        <v>1857</v>
      </c>
      <c r="AP22" s="106" t="s">
        <v>1858</v>
      </c>
      <c r="AQ22" s="106" t="s">
        <v>1859</v>
      </c>
      <c r="AR22" s="106" t="s">
        <v>1860</v>
      </c>
      <c r="AS22" s="106" t="s">
        <v>1861</v>
      </c>
      <c r="AT22" s="106" t="s">
        <v>1862</v>
      </c>
      <c r="AU22" s="106" t="s">
        <v>1863</v>
      </c>
      <c r="AV22" s="106" t="s">
        <v>1864</v>
      </c>
      <c r="AW22" s="106" t="s">
        <v>1865</v>
      </c>
      <c r="AX22" s="106" t="s">
        <v>1866</v>
      </c>
      <c r="AY22" s="106" t="s">
        <v>1867</v>
      </c>
      <c r="AZ22" s="106" t="s">
        <v>1868</v>
      </c>
      <c r="BA22" s="106" t="s">
        <v>1869</v>
      </c>
      <c r="BB22" s="106" t="s">
        <v>1870</v>
      </c>
      <c r="BC22" s="106" t="s">
        <v>1871</v>
      </c>
      <c r="BD22" s="107" t="s">
        <v>1872</v>
      </c>
      <c r="BE22" s="107" t="s">
        <v>1873</v>
      </c>
      <c r="BF22" s="107" t="s">
        <v>1874</v>
      </c>
      <c r="BG22" s="107" t="s">
        <v>1875</v>
      </c>
      <c r="BH22" s="107" t="s">
        <v>1876</v>
      </c>
      <c r="BI22" s="107" t="s">
        <v>1877</v>
      </c>
      <c r="BJ22" s="107" t="s">
        <v>1878</v>
      </c>
      <c r="BK22" s="107" t="s">
        <v>1879</v>
      </c>
      <c r="BL22" s="107" t="s">
        <v>1880</v>
      </c>
      <c r="BM22" s="107" t="s">
        <v>1881</v>
      </c>
      <c r="BN22" s="107" t="s">
        <v>1882</v>
      </c>
      <c r="BO22" s="107" t="s">
        <v>1883</v>
      </c>
      <c r="BP22" s="107" t="s">
        <v>1884</v>
      </c>
      <c r="BQ22" s="107" t="s">
        <v>1885</v>
      </c>
      <c r="BR22" s="107" t="s">
        <v>1886</v>
      </c>
      <c r="BS22" s="107" t="s">
        <v>1887</v>
      </c>
      <c r="BT22" s="107" t="s">
        <v>1888</v>
      </c>
      <c r="BU22" s="107" t="s">
        <v>1889</v>
      </c>
      <c r="BV22" s="124" t="s">
        <v>1890</v>
      </c>
      <c r="BW22" s="107" t="s">
        <v>1891</v>
      </c>
      <c r="BX22" s="107" t="s">
        <v>1892</v>
      </c>
      <c r="BY22" s="107" t="s">
        <v>1893</v>
      </c>
      <c r="BZ22" s="107" t="s">
        <v>1894</v>
      </c>
      <c r="CA22" s="107" t="s">
        <v>1895</v>
      </c>
      <c r="CB22" s="107" t="s">
        <v>1896</v>
      </c>
      <c r="CC22" s="107" t="s">
        <v>1897</v>
      </c>
      <c r="CD22" s="107" t="s">
        <v>1898</v>
      </c>
      <c r="CE22" s="107" t="s">
        <v>1899</v>
      </c>
      <c r="CF22" s="107" t="s">
        <v>1900</v>
      </c>
      <c r="CG22" s="107" t="s">
        <v>1901</v>
      </c>
      <c r="CH22" s="107" t="s">
        <v>1902</v>
      </c>
      <c r="CI22" s="107" t="s">
        <v>1903</v>
      </c>
      <c r="CJ22" s="107" t="s">
        <v>1904</v>
      </c>
      <c r="CK22" s="107" t="s">
        <v>1905</v>
      </c>
      <c r="CL22" s="107" t="s">
        <v>1906</v>
      </c>
      <c r="CM22" s="107" t="s">
        <v>1907</v>
      </c>
      <c r="CN22" s="107" t="s">
        <v>1908</v>
      </c>
      <c r="CO22" s="107" t="s">
        <v>1909</v>
      </c>
      <c r="CP22" s="107" t="s">
        <v>1910</v>
      </c>
      <c r="CQ22" s="107" t="s">
        <v>1911</v>
      </c>
      <c r="CR22" s="107" t="s">
        <v>1912</v>
      </c>
      <c r="CS22" s="107" t="s">
        <v>1913</v>
      </c>
      <c r="CT22" s="107" t="s">
        <v>1914</v>
      </c>
      <c r="CU22" s="107" t="s">
        <v>1915</v>
      </c>
      <c r="CV22" s="107" t="s">
        <v>1916</v>
      </c>
      <c r="CW22" s="107" t="s">
        <v>1917</v>
      </c>
      <c r="CX22" s="107" t="s">
        <v>1918</v>
      </c>
      <c r="CY22" s="107" t="s">
        <v>1919</v>
      </c>
      <c r="CZ22" s="107" t="s">
        <v>1920</v>
      </c>
      <c r="DA22" s="107" t="s">
        <v>1921</v>
      </c>
      <c r="DB22" s="107" t="s">
        <v>1922</v>
      </c>
      <c r="DC22" s="107" t="s">
        <v>1923</v>
      </c>
      <c r="DD22" s="107" t="s">
        <v>1924</v>
      </c>
      <c r="DE22" s="107" t="s">
        <v>1925</v>
      </c>
      <c r="DF22" s="107" t="s">
        <v>1926</v>
      </c>
      <c r="DG22" s="107" t="s">
        <v>1927</v>
      </c>
      <c r="DH22" s="107" t="s">
        <v>1928</v>
      </c>
      <c r="DI22" s="107" t="s">
        <v>1929</v>
      </c>
      <c r="DJ22" s="107" t="s">
        <v>1930</v>
      </c>
      <c r="DK22" s="107" t="s">
        <v>1931</v>
      </c>
      <c r="DL22" s="107" t="s">
        <v>1932</v>
      </c>
      <c r="DM22" s="107" t="s">
        <v>1933</v>
      </c>
      <c r="DN22" s="107" t="s">
        <v>1934</v>
      </c>
      <c r="DO22" s="107" t="s">
        <v>1935</v>
      </c>
      <c r="DP22" s="107" t="s">
        <v>1936</v>
      </c>
      <c r="DQ22" s="107" t="s">
        <v>1937</v>
      </c>
      <c r="DR22" s="127"/>
      <c r="DS22" s="127"/>
      <c r="DT22" s="127"/>
      <c r="DU22" s="127"/>
      <c r="DV22" s="127"/>
      <c r="DW22" s="127"/>
      <c r="DX22" s="127"/>
      <c r="DY22" s="127"/>
      <c r="DZ22" s="127"/>
      <c r="EA22" s="127"/>
      <c r="EB22" s="127"/>
      <c r="EC22" s="127"/>
      <c r="ED22" s="127"/>
      <c r="EE22" s="127"/>
      <c r="EF22" s="127"/>
      <c r="EG22" s="127"/>
      <c r="EH22" s="127"/>
      <c r="EI22" s="127"/>
      <c r="EJ22" s="127"/>
      <c r="EK22" s="127"/>
      <c r="EL22" s="127"/>
      <c r="EM22" s="127"/>
      <c r="EN22" s="127"/>
      <c r="EO22" s="127"/>
      <c r="EP22" s="127"/>
      <c r="EQ22" s="127"/>
      <c r="ER22" s="127"/>
      <c r="ES22" s="127"/>
      <c r="ET22" s="127"/>
      <c r="EU22" s="127"/>
      <c r="EV22" s="127"/>
      <c r="EW22" s="127"/>
      <c r="EX22" s="127"/>
      <c r="EY22" s="127"/>
      <c r="EZ22" s="127"/>
      <c r="FA22" s="127"/>
      <c r="FB22" s="127"/>
      <c r="FC22" s="127"/>
      <c r="FD22" s="127"/>
      <c r="FE22" s="127"/>
    </row>
    <row r="23" outlineLevel="1">
      <c r="A23" s="93" t="s">
        <v>1938</v>
      </c>
      <c r="B23" s="93" t="s">
        <v>395</v>
      </c>
      <c r="C23" s="94"/>
      <c r="D23" s="106" t="s">
        <v>1939</v>
      </c>
      <c r="E23" s="106" t="s">
        <v>1940</v>
      </c>
      <c r="F23" s="106" t="s">
        <v>1941</v>
      </c>
      <c r="G23" s="106" t="s">
        <v>1942</v>
      </c>
      <c r="H23" s="106" t="s">
        <v>1943</v>
      </c>
      <c r="I23" s="106" t="s">
        <v>1944</v>
      </c>
      <c r="J23" s="106" t="s">
        <v>1945</v>
      </c>
      <c r="K23" s="106" t="s">
        <v>1946</v>
      </c>
      <c r="L23" s="106" t="s">
        <v>1947</v>
      </c>
      <c r="M23" s="106" t="s">
        <v>1948</v>
      </c>
      <c r="N23" s="106" t="s">
        <v>1949</v>
      </c>
      <c r="O23" s="106" t="s">
        <v>1950</v>
      </c>
      <c r="P23" s="106" t="s">
        <v>1951</v>
      </c>
      <c r="Q23" s="106" t="s">
        <v>1952</v>
      </c>
      <c r="R23" s="106" t="s">
        <v>1953</v>
      </c>
      <c r="S23" s="106" t="s">
        <v>1954</v>
      </c>
      <c r="T23" s="106" t="s">
        <v>1955</v>
      </c>
      <c r="U23" s="106" t="s">
        <v>1956</v>
      </c>
      <c r="V23" s="106" t="s">
        <v>1957</v>
      </c>
      <c r="W23" s="106" t="s">
        <v>1958</v>
      </c>
      <c r="X23" s="106" t="s">
        <v>1959</v>
      </c>
      <c r="Y23" s="106" t="s">
        <v>1960</v>
      </c>
      <c r="Z23" s="106" t="s">
        <v>1961</v>
      </c>
      <c r="AA23" s="106" t="s">
        <v>1962</v>
      </c>
      <c r="AB23" s="106" t="s">
        <v>1963</v>
      </c>
      <c r="AC23" s="106" t="s">
        <v>1964</v>
      </c>
      <c r="AD23" s="106" t="s">
        <v>1965</v>
      </c>
      <c r="AE23" s="106" t="s">
        <v>1966</v>
      </c>
      <c r="AF23" s="106" t="s">
        <v>1967</v>
      </c>
      <c r="AG23" s="106" t="s">
        <v>1968</v>
      </c>
      <c r="AH23" s="106" t="s">
        <v>1969</v>
      </c>
      <c r="AI23" s="106" t="s">
        <v>1970</v>
      </c>
      <c r="AJ23" s="111" t="s">
        <v>1971</v>
      </c>
      <c r="AK23" s="106" t="s">
        <v>1972</v>
      </c>
      <c r="AL23" s="106" t="s">
        <v>1973</v>
      </c>
      <c r="AM23" s="106" t="s">
        <v>1974</v>
      </c>
      <c r="AN23" s="106" t="s">
        <v>1975</v>
      </c>
      <c r="AO23" s="106" t="s">
        <v>1976</v>
      </c>
      <c r="AP23" s="106" t="s">
        <v>1977</v>
      </c>
      <c r="AQ23" s="106" t="s">
        <v>1978</v>
      </c>
      <c r="AR23" s="106" t="s">
        <v>1979</v>
      </c>
      <c r="AS23" s="106" t="s">
        <v>1980</v>
      </c>
      <c r="AT23" s="106" t="s">
        <v>1981</v>
      </c>
      <c r="AU23" s="106" t="s">
        <v>1982</v>
      </c>
      <c r="AV23" s="106" t="s">
        <v>1983</v>
      </c>
      <c r="AW23" s="106" t="s">
        <v>1984</v>
      </c>
      <c r="AX23" s="106" t="s">
        <v>1985</v>
      </c>
      <c r="AY23" s="106" t="s">
        <v>1986</v>
      </c>
      <c r="AZ23" s="106" t="s">
        <v>1987</v>
      </c>
      <c r="BA23" s="106" t="s">
        <v>1988</v>
      </c>
      <c r="BB23" s="106" t="s">
        <v>1989</v>
      </c>
      <c r="BC23" s="106" t="s">
        <v>1990</v>
      </c>
      <c r="BD23" s="107" t="s">
        <v>1991</v>
      </c>
      <c r="BE23" s="107" t="s">
        <v>1992</v>
      </c>
      <c r="BF23" s="107" t="s">
        <v>1993</v>
      </c>
      <c r="BG23" s="107" t="s">
        <v>1994</v>
      </c>
      <c r="BH23" s="107" t="s">
        <v>1995</v>
      </c>
      <c r="BI23" s="107" t="s">
        <v>1996</v>
      </c>
      <c r="BJ23" s="107" t="s">
        <v>1997</v>
      </c>
      <c r="BK23" s="107" t="s">
        <v>1998</v>
      </c>
      <c r="BL23" s="107" t="s">
        <v>1999</v>
      </c>
      <c r="BM23" s="107" t="s">
        <v>2000</v>
      </c>
      <c r="BN23" s="107" t="s">
        <v>2001</v>
      </c>
      <c r="BO23" s="107" t="s">
        <v>2002</v>
      </c>
      <c r="BP23" s="107" t="s">
        <v>2003</v>
      </c>
      <c r="BQ23" s="107" t="s">
        <v>2004</v>
      </c>
      <c r="BR23" s="107" t="s">
        <v>2005</v>
      </c>
      <c r="BS23" s="107" t="s">
        <v>2006</v>
      </c>
      <c r="BT23" s="107" t="s">
        <v>2007</v>
      </c>
      <c r="BU23" s="107" t="s">
        <v>2008</v>
      </c>
      <c r="BV23" s="124" t="s">
        <v>2009</v>
      </c>
      <c r="BW23" s="107" t="s">
        <v>2010</v>
      </c>
      <c r="BX23" s="107" t="s">
        <v>2011</v>
      </c>
      <c r="BY23" s="107" t="s">
        <v>2012</v>
      </c>
      <c r="BZ23" s="107" t="s">
        <v>2013</v>
      </c>
      <c r="CA23" s="107" t="s">
        <v>2014</v>
      </c>
      <c r="CB23" s="107" t="s">
        <v>2015</v>
      </c>
      <c r="CC23" s="107" t="s">
        <v>2016</v>
      </c>
      <c r="CD23" s="107" t="s">
        <v>2017</v>
      </c>
      <c r="CE23" s="107" t="s">
        <v>2018</v>
      </c>
      <c r="CF23" s="107" t="s">
        <v>2019</v>
      </c>
      <c r="CG23" s="107" t="s">
        <v>2020</v>
      </c>
      <c r="CH23" s="107" t="s">
        <v>2021</v>
      </c>
      <c r="CI23" s="107" t="s">
        <v>2022</v>
      </c>
      <c r="CJ23" s="107" t="s">
        <v>2023</v>
      </c>
      <c r="CK23" s="107" t="s">
        <v>2024</v>
      </c>
      <c r="CL23" s="107" t="s">
        <v>2025</v>
      </c>
      <c r="CM23" s="107" t="s">
        <v>2026</v>
      </c>
      <c r="CN23" s="107" t="s">
        <v>2027</v>
      </c>
      <c r="CO23" s="107" t="s">
        <v>2028</v>
      </c>
      <c r="CP23" s="107" t="s">
        <v>2029</v>
      </c>
      <c r="CQ23" s="107" t="s">
        <v>2030</v>
      </c>
      <c r="CR23" s="107" t="s">
        <v>2031</v>
      </c>
      <c r="CS23" s="107" t="s">
        <v>2032</v>
      </c>
      <c r="CT23" s="107" t="s">
        <v>2033</v>
      </c>
      <c r="CU23" s="107" t="s">
        <v>2034</v>
      </c>
      <c r="CV23" s="107" t="s">
        <v>2035</v>
      </c>
      <c r="CW23" s="107" t="s">
        <v>2036</v>
      </c>
      <c r="CX23" s="107" t="s">
        <v>2037</v>
      </c>
      <c r="CY23" s="107" t="s">
        <v>2038</v>
      </c>
      <c r="CZ23" s="107" t="s">
        <v>2039</v>
      </c>
      <c r="DA23" s="107" t="s">
        <v>2040</v>
      </c>
      <c r="DB23" s="107" t="s">
        <v>2041</v>
      </c>
      <c r="DC23" s="107" t="s">
        <v>2042</v>
      </c>
      <c r="DD23" s="107" t="s">
        <v>2043</v>
      </c>
      <c r="DE23" s="107" t="s">
        <v>2044</v>
      </c>
      <c r="DF23" s="107" t="s">
        <v>2045</v>
      </c>
      <c r="DG23" s="107" t="s">
        <v>2046</v>
      </c>
      <c r="DH23" s="107" t="s">
        <v>2047</v>
      </c>
      <c r="DI23" s="107" t="s">
        <v>2048</v>
      </c>
      <c r="DJ23" s="107" t="s">
        <v>2049</v>
      </c>
      <c r="DK23" s="107" t="s">
        <v>2050</v>
      </c>
      <c r="DL23" s="107" t="s">
        <v>2051</v>
      </c>
      <c r="DM23" s="107" t="s">
        <v>2052</v>
      </c>
      <c r="DN23" s="107" t="s">
        <v>2053</v>
      </c>
      <c r="DO23" s="107" t="s">
        <v>2054</v>
      </c>
      <c r="DP23" s="107" t="s">
        <v>2055</v>
      </c>
      <c r="DQ23" s="107" t="s">
        <v>2056</v>
      </c>
      <c r="DR23" s="127"/>
      <c r="DS23" s="127"/>
      <c r="DT23" s="125"/>
      <c r="DU23" s="127"/>
      <c r="DV23" s="125"/>
      <c r="DW23" s="125"/>
      <c r="DX23" s="125"/>
      <c r="DY23" s="125"/>
      <c r="DZ23" s="125"/>
      <c r="EA23" s="125"/>
      <c r="EB23" s="125"/>
      <c r="EC23" s="125"/>
      <c r="ED23" s="125"/>
      <c r="EE23" s="125"/>
      <c r="EF23" s="125"/>
      <c r="EG23" s="125"/>
      <c r="EH23" s="125"/>
      <c r="EI23" s="125"/>
      <c r="EJ23" s="125"/>
      <c r="EK23" s="125"/>
      <c r="EL23" s="125"/>
      <c r="EM23" s="125"/>
      <c r="EN23" s="125"/>
      <c r="EO23" s="125"/>
      <c r="EP23" s="125"/>
      <c r="EQ23" s="125"/>
      <c r="ER23" s="125"/>
      <c r="ES23" s="125"/>
      <c r="ET23" s="125"/>
      <c r="EU23" s="125"/>
      <c r="EV23" s="125"/>
      <c r="EW23" s="125"/>
      <c r="EX23" s="125"/>
      <c r="EY23" s="125"/>
      <c r="EZ23" s="125"/>
      <c r="FA23" s="125"/>
      <c r="FB23" s="125"/>
      <c r="FC23" s="125"/>
      <c r="FD23" s="125"/>
      <c r="FE23" s="125"/>
    </row>
    <row r="24">
      <c r="A24" s="132"/>
      <c r="B24" s="133"/>
      <c r="C24" s="132"/>
      <c r="D24" s="134"/>
      <c r="E24" s="134"/>
      <c r="F24" s="134"/>
      <c r="G24" s="134"/>
      <c r="H24" s="134"/>
      <c r="I24" s="134"/>
      <c r="J24" s="134"/>
      <c r="K24" s="134"/>
      <c r="L24" s="134"/>
      <c r="M24" s="134"/>
      <c r="N24" s="134"/>
      <c r="O24" s="134"/>
      <c r="P24" s="134"/>
      <c r="Q24" s="134"/>
      <c r="R24" s="132"/>
      <c r="S24" s="132"/>
      <c r="T24" s="132"/>
      <c r="U24" s="132"/>
      <c r="V24" s="132"/>
      <c r="W24" s="132"/>
      <c r="X24" s="132"/>
      <c r="Y24" s="132"/>
      <c r="Z24" s="132"/>
      <c r="AA24" s="132"/>
      <c r="AB24" s="132"/>
      <c r="AC24" s="132"/>
      <c r="AD24" s="132"/>
      <c r="AE24" s="132"/>
      <c r="AF24" s="132"/>
      <c r="AG24" s="132"/>
      <c r="AH24" s="132"/>
      <c r="AI24" s="132"/>
      <c r="AJ24" s="132"/>
      <c r="AK24" s="132"/>
      <c r="AL24" s="132"/>
      <c r="AM24" s="132"/>
      <c r="AN24" s="132"/>
      <c r="AO24" s="132"/>
      <c r="AP24" s="132"/>
      <c r="AQ24" s="132"/>
      <c r="AR24" s="132"/>
      <c r="AS24" s="132"/>
      <c r="AT24" s="132"/>
      <c r="AU24" s="132"/>
      <c r="AV24" s="132"/>
      <c r="AW24" s="132"/>
      <c r="AX24" s="132"/>
      <c r="AY24" s="132"/>
      <c r="AZ24" s="132"/>
      <c r="BA24" s="132"/>
      <c r="BB24" s="132"/>
      <c r="BC24" s="132"/>
      <c r="BD24" s="132"/>
      <c r="BE24" s="132"/>
      <c r="BF24" s="132"/>
      <c r="BG24" s="132"/>
      <c r="BH24" s="132"/>
      <c r="BI24" s="132"/>
      <c r="BJ24" s="132"/>
      <c r="BK24" s="132"/>
      <c r="BL24" s="132"/>
      <c r="BM24" s="132"/>
      <c r="BN24" s="132"/>
      <c r="BO24" s="132"/>
      <c r="BP24" s="132"/>
      <c r="BQ24" s="132"/>
      <c r="BR24" s="132"/>
      <c r="BS24" s="132"/>
      <c r="BT24" s="132"/>
      <c r="BU24" s="132"/>
      <c r="BV24" s="132"/>
      <c r="BW24" s="132"/>
      <c r="BX24" s="132"/>
      <c r="BY24" s="132"/>
      <c r="BZ24" s="132"/>
      <c r="CA24" s="132"/>
      <c r="CB24" s="132"/>
      <c r="CC24" s="132"/>
      <c r="CD24" s="132"/>
      <c r="CE24" s="132"/>
      <c r="CF24" s="132"/>
      <c r="CG24" s="132"/>
      <c r="CH24" s="132"/>
      <c r="CI24" s="132"/>
      <c r="CJ24" s="132"/>
      <c r="CK24" s="132"/>
      <c r="CL24" s="132"/>
      <c r="CM24" s="132"/>
      <c r="CN24" s="132"/>
      <c r="CO24" s="132"/>
      <c r="CP24" s="132"/>
      <c r="CQ24" s="132"/>
      <c r="CR24" s="132"/>
      <c r="CS24" s="132"/>
      <c r="CT24" s="132"/>
      <c r="CU24" s="132"/>
      <c r="CV24" s="132"/>
      <c r="CW24" s="132"/>
      <c r="CX24" s="132"/>
      <c r="CY24" s="132"/>
      <c r="CZ24" s="132"/>
      <c r="DA24" s="132"/>
      <c r="DB24" s="132"/>
      <c r="DC24" s="132"/>
      <c r="DD24" s="132"/>
      <c r="DE24" s="132"/>
      <c r="DF24" s="132"/>
      <c r="DG24" s="132"/>
      <c r="DH24" s="132"/>
      <c r="DI24" s="132"/>
      <c r="DJ24" s="132"/>
      <c r="DK24" s="132"/>
      <c r="DL24" s="132"/>
      <c r="DM24" s="132"/>
      <c r="DN24" s="132"/>
      <c r="DO24" s="132"/>
      <c r="DP24" s="132"/>
      <c r="DQ24" s="132"/>
      <c r="DR24" s="132"/>
      <c r="DS24" s="132"/>
      <c r="DT24" s="132"/>
      <c r="DU24" s="132"/>
      <c r="DV24" s="132"/>
      <c r="DW24" s="132"/>
      <c r="DX24" s="132"/>
      <c r="DY24" s="132"/>
      <c r="DZ24" s="132"/>
      <c r="EA24" s="132"/>
      <c r="EB24" s="132"/>
      <c r="EC24" s="132"/>
      <c r="ED24" s="132"/>
      <c r="EE24" s="132"/>
      <c r="EF24" s="132"/>
      <c r="EG24" s="132"/>
      <c r="EH24" s="132"/>
      <c r="EI24" s="132"/>
      <c r="EJ24" s="132"/>
      <c r="EK24" s="132"/>
      <c r="EL24" s="132"/>
      <c r="EM24" s="132"/>
      <c r="EN24" s="132"/>
      <c r="EO24" s="132"/>
      <c r="EP24" s="132"/>
      <c r="EQ24" s="132"/>
      <c r="ER24" s="132"/>
      <c r="ES24" s="132"/>
      <c r="ET24" s="132"/>
      <c r="EU24" s="132"/>
      <c r="EV24" s="132"/>
      <c r="EW24" s="132"/>
      <c r="EX24" s="132"/>
      <c r="EY24" s="132"/>
      <c r="EZ24" s="132"/>
      <c r="FA24" s="132"/>
      <c r="FB24" s="132"/>
      <c r="FC24" s="132"/>
      <c r="FD24" s="132"/>
      <c r="FE24" s="132"/>
    </row>
    <row r="25">
      <c r="A25" s="93" t="s">
        <v>2057</v>
      </c>
      <c r="B25" s="93" t="s">
        <v>395</v>
      </c>
      <c r="C25" s="94">
        <v>25652.6</v>
      </c>
      <c r="D25" s="106" t="s">
        <v>2058</v>
      </c>
      <c r="E25" s="106" t="s">
        <v>2059</v>
      </c>
      <c r="F25" s="106" t="s">
        <v>2060</v>
      </c>
      <c r="G25" s="106" t="s">
        <v>2061</v>
      </c>
      <c r="H25" s="106" t="s">
        <v>2062</v>
      </c>
      <c r="I25" s="106" t="s">
        <v>2063</v>
      </c>
      <c r="J25" s="106" t="s">
        <v>2064</v>
      </c>
      <c r="K25" s="106" t="s">
        <v>2065</v>
      </c>
      <c r="L25" s="135" t="s">
        <v>2066</v>
      </c>
      <c r="M25" s="135" t="s">
        <v>2066</v>
      </c>
      <c r="N25" s="135" t="s">
        <v>2067</v>
      </c>
      <c r="O25" s="135" t="s">
        <v>2068</v>
      </c>
      <c r="P25" s="106" t="s">
        <v>2069</v>
      </c>
      <c r="Q25" s="106" t="s">
        <v>2070</v>
      </c>
      <c r="R25" s="106" t="s">
        <v>2071</v>
      </c>
      <c r="S25" s="106" t="s">
        <v>2072</v>
      </c>
      <c r="T25" s="106" t="s">
        <v>2073</v>
      </c>
      <c r="U25" s="106" t="s">
        <v>2074</v>
      </c>
      <c r="V25" s="106" t="s">
        <v>2075</v>
      </c>
      <c r="W25" s="106" t="s">
        <v>2076</v>
      </c>
      <c r="X25" s="106" t="s">
        <v>2077</v>
      </c>
      <c r="Y25" s="106" t="s">
        <v>2078</v>
      </c>
      <c r="Z25" s="106" t="s">
        <v>2079</v>
      </c>
      <c r="AA25" s="135" t="s">
        <v>2080</v>
      </c>
      <c r="AB25" s="135" t="s">
        <v>2081</v>
      </c>
      <c r="AC25" s="135" t="s">
        <v>2082</v>
      </c>
      <c r="AD25" s="135" t="s">
        <v>2083</v>
      </c>
      <c r="AE25" s="136" t="s">
        <v>2084</v>
      </c>
      <c r="AF25" s="136" t="s">
        <v>2085</v>
      </c>
      <c r="AG25" s="136" t="s">
        <v>2086</v>
      </c>
      <c r="AH25" s="136" t="s">
        <v>2087</v>
      </c>
      <c r="AI25" s="136" t="s">
        <v>2088</v>
      </c>
      <c r="AJ25" s="106" t="s">
        <v>2089</v>
      </c>
      <c r="AK25" s="106" t="s">
        <v>2090</v>
      </c>
      <c r="AL25" s="106" t="s">
        <v>2091</v>
      </c>
      <c r="AM25" s="106" t="s">
        <v>2092</v>
      </c>
      <c r="AN25" s="106" t="s">
        <v>2093</v>
      </c>
      <c r="AO25" s="106" t="s">
        <v>2094</v>
      </c>
      <c r="AP25" s="137" t="s">
        <v>2095</v>
      </c>
      <c r="AQ25" s="106" t="s">
        <v>2096</v>
      </c>
      <c r="AR25" s="137" t="s">
        <v>2097</v>
      </c>
      <c r="AS25" s="106" t="s">
        <v>2098</v>
      </c>
      <c r="AT25" s="135" t="s">
        <v>2099</v>
      </c>
      <c r="AU25" s="106" t="s">
        <v>2100</v>
      </c>
      <c r="AV25" s="106" t="s">
        <v>2101</v>
      </c>
      <c r="AW25" s="106" t="s">
        <v>2102</v>
      </c>
      <c r="AX25" s="106" t="s">
        <v>2103</v>
      </c>
      <c r="AY25" s="106" t="s">
        <v>2104</v>
      </c>
      <c r="AZ25" s="106" t="s">
        <v>2105</v>
      </c>
      <c r="BA25" s="106" t="s">
        <v>2106</v>
      </c>
      <c r="BB25" s="106" t="s">
        <v>2107</v>
      </c>
      <c r="BC25" s="106" t="s">
        <v>2108</v>
      </c>
      <c r="BD25" s="107" t="s">
        <v>2109</v>
      </c>
      <c r="BE25" s="107" t="s">
        <v>2110</v>
      </c>
      <c r="BF25" s="107" t="s">
        <v>2111</v>
      </c>
      <c r="BG25" s="107" t="s">
        <v>2112</v>
      </c>
      <c r="BH25" s="107" t="s">
        <v>2113</v>
      </c>
      <c r="BI25" s="107" t="s">
        <v>2114</v>
      </c>
      <c r="BJ25" s="107" t="s">
        <v>2115</v>
      </c>
      <c r="BK25" s="107" t="s">
        <v>2116</v>
      </c>
      <c r="BL25" s="107" t="s">
        <v>2117</v>
      </c>
      <c r="BM25" s="107" t="s">
        <v>2118</v>
      </c>
      <c r="BN25" s="138" t="s">
        <v>2119</v>
      </c>
      <c r="BO25" s="139" t="s">
        <v>2120</v>
      </c>
      <c r="BP25" s="107" t="s">
        <v>2121</v>
      </c>
      <c r="BQ25" s="107" t="s">
        <v>2122</v>
      </c>
      <c r="BR25" s="107" t="s">
        <v>2123</v>
      </c>
      <c r="BS25" s="107" t="s">
        <v>2124</v>
      </c>
      <c r="BT25" s="107" t="s">
        <v>2125</v>
      </c>
      <c r="BU25" s="107" t="s">
        <v>2126</v>
      </c>
      <c r="BV25" s="140" t="s">
        <v>2127</v>
      </c>
      <c r="BW25" s="107" t="s">
        <v>2127</v>
      </c>
      <c r="BX25" s="107" t="s">
        <v>2128</v>
      </c>
      <c r="BY25" s="107" t="s">
        <v>2129</v>
      </c>
      <c r="BZ25" s="107" t="s">
        <v>2130</v>
      </c>
      <c r="CA25" s="107" t="s">
        <v>2131</v>
      </c>
      <c r="CB25" s="107" t="s">
        <v>2132</v>
      </c>
      <c r="CC25" s="107" t="s">
        <v>2133</v>
      </c>
      <c r="CD25" s="107" t="s">
        <v>2134</v>
      </c>
      <c r="CE25" s="107" t="s">
        <v>2134</v>
      </c>
      <c r="CF25" s="107" t="s">
        <v>2135</v>
      </c>
      <c r="CG25" s="107" t="s">
        <v>2136</v>
      </c>
      <c r="CH25" s="107" t="s">
        <v>2137</v>
      </c>
      <c r="CI25" s="107" t="s">
        <v>2138</v>
      </c>
      <c r="CJ25" s="107" t="s">
        <v>2139</v>
      </c>
      <c r="CK25" s="107" t="s">
        <v>2140</v>
      </c>
      <c r="CL25" s="107" t="s">
        <v>2141</v>
      </c>
      <c r="CM25" s="107" t="s">
        <v>2142</v>
      </c>
      <c r="CN25" s="107" t="s">
        <v>2143</v>
      </c>
      <c r="CO25" s="107" t="s">
        <v>2144</v>
      </c>
      <c r="CP25" s="107" t="s">
        <v>2145</v>
      </c>
      <c r="CQ25" s="107" t="s">
        <v>2146</v>
      </c>
      <c r="CR25" s="107" t="s">
        <v>2147</v>
      </c>
      <c r="CS25" s="107" t="s">
        <v>2148</v>
      </c>
      <c r="CT25" s="107" t="s">
        <v>2149</v>
      </c>
      <c r="CU25" s="107" t="s">
        <v>2150</v>
      </c>
      <c r="CV25" s="107" t="s">
        <v>2151</v>
      </c>
      <c r="CW25" s="107" t="s">
        <v>2152</v>
      </c>
      <c r="CX25" s="107" t="s">
        <v>2153</v>
      </c>
      <c r="CY25" s="107" t="s">
        <v>2154</v>
      </c>
      <c r="CZ25" s="107" t="s">
        <v>2155</v>
      </c>
      <c r="DA25" s="107" t="s">
        <v>2156</v>
      </c>
      <c r="DB25" s="107" t="s">
        <v>2157</v>
      </c>
      <c r="DC25" s="107" t="s">
        <v>2158</v>
      </c>
      <c r="DD25" s="107" t="s">
        <v>2159</v>
      </c>
      <c r="DE25" s="107" t="s">
        <v>2160</v>
      </c>
      <c r="DF25" s="107" t="s">
        <v>2161</v>
      </c>
      <c r="DG25" s="107" t="s">
        <v>2162</v>
      </c>
      <c r="DH25" s="107" t="s">
        <v>2163</v>
      </c>
      <c r="DI25" s="107" t="s">
        <v>2164</v>
      </c>
      <c r="DJ25" s="107" t="s">
        <v>2165</v>
      </c>
      <c r="DK25" s="107" t="s">
        <v>2166</v>
      </c>
      <c r="DL25" s="107" t="s">
        <v>2167</v>
      </c>
      <c r="DM25" s="107" t="s">
        <v>2168</v>
      </c>
      <c r="DN25" s="107" t="s">
        <v>2169</v>
      </c>
      <c r="DO25" s="107" t="s">
        <v>2170</v>
      </c>
      <c r="DP25" s="107" t="s">
        <v>2171</v>
      </c>
      <c r="DQ25" s="107" t="s">
        <v>2172</v>
      </c>
      <c r="DR25" s="107" t="s">
        <v>2173</v>
      </c>
      <c r="DS25" s="107" t="s">
        <v>2174</v>
      </c>
      <c r="DT25" s="107" t="s">
        <v>2175</v>
      </c>
      <c r="DU25" s="107" t="s">
        <v>2176</v>
      </c>
      <c r="DV25" s="107" t="s">
        <v>2177</v>
      </c>
      <c r="DW25" s="107" t="s">
        <v>2178</v>
      </c>
      <c r="DX25" s="107" t="s">
        <v>2179</v>
      </c>
      <c r="DY25" s="107"/>
      <c r="DZ25" s="107" t="s">
        <v>2180</v>
      </c>
      <c r="EA25" s="107" t="s">
        <v>2181</v>
      </c>
      <c r="EB25" s="141" t="s">
        <v>2182</v>
      </c>
      <c r="EC25" s="107" t="s">
        <v>2183</v>
      </c>
      <c r="ED25" s="107" t="s">
        <v>2184</v>
      </c>
      <c r="EE25" s="107" t="s">
        <v>2185</v>
      </c>
      <c r="EF25" s="107" t="s">
        <v>2186</v>
      </c>
      <c r="EG25" s="107" t="s">
        <v>2187</v>
      </c>
      <c r="EH25" s="107" t="s">
        <v>2188</v>
      </c>
      <c r="EI25" s="107" t="s">
        <v>2189</v>
      </c>
      <c r="EJ25" s="107" t="s">
        <v>2190</v>
      </c>
      <c r="EK25" s="107" t="s">
        <v>2190</v>
      </c>
      <c r="EL25" s="107" t="s">
        <v>2191</v>
      </c>
      <c r="EM25" s="107" t="s">
        <v>2192</v>
      </c>
      <c r="EN25" s="107" t="s">
        <v>2193</v>
      </c>
      <c r="EO25" s="107" t="s">
        <v>2194</v>
      </c>
      <c r="EP25" s="107" t="s">
        <v>2195</v>
      </c>
      <c r="EQ25" s="107" t="s">
        <v>2196</v>
      </c>
      <c r="ER25" s="107" t="s">
        <v>2197</v>
      </c>
      <c r="ES25" s="107" t="s">
        <v>2198</v>
      </c>
      <c r="ET25" s="107" t="s">
        <v>2199</v>
      </c>
      <c r="EU25" s="107" t="s">
        <v>2200</v>
      </c>
      <c r="EV25" s="107" t="s">
        <v>2201</v>
      </c>
      <c r="EW25" s="107" t="s">
        <v>2202</v>
      </c>
      <c r="EX25" s="107" t="s">
        <v>2203</v>
      </c>
      <c r="EY25" s="107" t="s">
        <v>2204</v>
      </c>
      <c r="EZ25" s="107" t="s">
        <v>2205</v>
      </c>
      <c r="FA25" s="107" t="s">
        <v>2206</v>
      </c>
      <c r="FB25" s="107" t="s">
        <v>2207</v>
      </c>
      <c r="FC25" s="107" t="s">
        <v>2208</v>
      </c>
      <c r="FD25" s="141"/>
      <c r="FE25" s="141"/>
    </row>
    <row r="26">
      <c r="A26" s="93" t="s">
        <v>2209</v>
      </c>
      <c r="B26" s="93" t="s">
        <v>395</v>
      </c>
      <c r="C26" s="94">
        <v>25482.5</v>
      </c>
      <c r="D26" s="106" t="s">
        <v>2210</v>
      </c>
      <c r="E26" s="106" t="s">
        <v>2211</v>
      </c>
      <c r="F26" s="106" t="s">
        <v>2212</v>
      </c>
      <c r="G26" s="106" t="s">
        <v>2213</v>
      </c>
      <c r="H26" s="106" t="s">
        <v>2214</v>
      </c>
      <c r="I26" s="106" t="s">
        <v>2215</v>
      </c>
      <c r="J26" s="106" t="s">
        <v>2216</v>
      </c>
      <c r="K26" s="106" t="s">
        <v>2217</v>
      </c>
      <c r="L26" s="135" t="s">
        <v>2218</v>
      </c>
      <c r="M26" s="135" t="s">
        <v>2218</v>
      </c>
      <c r="N26" s="135" t="s">
        <v>2219</v>
      </c>
      <c r="O26" s="135" t="s">
        <v>2220</v>
      </c>
      <c r="P26" s="106" t="s">
        <v>2221</v>
      </c>
      <c r="Q26" s="106" t="s">
        <v>2222</v>
      </c>
      <c r="R26" s="106" t="s">
        <v>2223</v>
      </c>
      <c r="S26" s="106" t="s">
        <v>2224</v>
      </c>
      <c r="T26" s="106" t="s">
        <v>2225</v>
      </c>
      <c r="U26" s="106" t="s">
        <v>2226</v>
      </c>
      <c r="V26" s="106" t="s">
        <v>2227</v>
      </c>
      <c r="W26" s="106" t="s">
        <v>2228</v>
      </c>
      <c r="X26" s="106" t="s">
        <v>2229</v>
      </c>
      <c r="Y26" s="106" t="s">
        <v>2230</v>
      </c>
      <c r="Z26" s="106" t="s">
        <v>2231</v>
      </c>
      <c r="AA26" s="135" t="s">
        <v>2232</v>
      </c>
      <c r="AB26" s="135" t="s">
        <v>2233</v>
      </c>
      <c r="AC26" s="135" t="s">
        <v>2234</v>
      </c>
      <c r="AD26" s="135" t="s">
        <v>2235</v>
      </c>
      <c r="AE26" s="136" t="s">
        <v>2236</v>
      </c>
      <c r="AF26" s="136" t="s">
        <v>2237</v>
      </c>
      <c r="AG26" s="136" t="s">
        <v>2238</v>
      </c>
      <c r="AH26" s="136" t="s">
        <v>2239</v>
      </c>
      <c r="AI26" s="136" t="s">
        <v>2240</v>
      </c>
      <c r="AJ26" s="106" t="s">
        <v>2241</v>
      </c>
      <c r="AK26" s="106" t="s">
        <v>2242</v>
      </c>
      <c r="AL26" s="106" t="s">
        <v>2243</v>
      </c>
      <c r="AM26" s="106" t="s">
        <v>2244</v>
      </c>
      <c r="AN26" s="106" t="s">
        <v>2245</v>
      </c>
      <c r="AO26" s="106" t="s">
        <v>2246</v>
      </c>
      <c r="AP26" s="137" t="s">
        <v>2247</v>
      </c>
      <c r="AQ26" s="106" t="s">
        <v>2248</v>
      </c>
      <c r="AR26" s="135" t="s">
        <v>2249</v>
      </c>
      <c r="AS26" s="106" t="s">
        <v>2250</v>
      </c>
      <c r="AT26" s="135" t="s">
        <v>2251</v>
      </c>
      <c r="AU26" s="106" t="s">
        <v>2252</v>
      </c>
      <c r="AV26" s="106" t="s">
        <v>2253</v>
      </c>
      <c r="AW26" s="106" t="s">
        <v>2254</v>
      </c>
      <c r="AX26" s="106" t="s">
        <v>2255</v>
      </c>
      <c r="AY26" s="106" t="s">
        <v>2256</v>
      </c>
      <c r="AZ26" s="106" t="s">
        <v>2257</v>
      </c>
      <c r="BA26" s="106" t="s">
        <v>2258</v>
      </c>
      <c r="BB26" s="106" t="s">
        <v>2259</v>
      </c>
      <c r="BC26" s="106" t="s">
        <v>2260</v>
      </c>
      <c r="BD26" s="107" t="s">
        <v>2261</v>
      </c>
      <c r="BE26" s="107" t="s">
        <v>2262</v>
      </c>
      <c r="BF26" s="107" t="s">
        <v>2263</v>
      </c>
      <c r="BG26" s="107" t="s">
        <v>2264</v>
      </c>
      <c r="BH26" s="107" t="s">
        <v>2265</v>
      </c>
      <c r="BI26" s="107" t="s">
        <v>2266</v>
      </c>
      <c r="BJ26" s="107" t="s">
        <v>2267</v>
      </c>
      <c r="BK26" s="107" t="s">
        <v>2268</v>
      </c>
      <c r="BL26" s="107" t="s">
        <v>2269</v>
      </c>
      <c r="BM26" s="107" t="s">
        <v>2270</v>
      </c>
      <c r="BN26" s="138" t="s">
        <v>2271</v>
      </c>
      <c r="BO26" s="139" t="s">
        <v>2272</v>
      </c>
      <c r="BP26" s="107" t="s">
        <v>2273</v>
      </c>
      <c r="BQ26" s="107" t="s">
        <v>2274</v>
      </c>
      <c r="BR26" s="107" t="s">
        <v>2275</v>
      </c>
      <c r="BS26" s="107" t="s">
        <v>2276</v>
      </c>
      <c r="BT26" s="107" t="s">
        <v>2277</v>
      </c>
      <c r="BU26" s="107" t="s">
        <v>2278</v>
      </c>
      <c r="BV26" s="140" t="s">
        <v>2279</v>
      </c>
      <c r="BW26" s="107" t="s">
        <v>2279</v>
      </c>
      <c r="BX26" s="107" t="s">
        <v>2280</v>
      </c>
      <c r="BY26" s="107" t="s">
        <v>2281</v>
      </c>
      <c r="BZ26" s="107" t="s">
        <v>2282</v>
      </c>
      <c r="CA26" s="107" t="s">
        <v>2283</v>
      </c>
      <c r="CB26" s="107" t="s">
        <v>2284</v>
      </c>
      <c r="CC26" s="107" t="s">
        <v>2285</v>
      </c>
      <c r="CD26" s="107" t="s">
        <v>2286</v>
      </c>
      <c r="CE26" s="107" t="s">
        <v>2286</v>
      </c>
      <c r="CF26" s="107" t="s">
        <v>2287</v>
      </c>
      <c r="CG26" s="107" t="s">
        <v>2288</v>
      </c>
      <c r="CH26" s="107" t="s">
        <v>2289</v>
      </c>
      <c r="CI26" s="107" t="s">
        <v>2290</v>
      </c>
      <c r="CJ26" s="107" t="s">
        <v>2291</v>
      </c>
      <c r="CK26" s="107" t="s">
        <v>2290</v>
      </c>
      <c r="CL26" s="107" t="s">
        <v>2292</v>
      </c>
      <c r="CM26" s="107" t="s">
        <v>2293</v>
      </c>
      <c r="CN26" s="107" t="s">
        <v>2294</v>
      </c>
      <c r="CO26" s="107" t="s">
        <v>2295</v>
      </c>
      <c r="CP26" s="107" t="s">
        <v>2296</v>
      </c>
      <c r="CQ26" s="107" t="s">
        <v>2297</v>
      </c>
      <c r="CR26" s="107" t="s">
        <v>2298</v>
      </c>
      <c r="CS26" s="107" t="s">
        <v>2299</v>
      </c>
      <c r="CT26" s="107" t="s">
        <v>2300</v>
      </c>
      <c r="CU26" s="107" t="s">
        <v>2301</v>
      </c>
      <c r="CV26" s="107" t="s">
        <v>2302</v>
      </c>
      <c r="CW26" s="107" t="s">
        <v>2303</v>
      </c>
      <c r="CX26" s="107" t="s">
        <v>2304</v>
      </c>
      <c r="CY26" s="107" t="s">
        <v>2305</v>
      </c>
      <c r="CZ26" s="107" t="s">
        <v>2306</v>
      </c>
      <c r="DA26" s="107" t="s">
        <v>2307</v>
      </c>
      <c r="DB26" s="107" t="s">
        <v>2308</v>
      </c>
      <c r="DC26" s="107" t="s">
        <v>2309</v>
      </c>
      <c r="DD26" s="107" t="s">
        <v>2310</v>
      </c>
      <c r="DE26" s="107" t="s">
        <v>2311</v>
      </c>
      <c r="DF26" s="107" t="s">
        <v>2312</v>
      </c>
      <c r="DG26" s="107" t="s">
        <v>2313</v>
      </c>
      <c r="DH26" s="107" t="s">
        <v>2314</v>
      </c>
      <c r="DI26" s="107" t="s">
        <v>2315</v>
      </c>
      <c r="DJ26" s="107" t="s">
        <v>2316</v>
      </c>
      <c r="DK26" s="107" t="s">
        <v>2317</v>
      </c>
      <c r="DL26" s="107" t="s">
        <v>2318</v>
      </c>
      <c r="DM26" s="107" t="s">
        <v>2319</v>
      </c>
      <c r="DN26" s="107" t="s">
        <v>2320</v>
      </c>
      <c r="DO26" s="107" t="s">
        <v>2321</v>
      </c>
      <c r="DP26" s="107" t="s">
        <v>2322</v>
      </c>
      <c r="DQ26" s="107" t="s">
        <v>2323</v>
      </c>
      <c r="DR26" s="107" t="s">
        <v>2324</v>
      </c>
      <c r="DS26" s="107" t="s">
        <v>2325</v>
      </c>
      <c r="DT26" s="107" t="s">
        <v>2326</v>
      </c>
      <c r="DU26" s="107" t="s">
        <v>2327</v>
      </c>
      <c r="DV26" s="107" t="s">
        <v>2328</v>
      </c>
      <c r="DW26" s="107" t="s">
        <v>2329</v>
      </c>
      <c r="DX26" s="107" t="s">
        <v>2330</v>
      </c>
      <c r="DY26" s="107"/>
      <c r="DZ26" s="107" t="s">
        <v>2331</v>
      </c>
      <c r="EA26" s="107" t="s">
        <v>2332</v>
      </c>
      <c r="EB26" s="141" t="s">
        <v>2333</v>
      </c>
      <c r="EC26" s="107" t="s">
        <v>2334</v>
      </c>
      <c r="ED26" s="107" t="s">
        <v>2335</v>
      </c>
      <c r="EE26" s="107" t="s">
        <v>2336</v>
      </c>
      <c r="EF26" s="107" t="s">
        <v>2337</v>
      </c>
      <c r="EG26" s="107" t="s">
        <v>2338</v>
      </c>
      <c r="EH26" s="107" t="s">
        <v>2339</v>
      </c>
      <c r="EI26" s="107" t="s">
        <v>2340</v>
      </c>
      <c r="EJ26" s="107" t="s">
        <v>2341</v>
      </c>
      <c r="EK26" s="107" t="s">
        <v>2341</v>
      </c>
      <c r="EL26" s="107" t="s">
        <v>2342</v>
      </c>
      <c r="EM26" s="107" t="s">
        <v>2343</v>
      </c>
      <c r="EN26" s="107" t="s">
        <v>2344</v>
      </c>
      <c r="EO26" s="107" t="s">
        <v>2345</v>
      </c>
      <c r="EP26" s="107" t="s">
        <v>2346</v>
      </c>
      <c r="EQ26" s="107" t="s">
        <v>2347</v>
      </c>
      <c r="ER26" s="107" t="s">
        <v>2348</v>
      </c>
      <c r="ES26" s="107" t="s">
        <v>2349</v>
      </c>
      <c r="ET26" s="107" t="s">
        <v>2350</v>
      </c>
      <c r="EU26" s="107" t="s">
        <v>2351</v>
      </c>
      <c r="EV26" s="107" t="s">
        <v>2352</v>
      </c>
      <c r="EW26" s="107" t="s">
        <v>2353</v>
      </c>
      <c r="EX26" s="107" t="s">
        <v>2354</v>
      </c>
      <c r="EY26" s="107" t="s">
        <v>2355</v>
      </c>
      <c r="EZ26" s="107" t="s">
        <v>2356</v>
      </c>
      <c r="FA26" s="107" t="s">
        <v>2357</v>
      </c>
      <c r="FB26" s="107" t="s">
        <v>2358</v>
      </c>
      <c r="FC26" s="107" t="s">
        <v>2359</v>
      </c>
      <c r="FD26" s="141"/>
      <c r="FE26" s="141"/>
    </row>
    <row r="27">
      <c r="A27" s="93" t="s">
        <v>2360</v>
      </c>
      <c r="B27" s="93" t="s">
        <v>395</v>
      </c>
      <c r="C27" s="94">
        <v>25428.2</v>
      </c>
      <c r="D27" s="106" t="s">
        <v>2361</v>
      </c>
      <c r="E27" s="106" t="s">
        <v>2362</v>
      </c>
      <c r="F27" s="106" t="s">
        <v>2363</v>
      </c>
      <c r="G27" s="106" t="s">
        <v>2364</v>
      </c>
      <c r="H27" s="106" t="s">
        <v>2365</v>
      </c>
      <c r="I27" s="106" t="s">
        <v>2366</v>
      </c>
      <c r="J27" s="106" t="s">
        <v>2367</v>
      </c>
      <c r="K27" s="106" t="s">
        <v>2368</v>
      </c>
      <c r="L27" s="135" t="s">
        <v>2369</v>
      </c>
      <c r="M27" s="135" t="s">
        <v>2369</v>
      </c>
      <c r="N27" s="135" t="s">
        <v>2370</v>
      </c>
      <c r="O27" s="135" t="s">
        <v>2371</v>
      </c>
      <c r="P27" s="106" t="s">
        <v>2372</v>
      </c>
      <c r="Q27" s="106" t="s">
        <v>2373</v>
      </c>
      <c r="R27" s="106" t="s">
        <v>2374</v>
      </c>
      <c r="S27" s="106" t="s">
        <v>2375</v>
      </c>
      <c r="T27" s="106" t="s">
        <v>2376</v>
      </c>
      <c r="U27" s="106" t="s">
        <v>2377</v>
      </c>
      <c r="V27" s="106" t="s">
        <v>2378</v>
      </c>
      <c r="W27" s="106" t="s">
        <v>2379</v>
      </c>
      <c r="X27" s="106" t="s">
        <v>2380</v>
      </c>
      <c r="Y27" s="106" t="s">
        <v>2381</v>
      </c>
      <c r="Z27" s="106" t="s">
        <v>2382</v>
      </c>
      <c r="AA27" s="135" t="s">
        <v>2383</v>
      </c>
      <c r="AB27" s="135" t="s">
        <v>2384</v>
      </c>
      <c r="AC27" s="135" t="s">
        <v>2385</v>
      </c>
      <c r="AD27" s="135" t="s">
        <v>2386</v>
      </c>
      <c r="AE27" s="136" t="s">
        <v>2387</v>
      </c>
      <c r="AF27" s="136" t="s">
        <v>2388</v>
      </c>
      <c r="AG27" s="136" t="s">
        <v>2389</v>
      </c>
      <c r="AH27" s="136" t="s">
        <v>2390</v>
      </c>
      <c r="AI27" s="136" t="s">
        <v>2391</v>
      </c>
      <c r="AJ27" s="106" t="s">
        <v>2392</v>
      </c>
      <c r="AK27" s="106" t="s">
        <v>2393</v>
      </c>
      <c r="AL27" s="106" t="s">
        <v>2394</v>
      </c>
      <c r="AM27" s="106" t="s">
        <v>2395</v>
      </c>
      <c r="AN27" s="106" t="s">
        <v>2396</v>
      </c>
      <c r="AO27" s="106" t="s">
        <v>2397</v>
      </c>
      <c r="AP27" s="137" t="s">
        <v>2398</v>
      </c>
      <c r="AQ27" s="106" t="s">
        <v>2399</v>
      </c>
      <c r="AR27" s="135" t="s">
        <v>2400</v>
      </c>
      <c r="AS27" s="106" t="s">
        <v>2401</v>
      </c>
      <c r="AT27" s="135" t="s">
        <v>2402</v>
      </c>
      <c r="AU27" s="106" t="s">
        <v>2403</v>
      </c>
      <c r="AV27" s="106" t="s">
        <v>2404</v>
      </c>
      <c r="AW27" s="106" t="s">
        <v>2405</v>
      </c>
      <c r="AX27" s="106" t="s">
        <v>2406</v>
      </c>
      <c r="AY27" s="106" t="s">
        <v>2407</v>
      </c>
      <c r="AZ27" s="106" t="s">
        <v>2408</v>
      </c>
      <c r="BA27" s="106" t="s">
        <v>2409</v>
      </c>
      <c r="BB27" s="106" t="s">
        <v>2410</v>
      </c>
      <c r="BC27" s="106" t="s">
        <v>2411</v>
      </c>
      <c r="BD27" s="107" t="s">
        <v>2412</v>
      </c>
      <c r="BE27" s="107" t="s">
        <v>2413</v>
      </c>
      <c r="BF27" s="107" t="s">
        <v>2414</v>
      </c>
      <c r="BG27" s="107" t="s">
        <v>2415</v>
      </c>
      <c r="BH27" s="107" t="s">
        <v>2416</v>
      </c>
      <c r="BI27" s="107" t="s">
        <v>2417</v>
      </c>
      <c r="BJ27" s="107" t="s">
        <v>2418</v>
      </c>
      <c r="BK27" s="107" t="s">
        <v>2419</v>
      </c>
      <c r="BL27" s="107" t="s">
        <v>2420</v>
      </c>
      <c r="BM27" s="107" t="s">
        <v>2421</v>
      </c>
      <c r="BN27" s="138" t="s">
        <v>2422</v>
      </c>
      <c r="BO27" s="139" t="s">
        <v>2423</v>
      </c>
      <c r="BP27" s="107" t="s">
        <v>2424</v>
      </c>
      <c r="BQ27" s="107" t="s">
        <v>2425</v>
      </c>
      <c r="BR27" s="107" t="s">
        <v>2426</v>
      </c>
      <c r="BS27" s="107" t="s">
        <v>2427</v>
      </c>
      <c r="BT27" s="107" t="s">
        <v>2428</v>
      </c>
      <c r="BU27" s="107" t="s">
        <v>2429</v>
      </c>
      <c r="BV27" s="140" t="s">
        <v>2430</v>
      </c>
      <c r="BW27" s="107" t="s">
        <v>2429</v>
      </c>
      <c r="BX27" s="107" t="s">
        <v>2431</v>
      </c>
      <c r="BY27" s="107" t="s">
        <v>2432</v>
      </c>
      <c r="BZ27" s="107" t="s">
        <v>2433</v>
      </c>
      <c r="CA27" s="107" t="s">
        <v>2434</v>
      </c>
      <c r="CB27" s="107" t="s">
        <v>2435</v>
      </c>
      <c r="CC27" s="107" t="s">
        <v>2436</v>
      </c>
      <c r="CD27" s="107" t="s">
        <v>2437</v>
      </c>
      <c r="CE27" s="107" t="s">
        <v>2437</v>
      </c>
      <c r="CF27" s="107" t="s">
        <v>2438</v>
      </c>
      <c r="CG27" s="107" t="s">
        <v>2439</v>
      </c>
      <c r="CH27" s="107" t="s">
        <v>2440</v>
      </c>
      <c r="CI27" s="107" t="s">
        <v>2441</v>
      </c>
      <c r="CJ27" s="107" t="s">
        <v>2442</v>
      </c>
      <c r="CK27" s="107" t="s">
        <v>2443</v>
      </c>
      <c r="CL27" s="107" t="s">
        <v>2444</v>
      </c>
      <c r="CM27" s="107" t="s">
        <v>2445</v>
      </c>
      <c r="CN27" s="107" t="s">
        <v>2446</v>
      </c>
      <c r="CO27" s="107" t="s">
        <v>2447</v>
      </c>
      <c r="CP27" s="107" t="s">
        <v>2448</v>
      </c>
      <c r="CQ27" s="107" t="s">
        <v>2449</v>
      </c>
      <c r="CR27" s="107" t="s">
        <v>2450</v>
      </c>
      <c r="CS27" s="107" t="s">
        <v>2451</v>
      </c>
      <c r="CT27" s="107" t="s">
        <v>2452</v>
      </c>
      <c r="CU27" s="107" t="s">
        <v>2453</v>
      </c>
      <c r="CV27" s="107" t="s">
        <v>2454</v>
      </c>
      <c r="CW27" s="107" t="s">
        <v>2455</v>
      </c>
      <c r="CX27" s="107" t="s">
        <v>2456</v>
      </c>
      <c r="CY27" s="107" t="s">
        <v>2457</v>
      </c>
      <c r="CZ27" s="107" t="s">
        <v>2458</v>
      </c>
      <c r="DA27" s="107" t="s">
        <v>2459</v>
      </c>
      <c r="DB27" s="107" t="s">
        <v>2460</v>
      </c>
      <c r="DC27" s="107" t="s">
        <v>2461</v>
      </c>
      <c r="DD27" s="107" t="s">
        <v>2462</v>
      </c>
      <c r="DE27" s="107" t="s">
        <v>2463</v>
      </c>
      <c r="DF27" s="107" t="s">
        <v>2464</v>
      </c>
      <c r="DG27" s="107" t="s">
        <v>2465</v>
      </c>
      <c r="DH27" s="107" t="s">
        <v>2466</v>
      </c>
      <c r="DI27" s="107" t="s">
        <v>2467</v>
      </c>
      <c r="DJ27" s="107" t="s">
        <v>2468</v>
      </c>
      <c r="DK27" s="107" t="s">
        <v>2469</v>
      </c>
      <c r="DL27" s="107" t="s">
        <v>2470</v>
      </c>
      <c r="DM27" s="107" t="s">
        <v>2471</v>
      </c>
      <c r="DN27" s="107" t="s">
        <v>2472</v>
      </c>
      <c r="DO27" s="107" t="s">
        <v>2473</v>
      </c>
      <c r="DP27" s="107" t="s">
        <v>2474</v>
      </c>
      <c r="DQ27" s="107" t="s">
        <v>2475</v>
      </c>
      <c r="DR27" s="107" t="s">
        <v>2476</v>
      </c>
      <c r="DS27" s="107" t="s">
        <v>2477</v>
      </c>
      <c r="DT27" s="107" t="s">
        <v>2478</v>
      </c>
      <c r="DU27" s="107" t="s">
        <v>2479</v>
      </c>
      <c r="DV27" s="107" t="s">
        <v>2480</v>
      </c>
      <c r="DW27" s="107" t="s">
        <v>2481</v>
      </c>
      <c r="DX27" s="107" t="s">
        <v>2482</v>
      </c>
      <c r="DY27" s="107"/>
      <c r="DZ27" s="107" t="s">
        <v>2483</v>
      </c>
      <c r="EA27" s="107" t="s">
        <v>2484</v>
      </c>
      <c r="EB27" s="141" t="s">
        <v>2485</v>
      </c>
      <c r="EC27" s="107" t="s">
        <v>2486</v>
      </c>
      <c r="ED27" s="107" t="s">
        <v>2487</v>
      </c>
      <c r="EE27" s="107" t="s">
        <v>2488</v>
      </c>
      <c r="EF27" s="107" t="s">
        <v>2489</v>
      </c>
      <c r="EG27" s="107" t="s">
        <v>2490</v>
      </c>
      <c r="EH27" s="107" t="s">
        <v>2491</v>
      </c>
      <c r="EI27" s="107" t="s">
        <v>2492</v>
      </c>
      <c r="EJ27" s="107" t="s">
        <v>2493</v>
      </c>
      <c r="EK27" s="107" t="s">
        <v>2493</v>
      </c>
      <c r="EL27" s="107" t="s">
        <v>2494</v>
      </c>
      <c r="EM27" s="107" t="s">
        <v>2495</v>
      </c>
      <c r="EN27" s="107" t="s">
        <v>2496</v>
      </c>
      <c r="EO27" s="107" t="s">
        <v>2497</v>
      </c>
      <c r="EP27" s="107" t="s">
        <v>2498</v>
      </c>
      <c r="EQ27" s="107" t="s">
        <v>2499</v>
      </c>
      <c r="ER27" s="107" t="s">
        <v>2500</v>
      </c>
      <c r="ES27" s="107" t="s">
        <v>2501</v>
      </c>
      <c r="ET27" s="107" t="s">
        <v>2502</v>
      </c>
      <c r="EU27" s="107" t="s">
        <v>2503</v>
      </c>
      <c r="EV27" s="107" t="s">
        <v>2504</v>
      </c>
      <c r="EW27" s="107" t="s">
        <v>2505</v>
      </c>
      <c r="EX27" s="107" t="s">
        <v>2506</v>
      </c>
      <c r="EY27" s="107" t="s">
        <v>2507</v>
      </c>
      <c r="EZ27" s="107" t="s">
        <v>2508</v>
      </c>
      <c r="FA27" s="107" t="s">
        <v>2509</v>
      </c>
      <c r="FB27" s="107" t="s">
        <v>2510</v>
      </c>
      <c r="FC27" s="107" t="s">
        <v>2511</v>
      </c>
      <c r="FD27" s="141"/>
      <c r="FE27" s="141"/>
    </row>
    <row r="28">
      <c r="A28" s="129"/>
      <c r="B28" s="129"/>
      <c r="D28" s="130"/>
      <c r="E28" s="95"/>
      <c r="F28" s="130"/>
      <c r="G28" s="130"/>
      <c r="H28" s="130"/>
      <c r="I28" s="106"/>
      <c r="J28" s="130"/>
      <c r="K28" s="130"/>
      <c r="L28" s="135"/>
      <c r="M28" s="142"/>
      <c r="N28" s="142"/>
      <c r="O28" s="142"/>
      <c r="P28" s="130"/>
      <c r="Q28" s="130"/>
      <c r="R28" s="130"/>
      <c r="S28" s="130"/>
      <c r="T28" s="130"/>
      <c r="U28" s="130"/>
      <c r="V28" s="130"/>
      <c r="W28" s="130"/>
      <c r="X28" s="130"/>
      <c r="Y28" s="130"/>
      <c r="Z28" s="130"/>
      <c r="AA28" s="142"/>
      <c r="AB28" s="142"/>
      <c r="AC28" s="142"/>
      <c r="AD28" s="142"/>
      <c r="AE28" s="143"/>
      <c r="AF28" s="143"/>
      <c r="AG28" s="143"/>
      <c r="AH28" s="143"/>
      <c r="AI28" s="143"/>
      <c r="AJ28" s="130"/>
      <c r="AK28" s="106"/>
      <c r="AL28" s="130"/>
      <c r="AM28" s="130"/>
      <c r="AN28" s="130"/>
      <c r="AO28" s="130"/>
      <c r="AP28" s="137"/>
      <c r="AQ28" s="130"/>
      <c r="AR28" s="142"/>
      <c r="AS28" s="130"/>
      <c r="AT28" s="142"/>
      <c r="AU28" s="130"/>
      <c r="AV28" s="130"/>
      <c r="AW28" s="130"/>
      <c r="AX28" s="130"/>
      <c r="AY28" s="130"/>
      <c r="AZ28" s="130"/>
      <c r="BA28" s="130"/>
      <c r="BB28" s="130"/>
      <c r="BC28" s="106"/>
      <c r="BD28" s="130"/>
      <c r="BE28" s="130"/>
      <c r="BF28" s="107"/>
      <c r="BG28" s="107"/>
      <c r="BH28" s="107"/>
      <c r="BI28" s="107"/>
      <c r="BJ28" s="107"/>
      <c r="BK28" s="107"/>
      <c r="BL28" s="107"/>
      <c r="BM28" s="107"/>
      <c r="BN28" s="144"/>
      <c r="BO28" s="139"/>
      <c r="BP28" s="107"/>
      <c r="BQ28" s="107"/>
      <c r="BR28" s="107"/>
      <c r="BS28" s="107"/>
      <c r="BT28" s="107"/>
      <c r="BU28" s="144"/>
      <c r="BV28" s="144"/>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c r="CY28" s="107"/>
      <c r="CZ28" s="107"/>
      <c r="DA28" s="107"/>
      <c r="DB28" s="107"/>
      <c r="DC28" s="107"/>
      <c r="DD28" s="107"/>
      <c r="DE28" s="107"/>
      <c r="DF28" s="107"/>
      <c r="DG28" s="107"/>
      <c r="DH28" s="107"/>
      <c r="DI28" s="107"/>
      <c r="DJ28" s="107"/>
      <c r="DK28" s="107"/>
      <c r="DL28" s="107"/>
      <c r="DM28" s="107"/>
      <c r="DN28" s="107"/>
      <c r="DO28" s="107"/>
      <c r="DP28" s="107"/>
      <c r="DQ28" s="107"/>
      <c r="DR28" s="107"/>
      <c r="DS28" s="107"/>
      <c r="DT28" s="107"/>
      <c r="DU28" s="107"/>
      <c r="DV28" s="107"/>
      <c r="DW28" s="107"/>
      <c r="DX28" s="107"/>
      <c r="DY28" s="107"/>
      <c r="DZ28" s="107"/>
      <c r="EA28" s="107"/>
      <c r="EC28" s="107"/>
      <c r="ED28" s="107"/>
      <c r="EE28" s="107"/>
      <c r="EF28" s="107"/>
      <c r="EG28" s="107"/>
      <c r="EH28" s="107"/>
      <c r="EI28" s="107"/>
      <c r="EJ28" s="107"/>
      <c r="EK28" s="107"/>
      <c r="EL28" s="107"/>
      <c r="EM28" s="107"/>
      <c r="EN28" s="107"/>
      <c r="EO28" s="107"/>
      <c r="EP28" s="107"/>
      <c r="EQ28" s="107"/>
      <c r="ER28" s="107"/>
      <c r="ES28" s="107"/>
      <c r="ET28" s="107"/>
      <c r="EU28" s="107"/>
      <c r="EV28" s="107"/>
      <c r="EW28" s="107"/>
      <c r="EX28" s="107"/>
      <c r="EY28" s="107"/>
      <c r="EZ28" s="107"/>
      <c r="FA28" s="107"/>
      <c r="FB28" s="107"/>
      <c r="FC28" s="107"/>
    </row>
    <row r="29">
      <c r="A29" s="93" t="s">
        <v>2512</v>
      </c>
      <c r="B29" s="93" t="s">
        <v>395</v>
      </c>
      <c r="C29" s="94">
        <v>26024.2</v>
      </c>
      <c r="D29" s="106" t="s">
        <v>2513</v>
      </c>
      <c r="E29" s="106" t="s">
        <v>2514</v>
      </c>
      <c r="F29" s="106" t="s">
        <v>2515</v>
      </c>
      <c r="G29" s="106" t="s">
        <v>2516</v>
      </c>
      <c r="H29" s="106" t="s">
        <v>2517</v>
      </c>
      <c r="I29" s="106" t="s">
        <v>2518</v>
      </c>
      <c r="J29" s="106" t="s">
        <v>2519</v>
      </c>
      <c r="K29" s="106" t="s">
        <v>2520</v>
      </c>
      <c r="L29" s="135" t="s">
        <v>2521</v>
      </c>
      <c r="M29" s="135" t="s">
        <v>2522</v>
      </c>
      <c r="N29" s="135" t="s">
        <v>2523</v>
      </c>
      <c r="O29" s="135" t="s">
        <v>2524</v>
      </c>
      <c r="P29" s="106" t="s">
        <v>2525</v>
      </c>
      <c r="Q29" s="106" t="s">
        <v>2526</v>
      </c>
      <c r="R29" s="106" t="s">
        <v>2527</v>
      </c>
      <c r="S29" s="106" t="s">
        <v>2528</v>
      </c>
      <c r="T29" s="106" t="s">
        <v>2529</v>
      </c>
      <c r="U29" s="106" t="s">
        <v>2530</v>
      </c>
      <c r="V29" s="106" t="s">
        <v>2531</v>
      </c>
      <c r="W29" s="106" t="s">
        <v>2532</v>
      </c>
      <c r="X29" s="106" t="s">
        <v>2533</v>
      </c>
      <c r="Y29" s="106" t="s">
        <v>2534</v>
      </c>
      <c r="Z29" s="106" t="s">
        <v>2535</v>
      </c>
      <c r="AA29" s="135" t="s">
        <v>2536</v>
      </c>
      <c r="AB29" s="135" t="s">
        <v>2537</v>
      </c>
      <c r="AC29" s="135" t="s">
        <v>2538</v>
      </c>
      <c r="AD29" s="135" t="s">
        <v>2539</v>
      </c>
      <c r="AE29" s="136" t="s">
        <v>2540</v>
      </c>
      <c r="AF29" s="136" t="s">
        <v>2541</v>
      </c>
      <c r="AG29" s="136" t="s">
        <v>2542</v>
      </c>
      <c r="AH29" s="136" t="s">
        <v>2543</v>
      </c>
      <c r="AI29" s="136" t="s">
        <v>2544</v>
      </c>
      <c r="AJ29" s="106" t="s">
        <v>2545</v>
      </c>
      <c r="AK29" s="106" t="s">
        <v>2546</v>
      </c>
      <c r="AL29" s="106" t="s">
        <v>2547</v>
      </c>
      <c r="AM29" s="106" t="s">
        <v>2548</v>
      </c>
      <c r="AN29" s="106" t="s">
        <v>2549</v>
      </c>
      <c r="AO29" s="106" t="s">
        <v>2550</v>
      </c>
      <c r="AP29" s="137" t="s">
        <v>2551</v>
      </c>
      <c r="AQ29" s="106" t="s">
        <v>2552</v>
      </c>
      <c r="AR29" s="135" t="s">
        <v>2553</v>
      </c>
      <c r="AS29" s="106" t="s">
        <v>2554</v>
      </c>
      <c r="AT29" s="135" t="s">
        <v>2555</v>
      </c>
      <c r="AU29" s="106" t="s">
        <v>2556</v>
      </c>
      <c r="AV29" s="106" t="s">
        <v>2557</v>
      </c>
      <c r="AW29" s="106" t="s">
        <v>2558</v>
      </c>
      <c r="AX29" s="106" t="s">
        <v>2559</v>
      </c>
      <c r="AY29" s="106" t="s">
        <v>2560</v>
      </c>
      <c r="AZ29" s="106" t="s">
        <v>2561</v>
      </c>
      <c r="BA29" s="106" t="s">
        <v>2562</v>
      </c>
      <c r="BB29" s="106" t="s">
        <v>2563</v>
      </c>
      <c r="BC29" s="106" t="s">
        <v>2564</v>
      </c>
      <c r="BD29" s="107" t="s">
        <v>2565</v>
      </c>
      <c r="BE29" s="107" t="s">
        <v>2566</v>
      </c>
      <c r="BF29" s="107" t="s">
        <v>2567</v>
      </c>
      <c r="BG29" s="107" t="s">
        <v>2568</v>
      </c>
      <c r="BH29" s="107" t="s">
        <v>2569</v>
      </c>
      <c r="BI29" s="107" t="s">
        <v>2570</v>
      </c>
      <c r="BJ29" s="107" t="s">
        <v>2571</v>
      </c>
      <c r="BK29" s="107" t="s">
        <v>2572</v>
      </c>
      <c r="BL29" s="107" t="s">
        <v>2573</v>
      </c>
      <c r="BM29" s="107" t="s">
        <v>2574</v>
      </c>
      <c r="BN29" s="138" t="s">
        <v>2575</v>
      </c>
      <c r="BO29" s="139" t="s">
        <v>2576</v>
      </c>
      <c r="BP29" s="107" t="s">
        <v>2577</v>
      </c>
      <c r="BQ29" s="107" t="s">
        <v>2578</v>
      </c>
      <c r="BR29" s="107" t="s">
        <v>2579</v>
      </c>
      <c r="BS29" s="107" t="s">
        <v>2580</v>
      </c>
      <c r="BT29" s="107" t="s">
        <v>2581</v>
      </c>
      <c r="BU29" s="107" t="s">
        <v>2582</v>
      </c>
      <c r="BV29" s="140" t="s">
        <v>2583</v>
      </c>
      <c r="BW29" s="107" t="s">
        <v>2583</v>
      </c>
      <c r="BX29" s="107" t="s">
        <v>2584</v>
      </c>
      <c r="BY29" s="107" t="s">
        <v>2585</v>
      </c>
      <c r="BZ29" s="107" t="s">
        <v>2586</v>
      </c>
      <c r="CA29" s="107" t="s">
        <v>2587</v>
      </c>
      <c r="CB29" s="107" t="s">
        <v>2588</v>
      </c>
      <c r="CC29" s="107" t="s">
        <v>2589</v>
      </c>
      <c r="CD29" s="107" t="s">
        <v>2590</v>
      </c>
      <c r="CE29" s="107" t="s">
        <v>2590</v>
      </c>
      <c r="CF29" s="107" t="s">
        <v>2591</v>
      </c>
      <c r="CG29" s="107" t="s">
        <v>2592</v>
      </c>
      <c r="CH29" s="107" t="s">
        <v>2593</v>
      </c>
      <c r="CI29" s="107" t="s">
        <v>2594</v>
      </c>
      <c r="CJ29" s="107" t="s">
        <v>2595</v>
      </c>
      <c r="CK29" s="107" t="s">
        <v>2596</v>
      </c>
      <c r="CL29" s="107" t="s">
        <v>2597</v>
      </c>
      <c r="CM29" s="107" t="s">
        <v>2598</v>
      </c>
      <c r="CN29" s="107" t="s">
        <v>2599</v>
      </c>
      <c r="CO29" s="107" t="s">
        <v>2600</v>
      </c>
      <c r="CP29" s="107" t="s">
        <v>2601</v>
      </c>
      <c r="CQ29" s="107" t="s">
        <v>2602</v>
      </c>
      <c r="CR29" s="107" t="s">
        <v>2603</v>
      </c>
      <c r="CS29" s="107" t="s">
        <v>2604</v>
      </c>
      <c r="CT29" s="107" t="s">
        <v>2605</v>
      </c>
      <c r="CU29" s="107" t="s">
        <v>2606</v>
      </c>
      <c r="CV29" s="107" t="s">
        <v>2607</v>
      </c>
      <c r="CW29" s="107" t="s">
        <v>2608</v>
      </c>
      <c r="CX29" s="107" t="s">
        <v>2609</v>
      </c>
      <c r="CY29" s="107" t="s">
        <v>2610</v>
      </c>
      <c r="CZ29" s="107" t="s">
        <v>2611</v>
      </c>
      <c r="DA29" s="107" t="s">
        <v>2612</v>
      </c>
      <c r="DB29" s="107" t="s">
        <v>2613</v>
      </c>
      <c r="DC29" s="107" t="s">
        <v>2614</v>
      </c>
      <c r="DD29" s="107" t="s">
        <v>2615</v>
      </c>
      <c r="DE29" s="107" t="s">
        <v>2616</v>
      </c>
      <c r="DF29" s="107" t="s">
        <v>2617</v>
      </c>
      <c r="DG29" s="107" t="s">
        <v>2618</v>
      </c>
      <c r="DH29" s="107" t="s">
        <v>2619</v>
      </c>
      <c r="DI29" s="107" t="s">
        <v>2620</v>
      </c>
      <c r="DJ29" s="107" t="s">
        <v>2621</v>
      </c>
      <c r="DK29" s="107" t="s">
        <v>2622</v>
      </c>
      <c r="DL29" s="107" t="s">
        <v>2623</v>
      </c>
      <c r="DM29" s="107" t="s">
        <v>2624</v>
      </c>
      <c r="DN29" s="107" t="s">
        <v>2625</v>
      </c>
      <c r="DO29" s="107" t="s">
        <v>2626</v>
      </c>
      <c r="DP29" s="107" t="s">
        <v>2627</v>
      </c>
      <c r="DQ29" s="107" t="s">
        <v>2628</v>
      </c>
      <c r="DR29" s="107" t="s">
        <v>2629</v>
      </c>
      <c r="DS29" s="107" t="s">
        <v>2630</v>
      </c>
      <c r="DT29" s="107" t="s">
        <v>2631</v>
      </c>
      <c r="DU29" s="107" t="s">
        <v>2620</v>
      </c>
      <c r="DV29" s="107" t="s">
        <v>2632</v>
      </c>
      <c r="DW29" s="107" t="s">
        <v>2633</v>
      </c>
      <c r="DX29" s="107" t="s">
        <v>2634</v>
      </c>
      <c r="DY29" s="107"/>
      <c r="DZ29" s="107" t="s">
        <v>2635</v>
      </c>
      <c r="EA29" s="107" t="s">
        <v>2635</v>
      </c>
      <c r="EB29" s="141" t="s">
        <v>2636</v>
      </c>
      <c r="EC29" s="107" t="s">
        <v>2637</v>
      </c>
      <c r="ED29" s="107" t="s">
        <v>2638</v>
      </c>
      <c r="EE29" s="107" t="s">
        <v>2639</v>
      </c>
      <c r="EF29" s="107" t="s">
        <v>2640</v>
      </c>
      <c r="EG29" s="107" t="s">
        <v>2641</v>
      </c>
      <c r="EH29" s="107" t="s">
        <v>2642</v>
      </c>
      <c r="EI29" s="107" t="s">
        <v>2642</v>
      </c>
      <c r="EJ29" s="107" t="s">
        <v>2643</v>
      </c>
      <c r="EK29" s="107" t="s">
        <v>2643</v>
      </c>
      <c r="EL29" s="107" t="s">
        <v>2644</v>
      </c>
      <c r="EM29" s="107" t="s">
        <v>2645</v>
      </c>
      <c r="EN29" s="107" t="s">
        <v>2646</v>
      </c>
      <c r="EO29" s="107" t="s">
        <v>2647</v>
      </c>
      <c r="EP29" s="107" t="s">
        <v>2648</v>
      </c>
      <c r="EQ29" s="107" t="s">
        <v>2649</v>
      </c>
      <c r="ER29" s="107" t="s">
        <v>2650</v>
      </c>
      <c r="ES29" s="107" t="s">
        <v>2651</v>
      </c>
      <c r="ET29" s="107" t="s">
        <v>2652</v>
      </c>
      <c r="EU29" s="107" t="s">
        <v>2653</v>
      </c>
      <c r="EV29" s="107" t="s">
        <v>2654</v>
      </c>
      <c r="EW29" s="107" t="s">
        <v>2655</v>
      </c>
      <c r="EX29" s="107" t="s">
        <v>2656</v>
      </c>
      <c r="EY29" s="107" t="s">
        <v>2657</v>
      </c>
      <c r="EZ29" s="107" t="s">
        <v>2658</v>
      </c>
      <c r="FA29" s="107" t="s">
        <v>2659</v>
      </c>
      <c r="FB29" s="107" t="s">
        <v>2660</v>
      </c>
      <c r="FC29" s="107" t="s">
        <v>2661</v>
      </c>
      <c r="FD29" s="141"/>
      <c r="FE29" s="141"/>
    </row>
    <row r="30">
      <c r="A30" s="93" t="s">
        <v>2662</v>
      </c>
      <c r="B30" s="93" t="s">
        <v>395</v>
      </c>
      <c r="C30" s="94">
        <v>25931.3</v>
      </c>
      <c r="D30" s="106" t="s">
        <v>2663</v>
      </c>
      <c r="E30" s="106" t="s">
        <v>2664</v>
      </c>
      <c r="F30" s="106" t="s">
        <v>2665</v>
      </c>
      <c r="G30" s="106" t="s">
        <v>2666</v>
      </c>
      <c r="H30" s="106" t="s">
        <v>2667</v>
      </c>
      <c r="I30" s="106" t="s">
        <v>2668</v>
      </c>
      <c r="J30" s="106" t="s">
        <v>2669</v>
      </c>
      <c r="K30" s="106" t="s">
        <v>2670</v>
      </c>
      <c r="L30" s="135" t="s">
        <v>2671</v>
      </c>
      <c r="M30" s="135" t="s">
        <v>2672</v>
      </c>
      <c r="N30" s="135" t="s">
        <v>2673</v>
      </c>
      <c r="O30" s="135" t="s">
        <v>2674</v>
      </c>
      <c r="P30" s="106" t="s">
        <v>2675</v>
      </c>
      <c r="Q30" s="106" t="s">
        <v>2676</v>
      </c>
      <c r="R30" s="106" t="s">
        <v>2677</v>
      </c>
      <c r="S30" s="106" t="s">
        <v>2678</v>
      </c>
      <c r="T30" s="106" t="s">
        <v>2679</v>
      </c>
      <c r="U30" s="106" t="s">
        <v>2680</v>
      </c>
      <c r="V30" s="106" t="s">
        <v>2681</v>
      </c>
      <c r="W30" s="106" t="s">
        <v>2682</v>
      </c>
      <c r="X30" s="106" t="s">
        <v>2683</v>
      </c>
      <c r="Y30" s="106" t="s">
        <v>2684</v>
      </c>
      <c r="Z30" s="106" t="s">
        <v>2685</v>
      </c>
      <c r="AA30" s="135" t="s">
        <v>2686</v>
      </c>
      <c r="AB30" s="135" t="s">
        <v>2687</v>
      </c>
      <c r="AC30" s="135" t="s">
        <v>2688</v>
      </c>
      <c r="AD30" s="135" t="s">
        <v>2689</v>
      </c>
      <c r="AE30" s="136" t="s">
        <v>2690</v>
      </c>
      <c r="AF30" s="136" t="s">
        <v>2691</v>
      </c>
      <c r="AG30" s="136" t="s">
        <v>2692</v>
      </c>
      <c r="AH30" s="136" t="s">
        <v>2693</v>
      </c>
      <c r="AI30" s="136" t="s">
        <v>2694</v>
      </c>
      <c r="AJ30" s="106" t="s">
        <v>2695</v>
      </c>
      <c r="AK30" s="106" t="s">
        <v>2696</v>
      </c>
      <c r="AL30" s="106" t="s">
        <v>2697</v>
      </c>
      <c r="AM30" s="106" t="s">
        <v>2698</v>
      </c>
      <c r="AN30" s="106" t="s">
        <v>2699</v>
      </c>
      <c r="AO30" s="106" t="s">
        <v>2700</v>
      </c>
      <c r="AP30" s="137" t="s">
        <v>2701</v>
      </c>
      <c r="AQ30" s="106" t="s">
        <v>2702</v>
      </c>
      <c r="AR30" s="135" t="s">
        <v>2703</v>
      </c>
      <c r="AS30" s="106" t="s">
        <v>2704</v>
      </c>
      <c r="AT30" s="135" t="s">
        <v>2705</v>
      </c>
      <c r="AU30" s="106" t="s">
        <v>2706</v>
      </c>
      <c r="AV30" s="106" t="s">
        <v>2707</v>
      </c>
      <c r="AW30" s="106" t="s">
        <v>2708</v>
      </c>
      <c r="AX30" s="106" t="s">
        <v>2709</v>
      </c>
      <c r="AY30" s="106" t="s">
        <v>2710</v>
      </c>
      <c r="AZ30" s="106" t="s">
        <v>2711</v>
      </c>
      <c r="BA30" s="106" t="s">
        <v>2712</v>
      </c>
      <c r="BB30" s="106" t="s">
        <v>2713</v>
      </c>
      <c r="BC30" s="106" t="s">
        <v>2714</v>
      </c>
      <c r="BD30" s="107" t="s">
        <v>2715</v>
      </c>
      <c r="BE30" s="107" t="s">
        <v>2716</v>
      </c>
      <c r="BF30" s="107" t="s">
        <v>2717</v>
      </c>
      <c r="BG30" s="107" t="s">
        <v>2718</v>
      </c>
      <c r="BH30" s="107" t="s">
        <v>2719</v>
      </c>
      <c r="BI30" s="107" t="s">
        <v>2720</v>
      </c>
      <c r="BJ30" s="107" t="s">
        <v>2721</v>
      </c>
      <c r="BK30" s="107" t="s">
        <v>2722</v>
      </c>
      <c r="BL30" s="107" t="s">
        <v>2723</v>
      </c>
      <c r="BM30" s="107" t="s">
        <v>2724</v>
      </c>
      <c r="BN30" s="138" t="s">
        <v>2725</v>
      </c>
      <c r="BO30" s="139" t="s">
        <v>2726</v>
      </c>
      <c r="BP30" s="107" t="s">
        <v>2727</v>
      </c>
      <c r="BQ30" s="107" t="s">
        <v>2728</v>
      </c>
      <c r="BR30" s="107" t="s">
        <v>2729</v>
      </c>
      <c r="BS30" s="107" t="s">
        <v>2730</v>
      </c>
      <c r="BT30" s="107" t="s">
        <v>2731</v>
      </c>
      <c r="BU30" s="107" t="s">
        <v>2732</v>
      </c>
      <c r="BV30" s="140" t="s">
        <v>2733</v>
      </c>
      <c r="BW30" s="107" t="s">
        <v>2733</v>
      </c>
      <c r="BX30" s="107" t="s">
        <v>2734</v>
      </c>
      <c r="BY30" s="107" t="s">
        <v>2735</v>
      </c>
      <c r="BZ30" s="107" t="s">
        <v>2736</v>
      </c>
      <c r="CA30" s="107" t="s">
        <v>2737</v>
      </c>
      <c r="CB30" s="107" t="s">
        <v>2738</v>
      </c>
      <c r="CC30" s="107" t="s">
        <v>2739</v>
      </c>
      <c r="CD30" s="107" t="s">
        <v>2740</v>
      </c>
      <c r="CE30" s="107" t="s">
        <v>2740</v>
      </c>
      <c r="CF30" s="107" t="s">
        <v>2741</v>
      </c>
      <c r="CG30" s="107" t="s">
        <v>2742</v>
      </c>
      <c r="CH30" s="107" t="s">
        <v>2743</v>
      </c>
      <c r="CI30" s="107" t="s">
        <v>2744</v>
      </c>
      <c r="CJ30" s="107" t="s">
        <v>2745</v>
      </c>
      <c r="CK30" s="107" t="s">
        <v>2746</v>
      </c>
      <c r="CL30" s="107" t="s">
        <v>2747</v>
      </c>
      <c r="CM30" s="107" t="s">
        <v>2748</v>
      </c>
      <c r="CN30" s="107" t="s">
        <v>2749</v>
      </c>
      <c r="CO30" s="107" t="s">
        <v>2750</v>
      </c>
      <c r="CP30" s="107" t="s">
        <v>2751</v>
      </c>
      <c r="CQ30" s="107" t="s">
        <v>2752</v>
      </c>
      <c r="CR30" s="107" t="s">
        <v>2753</v>
      </c>
      <c r="CS30" s="107" t="s">
        <v>2754</v>
      </c>
      <c r="CT30" s="107" t="s">
        <v>2755</v>
      </c>
      <c r="CU30" s="107" t="s">
        <v>2756</v>
      </c>
      <c r="CV30" s="107" t="s">
        <v>2757</v>
      </c>
      <c r="CW30" s="107" t="s">
        <v>2758</v>
      </c>
      <c r="CX30" s="107" t="s">
        <v>2759</v>
      </c>
      <c r="CY30" s="107" t="s">
        <v>2760</v>
      </c>
      <c r="CZ30" s="107" t="s">
        <v>2761</v>
      </c>
      <c r="DA30" s="107" t="s">
        <v>2762</v>
      </c>
      <c r="DB30" s="107" t="s">
        <v>2763</v>
      </c>
      <c r="DC30" s="107" t="s">
        <v>2764</v>
      </c>
      <c r="DD30" s="107" t="s">
        <v>2765</v>
      </c>
      <c r="DE30" s="107" t="s">
        <v>2766</v>
      </c>
      <c r="DF30" s="107" t="s">
        <v>2767</v>
      </c>
      <c r="DG30" s="107" t="s">
        <v>2768</v>
      </c>
      <c r="DH30" s="107" t="s">
        <v>2769</v>
      </c>
      <c r="DI30" s="107" t="s">
        <v>2770</v>
      </c>
      <c r="DJ30" s="107" t="s">
        <v>2771</v>
      </c>
      <c r="DK30" s="107" t="s">
        <v>2772</v>
      </c>
      <c r="DL30" s="107" t="s">
        <v>2773</v>
      </c>
      <c r="DM30" s="107" t="s">
        <v>2774</v>
      </c>
      <c r="DN30" s="107" t="s">
        <v>2775</v>
      </c>
      <c r="DO30" s="107" t="s">
        <v>2776</v>
      </c>
      <c r="DP30" s="107" t="s">
        <v>2777</v>
      </c>
      <c r="DQ30" s="107" t="s">
        <v>2778</v>
      </c>
      <c r="DR30" s="107" t="s">
        <v>2779</v>
      </c>
      <c r="DS30" s="107" t="s">
        <v>2780</v>
      </c>
      <c r="DT30" s="107" t="s">
        <v>2781</v>
      </c>
      <c r="DU30" s="107" t="s">
        <v>2782</v>
      </c>
      <c r="DV30" s="107" t="s">
        <v>2783</v>
      </c>
      <c r="DW30" s="107" t="s">
        <v>2784</v>
      </c>
      <c r="DX30" s="107" t="s">
        <v>2785</v>
      </c>
      <c r="DY30" s="107"/>
      <c r="DZ30" s="107" t="s">
        <v>2786</v>
      </c>
      <c r="EA30" s="107" t="s">
        <v>2786</v>
      </c>
      <c r="EB30" s="141" t="s">
        <v>2787</v>
      </c>
      <c r="EC30" s="107" t="s">
        <v>2788</v>
      </c>
      <c r="ED30" s="107" t="s">
        <v>2789</v>
      </c>
      <c r="EE30" s="107" t="s">
        <v>2790</v>
      </c>
      <c r="EF30" s="107" t="s">
        <v>2791</v>
      </c>
      <c r="EG30" s="107" t="s">
        <v>2792</v>
      </c>
      <c r="EH30" s="107" t="s">
        <v>2793</v>
      </c>
      <c r="EI30" s="107" t="s">
        <v>2793</v>
      </c>
      <c r="EJ30" s="107" t="s">
        <v>2794</v>
      </c>
      <c r="EK30" s="107" t="s">
        <v>2794</v>
      </c>
      <c r="EL30" s="107" t="s">
        <v>2795</v>
      </c>
      <c r="EM30" s="107" t="s">
        <v>2796</v>
      </c>
      <c r="EN30" s="107" t="s">
        <v>2797</v>
      </c>
      <c r="EO30" s="107" t="s">
        <v>2798</v>
      </c>
      <c r="EP30" s="107" t="s">
        <v>2799</v>
      </c>
      <c r="EQ30" s="107" t="s">
        <v>2800</v>
      </c>
      <c r="ER30" s="107" t="s">
        <v>2801</v>
      </c>
      <c r="ES30" s="107" t="s">
        <v>2802</v>
      </c>
      <c r="ET30" s="107" t="s">
        <v>2803</v>
      </c>
      <c r="EU30" s="107" t="s">
        <v>2804</v>
      </c>
      <c r="EV30" s="107" t="s">
        <v>2805</v>
      </c>
      <c r="EW30" s="107" t="s">
        <v>2806</v>
      </c>
      <c r="EX30" s="107" t="s">
        <v>2807</v>
      </c>
      <c r="EY30" s="107" t="s">
        <v>2808</v>
      </c>
      <c r="EZ30" s="107" t="s">
        <v>2809</v>
      </c>
      <c r="FA30" s="107" t="s">
        <v>2810</v>
      </c>
      <c r="FB30" s="107" t="s">
        <v>2811</v>
      </c>
      <c r="FC30" s="107" t="s">
        <v>2812</v>
      </c>
      <c r="FD30" s="141"/>
      <c r="FE30" s="141"/>
    </row>
    <row r="31">
      <c r="A31" s="93" t="s">
        <v>2813</v>
      </c>
      <c r="B31" s="93" t="s">
        <v>395</v>
      </c>
      <c r="C31" s="94">
        <v>25838.4</v>
      </c>
      <c r="D31" s="106" t="s">
        <v>2814</v>
      </c>
      <c r="E31" s="106" t="s">
        <v>2815</v>
      </c>
      <c r="F31" s="106" t="s">
        <v>2816</v>
      </c>
      <c r="G31" s="106" t="s">
        <v>2817</v>
      </c>
      <c r="H31" s="106" t="s">
        <v>2818</v>
      </c>
      <c r="I31" s="106" t="s">
        <v>2819</v>
      </c>
      <c r="J31" s="106" t="s">
        <v>2820</v>
      </c>
      <c r="K31" s="106" t="s">
        <v>2821</v>
      </c>
      <c r="L31" s="135" t="s">
        <v>2822</v>
      </c>
      <c r="M31" s="135" t="s">
        <v>2823</v>
      </c>
      <c r="N31" s="135" t="s">
        <v>2824</v>
      </c>
      <c r="O31" s="135" t="s">
        <v>2825</v>
      </c>
      <c r="P31" s="106" t="s">
        <v>2826</v>
      </c>
      <c r="Q31" s="106" t="s">
        <v>2827</v>
      </c>
      <c r="R31" s="106" t="s">
        <v>2828</v>
      </c>
      <c r="S31" s="106" t="s">
        <v>2829</v>
      </c>
      <c r="T31" s="106" t="s">
        <v>2830</v>
      </c>
      <c r="U31" s="106" t="s">
        <v>2831</v>
      </c>
      <c r="V31" s="106" t="s">
        <v>2832</v>
      </c>
      <c r="W31" s="106" t="s">
        <v>2833</v>
      </c>
      <c r="X31" s="106" t="s">
        <v>2834</v>
      </c>
      <c r="Y31" s="106" t="s">
        <v>2835</v>
      </c>
      <c r="Z31" s="106" t="s">
        <v>2836</v>
      </c>
      <c r="AA31" s="135" t="s">
        <v>2837</v>
      </c>
      <c r="AB31" s="135" t="s">
        <v>2838</v>
      </c>
      <c r="AC31" s="135" t="s">
        <v>2839</v>
      </c>
      <c r="AD31" s="135" t="s">
        <v>2840</v>
      </c>
      <c r="AE31" s="136" t="s">
        <v>2841</v>
      </c>
      <c r="AF31" s="136" t="s">
        <v>2842</v>
      </c>
      <c r="AG31" s="136" t="s">
        <v>2843</v>
      </c>
      <c r="AH31" s="136" t="s">
        <v>2844</v>
      </c>
      <c r="AI31" s="136" t="s">
        <v>2845</v>
      </c>
      <c r="AJ31" s="106" t="s">
        <v>2846</v>
      </c>
      <c r="AK31" s="106" t="s">
        <v>2847</v>
      </c>
      <c r="AL31" s="106" t="s">
        <v>2848</v>
      </c>
      <c r="AM31" s="106" t="s">
        <v>2849</v>
      </c>
      <c r="AN31" s="106" t="s">
        <v>2850</v>
      </c>
      <c r="AO31" s="106" t="s">
        <v>2851</v>
      </c>
      <c r="AP31" s="137" t="s">
        <v>2852</v>
      </c>
      <c r="AQ31" s="106" t="s">
        <v>2853</v>
      </c>
      <c r="AR31" s="135" t="s">
        <v>2854</v>
      </c>
      <c r="AS31" s="106" t="s">
        <v>2855</v>
      </c>
      <c r="AT31" s="135" t="s">
        <v>2856</v>
      </c>
      <c r="AU31" s="106" t="s">
        <v>2857</v>
      </c>
      <c r="AV31" s="106" t="s">
        <v>2858</v>
      </c>
      <c r="AW31" s="106" t="s">
        <v>2859</v>
      </c>
      <c r="AX31" s="106" t="s">
        <v>2860</v>
      </c>
      <c r="AY31" s="106" t="s">
        <v>2861</v>
      </c>
      <c r="AZ31" s="106" t="s">
        <v>2862</v>
      </c>
      <c r="BA31" s="106" t="s">
        <v>2863</v>
      </c>
      <c r="BB31" s="106" t="s">
        <v>2864</v>
      </c>
      <c r="BC31" s="106" t="s">
        <v>2865</v>
      </c>
      <c r="BD31" s="107" t="s">
        <v>2866</v>
      </c>
      <c r="BE31" s="107" t="s">
        <v>2867</v>
      </c>
      <c r="BF31" s="107" t="s">
        <v>2868</v>
      </c>
      <c r="BG31" s="107" t="s">
        <v>2869</v>
      </c>
      <c r="BH31" s="107" t="s">
        <v>2870</v>
      </c>
      <c r="BI31" s="107" t="s">
        <v>2871</v>
      </c>
      <c r="BJ31" s="107" t="s">
        <v>2872</v>
      </c>
      <c r="BK31" s="107" t="s">
        <v>2873</v>
      </c>
      <c r="BL31" s="107" t="s">
        <v>2874</v>
      </c>
      <c r="BM31" s="107" t="s">
        <v>2875</v>
      </c>
      <c r="BN31" s="138" t="s">
        <v>2876</v>
      </c>
      <c r="BO31" s="139" t="s">
        <v>2877</v>
      </c>
      <c r="BP31" s="107" t="s">
        <v>2878</v>
      </c>
      <c r="BQ31" s="107" t="s">
        <v>2879</v>
      </c>
      <c r="BR31" s="107" t="s">
        <v>2880</v>
      </c>
      <c r="BS31" s="107" t="s">
        <v>2881</v>
      </c>
      <c r="BT31" s="107" t="s">
        <v>2882</v>
      </c>
      <c r="BU31" s="107" t="s">
        <v>2883</v>
      </c>
      <c r="BV31" s="140" t="s">
        <v>2884</v>
      </c>
      <c r="BW31" s="107" t="s">
        <v>2884</v>
      </c>
      <c r="BX31" s="107" t="s">
        <v>2885</v>
      </c>
      <c r="BY31" s="107" t="s">
        <v>2886</v>
      </c>
      <c r="BZ31" s="107" t="s">
        <v>2887</v>
      </c>
      <c r="CA31" s="107" t="s">
        <v>2888</v>
      </c>
      <c r="CB31" s="107" t="s">
        <v>2889</v>
      </c>
      <c r="CC31" s="107" t="s">
        <v>2890</v>
      </c>
      <c r="CD31" s="107" t="s">
        <v>2891</v>
      </c>
      <c r="CE31" s="107" t="s">
        <v>2891</v>
      </c>
      <c r="CF31" s="107" t="s">
        <v>2892</v>
      </c>
      <c r="CG31" s="107" t="s">
        <v>2893</v>
      </c>
      <c r="CH31" s="107" t="s">
        <v>2894</v>
      </c>
      <c r="CI31" s="107" t="s">
        <v>2895</v>
      </c>
      <c r="CJ31" s="107" t="s">
        <v>2896</v>
      </c>
      <c r="CK31" s="107" t="s">
        <v>2897</v>
      </c>
      <c r="CL31" s="107" t="s">
        <v>2898</v>
      </c>
      <c r="CM31" s="107" t="s">
        <v>2899</v>
      </c>
      <c r="CN31" s="107" t="s">
        <v>2900</v>
      </c>
      <c r="CO31" s="107" t="s">
        <v>2901</v>
      </c>
      <c r="CP31" s="107" t="s">
        <v>2902</v>
      </c>
      <c r="CQ31" s="107" t="s">
        <v>2903</v>
      </c>
      <c r="CR31" s="107" t="s">
        <v>2904</v>
      </c>
      <c r="CS31" s="107" t="s">
        <v>2905</v>
      </c>
      <c r="CT31" s="107" t="s">
        <v>2906</v>
      </c>
      <c r="CU31" s="107" t="s">
        <v>2907</v>
      </c>
      <c r="CV31" s="107" t="s">
        <v>2908</v>
      </c>
      <c r="CW31" s="107" t="s">
        <v>2909</v>
      </c>
      <c r="CX31" s="107" t="s">
        <v>2910</v>
      </c>
      <c r="CY31" s="107" t="s">
        <v>2911</v>
      </c>
      <c r="CZ31" s="107" t="s">
        <v>2912</v>
      </c>
      <c r="DA31" s="107" t="s">
        <v>2913</v>
      </c>
      <c r="DB31" s="107" t="s">
        <v>2914</v>
      </c>
      <c r="DC31" s="107" t="s">
        <v>2915</v>
      </c>
      <c r="DD31" s="107" t="s">
        <v>2916</v>
      </c>
      <c r="DE31" s="107" t="s">
        <v>2917</v>
      </c>
      <c r="DF31" s="107" t="s">
        <v>2918</v>
      </c>
      <c r="DG31" s="107" t="s">
        <v>2919</v>
      </c>
      <c r="DH31" s="107" t="s">
        <v>2920</v>
      </c>
      <c r="DI31" s="107" t="s">
        <v>2921</v>
      </c>
      <c r="DJ31" s="107" t="s">
        <v>2922</v>
      </c>
      <c r="DK31" s="107" t="s">
        <v>2923</v>
      </c>
      <c r="DL31" s="107" t="s">
        <v>2924</v>
      </c>
      <c r="DM31" s="107" t="s">
        <v>2925</v>
      </c>
      <c r="DN31" s="107" t="s">
        <v>2926</v>
      </c>
      <c r="DO31" s="107" t="s">
        <v>2927</v>
      </c>
      <c r="DP31" s="107" t="s">
        <v>2928</v>
      </c>
      <c r="DQ31" s="107" t="s">
        <v>2929</v>
      </c>
      <c r="DR31" s="107" t="s">
        <v>2930</v>
      </c>
      <c r="DS31" s="107" t="s">
        <v>2931</v>
      </c>
      <c r="DT31" s="107" t="s">
        <v>2932</v>
      </c>
      <c r="DU31" s="107" t="s">
        <v>2933</v>
      </c>
      <c r="DV31" s="107" t="s">
        <v>2934</v>
      </c>
      <c r="DW31" s="107" t="s">
        <v>2935</v>
      </c>
      <c r="DX31" s="107" t="s">
        <v>2936</v>
      </c>
      <c r="DY31" s="107"/>
      <c r="DZ31" s="107" t="s">
        <v>2937</v>
      </c>
      <c r="EA31" s="107" t="s">
        <v>2937</v>
      </c>
      <c r="EB31" s="141" t="s">
        <v>2938</v>
      </c>
      <c r="EC31" s="107" t="s">
        <v>2939</v>
      </c>
      <c r="ED31" s="107" t="s">
        <v>2940</v>
      </c>
      <c r="EE31" s="107" t="s">
        <v>2941</v>
      </c>
      <c r="EF31" s="107" t="s">
        <v>2942</v>
      </c>
      <c r="EG31" s="107" t="s">
        <v>2943</v>
      </c>
      <c r="EH31" s="107" t="s">
        <v>2944</v>
      </c>
      <c r="EI31" s="107" t="s">
        <v>2944</v>
      </c>
      <c r="EJ31" s="107" t="s">
        <v>2945</v>
      </c>
      <c r="EK31" s="107" t="s">
        <v>2945</v>
      </c>
      <c r="EL31" s="107" t="s">
        <v>2946</v>
      </c>
      <c r="EM31" s="107" t="s">
        <v>2947</v>
      </c>
      <c r="EN31" s="107" t="s">
        <v>2948</v>
      </c>
      <c r="EO31" s="107" t="s">
        <v>2949</v>
      </c>
      <c r="EP31" s="107" t="s">
        <v>2950</v>
      </c>
      <c r="EQ31" s="107" t="s">
        <v>2951</v>
      </c>
      <c r="ER31" s="107" t="s">
        <v>2952</v>
      </c>
      <c r="ES31" s="107" t="s">
        <v>2953</v>
      </c>
      <c r="ET31" s="107" t="s">
        <v>2954</v>
      </c>
      <c r="EU31" s="107" t="s">
        <v>2955</v>
      </c>
      <c r="EV31" s="107" t="s">
        <v>2956</v>
      </c>
      <c r="EW31" s="107" t="s">
        <v>2957</v>
      </c>
      <c r="EX31" s="107" t="s">
        <v>2958</v>
      </c>
      <c r="EY31" s="107" t="s">
        <v>2959</v>
      </c>
      <c r="EZ31" s="107" t="s">
        <v>2960</v>
      </c>
      <c r="FA31" s="107" t="s">
        <v>2961</v>
      </c>
      <c r="FB31" s="107" t="s">
        <v>2962</v>
      </c>
      <c r="FC31" s="107" t="s">
        <v>2963</v>
      </c>
      <c r="FD31" s="141"/>
      <c r="FE31" s="141"/>
    </row>
    <row r="32">
      <c r="A32" s="93" t="s">
        <v>2964</v>
      </c>
      <c r="B32" s="93" t="s">
        <v>395</v>
      </c>
      <c r="C32" s="94">
        <v>25745.5</v>
      </c>
      <c r="D32" s="106" t="s">
        <v>2965</v>
      </c>
      <c r="E32" s="106" t="s">
        <v>2966</v>
      </c>
      <c r="F32" s="106" t="s">
        <v>2967</v>
      </c>
      <c r="G32" s="106" t="s">
        <v>2968</v>
      </c>
      <c r="H32" s="106" t="s">
        <v>2969</v>
      </c>
      <c r="I32" s="106" t="s">
        <v>2970</v>
      </c>
      <c r="J32" s="106" t="s">
        <v>2971</v>
      </c>
      <c r="K32" s="106" t="s">
        <v>2972</v>
      </c>
      <c r="L32" s="135" t="s">
        <v>2973</v>
      </c>
      <c r="M32" s="135" t="s">
        <v>2974</v>
      </c>
      <c r="N32" s="135" t="s">
        <v>2975</v>
      </c>
      <c r="O32" s="135" t="s">
        <v>2976</v>
      </c>
      <c r="P32" s="106" t="s">
        <v>2977</v>
      </c>
      <c r="Q32" s="106" t="s">
        <v>2978</v>
      </c>
      <c r="R32" s="106" t="s">
        <v>2979</v>
      </c>
      <c r="S32" s="106" t="s">
        <v>2980</v>
      </c>
      <c r="T32" s="106" t="s">
        <v>2981</v>
      </c>
      <c r="U32" s="106" t="s">
        <v>2982</v>
      </c>
      <c r="V32" s="106" t="s">
        <v>2983</v>
      </c>
      <c r="W32" s="106" t="s">
        <v>2984</v>
      </c>
      <c r="X32" s="106" t="s">
        <v>2985</v>
      </c>
      <c r="Y32" s="106" t="s">
        <v>2986</v>
      </c>
      <c r="Z32" s="106" t="s">
        <v>2987</v>
      </c>
      <c r="AA32" s="135" t="s">
        <v>2988</v>
      </c>
      <c r="AB32" s="135" t="s">
        <v>2989</v>
      </c>
      <c r="AC32" s="135" t="s">
        <v>2990</v>
      </c>
      <c r="AD32" s="135" t="s">
        <v>2991</v>
      </c>
      <c r="AE32" s="136" t="s">
        <v>2992</v>
      </c>
      <c r="AF32" s="136" t="s">
        <v>2993</v>
      </c>
      <c r="AG32" s="136" t="s">
        <v>2994</v>
      </c>
      <c r="AH32" s="136" t="s">
        <v>2995</v>
      </c>
      <c r="AI32" s="136" t="s">
        <v>2996</v>
      </c>
      <c r="AJ32" s="106" t="s">
        <v>2997</v>
      </c>
      <c r="AK32" s="106" t="s">
        <v>2998</v>
      </c>
      <c r="AL32" s="106" t="s">
        <v>2999</v>
      </c>
      <c r="AM32" s="106" t="s">
        <v>3000</v>
      </c>
      <c r="AN32" s="106" t="s">
        <v>3001</v>
      </c>
      <c r="AO32" s="106" t="s">
        <v>3002</v>
      </c>
      <c r="AP32" s="137" t="s">
        <v>3003</v>
      </c>
      <c r="AQ32" s="106" t="s">
        <v>3004</v>
      </c>
      <c r="AR32" s="135" t="s">
        <v>3005</v>
      </c>
      <c r="AS32" s="106" t="s">
        <v>3006</v>
      </c>
      <c r="AT32" s="135" t="s">
        <v>3007</v>
      </c>
      <c r="AU32" s="106" t="s">
        <v>3008</v>
      </c>
      <c r="AV32" s="106" t="s">
        <v>3009</v>
      </c>
      <c r="AW32" s="106" t="s">
        <v>3010</v>
      </c>
      <c r="AX32" s="106" t="s">
        <v>3011</v>
      </c>
      <c r="AY32" s="106" t="s">
        <v>3012</v>
      </c>
      <c r="AZ32" s="106" t="s">
        <v>3013</v>
      </c>
      <c r="BA32" s="106" t="s">
        <v>3014</v>
      </c>
      <c r="BB32" s="106" t="s">
        <v>3015</v>
      </c>
      <c r="BC32" s="106" t="s">
        <v>3016</v>
      </c>
      <c r="BD32" s="107" t="s">
        <v>3017</v>
      </c>
      <c r="BE32" s="107" t="s">
        <v>3018</v>
      </c>
      <c r="BF32" s="107" t="s">
        <v>3019</v>
      </c>
      <c r="BG32" s="107" t="s">
        <v>3020</v>
      </c>
      <c r="BH32" s="107" t="s">
        <v>3021</v>
      </c>
      <c r="BI32" s="107" t="s">
        <v>3022</v>
      </c>
      <c r="BJ32" s="107" t="s">
        <v>3023</v>
      </c>
      <c r="BK32" s="107" t="s">
        <v>3024</v>
      </c>
      <c r="BL32" s="107" t="s">
        <v>3025</v>
      </c>
      <c r="BM32" s="107" t="s">
        <v>3026</v>
      </c>
      <c r="BN32" s="138" t="s">
        <v>3027</v>
      </c>
      <c r="BO32" s="139" t="s">
        <v>3028</v>
      </c>
      <c r="BP32" s="107" t="s">
        <v>3029</v>
      </c>
      <c r="BQ32" s="107" t="s">
        <v>3030</v>
      </c>
      <c r="BR32" s="107" t="s">
        <v>3031</v>
      </c>
      <c r="BS32" s="107" t="s">
        <v>3032</v>
      </c>
      <c r="BT32" s="107" t="s">
        <v>3033</v>
      </c>
      <c r="BU32" s="107" t="s">
        <v>3034</v>
      </c>
      <c r="BV32" s="140" t="s">
        <v>3035</v>
      </c>
      <c r="BW32" s="107" t="s">
        <v>3035</v>
      </c>
      <c r="BX32" s="107" t="s">
        <v>3036</v>
      </c>
      <c r="BY32" s="107" t="s">
        <v>3037</v>
      </c>
      <c r="BZ32" s="107" t="s">
        <v>3038</v>
      </c>
      <c r="CA32" s="107" t="s">
        <v>3039</v>
      </c>
      <c r="CB32" s="107" t="s">
        <v>3040</v>
      </c>
      <c r="CC32" s="107" t="s">
        <v>3041</v>
      </c>
      <c r="CD32" s="107" t="s">
        <v>3042</v>
      </c>
      <c r="CE32" s="107" t="s">
        <v>3042</v>
      </c>
      <c r="CF32" s="107" t="s">
        <v>3043</v>
      </c>
      <c r="CG32" s="107" t="s">
        <v>3044</v>
      </c>
      <c r="CH32" s="107" t="s">
        <v>3045</v>
      </c>
      <c r="CI32" s="107" t="s">
        <v>3046</v>
      </c>
      <c r="CJ32" s="107" t="s">
        <v>3047</v>
      </c>
      <c r="CK32" s="107" t="s">
        <v>3048</v>
      </c>
      <c r="CL32" s="107" t="s">
        <v>3049</v>
      </c>
      <c r="CM32" s="107" t="s">
        <v>3050</v>
      </c>
      <c r="CN32" s="107" t="s">
        <v>3051</v>
      </c>
      <c r="CO32" s="107" t="s">
        <v>3052</v>
      </c>
      <c r="CP32" s="107" t="s">
        <v>3053</v>
      </c>
      <c r="CQ32" s="107" t="s">
        <v>3054</v>
      </c>
      <c r="CR32" s="107" t="s">
        <v>3055</v>
      </c>
      <c r="CS32" s="107" t="s">
        <v>3056</v>
      </c>
      <c r="CT32" s="107" t="s">
        <v>3057</v>
      </c>
      <c r="CU32" s="107" t="s">
        <v>3058</v>
      </c>
      <c r="CV32" s="107" t="s">
        <v>3059</v>
      </c>
      <c r="CW32" s="107" t="s">
        <v>3060</v>
      </c>
      <c r="CX32" s="107" t="s">
        <v>3061</v>
      </c>
      <c r="CY32" s="107" t="s">
        <v>3062</v>
      </c>
      <c r="CZ32" s="107" t="s">
        <v>3063</v>
      </c>
      <c r="DA32" s="107" t="s">
        <v>3064</v>
      </c>
      <c r="DB32" s="107" t="s">
        <v>3065</v>
      </c>
      <c r="DC32" s="107" t="s">
        <v>3066</v>
      </c>
      <c r="DD32" s="107" t="s">
        <v>3067</v>
      </c>
      <c r="DE32" s="107" t="s">
        <v>3068</v>
      </c>
      <c r="DF32" s="107" t="s">
        <v>3069</v>
      </c>
      <c r="DG32" s="107" t="s">
        <v>3070</v>
      </c>
      <c r="DH32" s="107" t="s">
        <v>3071</v>
      </c>
      <c r="DI32" s="107" t="s">
        <v>3072</v>
      </c>
      <c r="DJ32" s="107" t="s">
        <v>3073</v>
      </c>
      <c r="DK32" s="107" t="s">
        <v>3074</v>
      </c>
      <c r="DL32" s="107" t="s">
        <v>3075</v>
      </c>
      <c r="DM32" s="107" t="s">
        <v>3076</v>
      </c>
      <c r="DN32" s="107" t="s">
        <v>3077</v>
      </c>
      <c r="DO32" s="107" t="s">
        <v>3078</v>
      </c>
      <c r="DP32" s="107" t="s">
        <v>3079</v>
      </c>
      <c r="DQ32" s="107" t="s">
        <v>3080</v>
      </c>
      <c r="DR32" s="107" t="s">
        <v>3081</v>
      </c>
      <c r="DS32" s="107" t="s">
        <v>3082</v>
      </c>
      <c r="DT32" s="107" t="s">
        <v>3083</v>
      </c>
      <c r="DU32" s="107" t="s">
        <v>3084</v>
      </c>
      <c r="DV32" s="107" t="s">
        <v>3085</v>
      </c>
      <c r="DW32" s="107" t="s">
        <v>3086</v>
      </c>
      <c r="DX32" s="107" t="s">
        <v>3087</v>
      </c>
      <c r="DY32" s="107"/>
      <c r="DZ32" s="107" t="s">
        <v>3088</v>
      </c>
      <c r="EA32" s="107" t="s">
        <v>3088</v>
      </c>
      <c r="EB32" s="141" t="s">
        <v>3089</v>
      </c>
      <c r="EC32" s="107" t="s">
        <v>3090</v>
      </c>
      <c r="ED32" s="107" t="s">
        <v>3091</v>
      </c>
      <c r="EE32" s="107" t="s">
        <v>3092</v>
      </c>
      <c r="EF32" s="107" t="s">
        <v>3093</v>
      </c>
      <c r="EG32" s="107" t="s">
        <v>3094</v>
      </c>
      <c r="EH32" s="107" t="s">
        <v>3095</v>
      </c>
      <c r="EI32" s="107" t="s">
        <v>3095</v>
      </c>
      <c r="EJ32" s="107" t="s">
        <v>3096</v>
      </c>
      <c r="EK32" s="107" t="s">
        <v>3096</v>
      </c>
      <c r="EL32" s="107" t="s">
        <v>3097</v>
      </c>
      <c r="EM32" s="107" t="s">
        <v>3098</v>
      </c>
      <c r="EN32" s="107" t="s">
        <v>3099</v>
      </c>
      <c r="EO32" s="107" t="s">
        <v>3100</v>
      </c>
      <c r="EP32" s="107" t="s">
        <v>3101</v>
      </c>
      <c r="EQ32" s="107" t="s">
        <v>3069</v>
      </c>
      <c r="ER32" s="107" t="s">
        <v>3102</v>
      </c>
      <c r="ES32" s="107" t="s">
        <v>3103</v>
      </c>
      <c r="ET32" s="107" t="s">
        <v>3104</v>
      </c>
      <c r="EU32" s="107" t="s">
        <v>3105</v>
      </c>
      <c r="EV32" s="107" t="s">
        <v>3106</v>
      </c>
      <c r="EW32" s="107" t="s">
        <v>3107</v>
      </c>
      <c r="EX32" s="107" t="s">
        <v>3108</v>
      </c>
      <c r="EY32" s="107" t="s">
        <v>3109</v>
      </c>
      <c r="EZ32" s="107" t="s">
        <v>3110</v>
      </c>
      <c r="FA32" s="107" t="s">
        <v>3111</v>
      </c>
      <c r="FB32" s="107" t="s">
        <v>3112</v>
      </c>
      <c r="FC32" s="107" t="s">
        <v>3113</v>
      </c>
      <c r="FD32" s="141"/>
      <c r="FE32" s="141"/>
    </row>
    <row r="33">
      <c r="A33" s="93" t="s">
        <v>3114</v>
      </c>
      <c r="B33" s="93" t="s">
        <v>395</v>
      </c>
      <c r="C33" s="94">
        <v>25614.0</v>
      </c>
      <c r="D33" s="106" t="s">
        <v>3115</v>
      </c>
      <c r="E33" s="106" t="s">
        <v>3116</v>
      </c>
      <c r="F33" s="106" t="s">
        <v>3117</v>
      </c>
      <c r="G33" s="106" t="s">
        <v>3118</v>
      </c>
      <c r="H33" s="106" t="s">
        <v>3119</v>
      </c>
      <c r="I33" s="106" t="s">
        <v>3120</v>
      </c>
      <c r="J33" s="106" t="s">
        <v>3121</v>
      </c>
      <c r="K33" s="106" t="s">
        <v>3122</v>
      </c>
      <c r="L33" s="135" t="s">
        <v>3123</v>
      </c>
      <c r="M33" s="135" t="s">
        <v>3124</v>
      </c>
      <c r="N33" s="135" t="s">
        <v>3125</v>
      </c>
      <c r="O33" s="135" t="s">
        <v>3126</v>
      </c>
      <c r="P33" s="106" t="s">
        <v>3127</v>
      </c>
      <c r="Q33" s="106" t="s">
        <v>3128</v>
      </c>
      <c r="R33" s="106" t="s">
        <v>3129</v>
      </c>
      <c r="S33" s="106" t="s">
        <v>3130</v>
      </c>
      <c r="T33" s="106" t="s">
        <v>3131</v>
      </c>
      <c r="U33" s="106" t="s">
        <v>3132</v>
      </c>
      <c r="V33" s="106" t="s">
        <v>3133</v>
      </c>
      <c r="W33" s="106" t="s">
        <v>3134</v>
      </c>
      <c r="X33" s="106" t="s">
        <v>3135</v>
      </c>
      <c r="Y33" s="106" t="s">
        <v>3136</v>
      </c>
      <c r="Z33" s="106" t="s">
        <v>3137</v>
      </c>
      <c r="AA33" s="135" t="s">
        <v>3138</v>
      </c>
      <c r="AB33" s="135" t="s">
        <v>3139</v>
      </c>
      <c r="AC33" s="135" t="s">
        <v>3140</v>
      </c>
      <c r="AD33" s="135" t="s">
        <v>3141</v>
      </c>
      <c r="AE33" s="136" t="s">
        <v>3142</v>
      </c>
      <c r="AF33" s="136" t="s">
        <v>3143</v>
      </c>
      <c r="AG33" s="136" t="s">
        <v>3144</v>
      </c>
      <c r="AH33" s="136" t="s">
        <v>3145</v>
      </c>
      <c r="AI33" s="136" t="s">
        <v>3146</v>
      </c>
      <c r="AJ33" s="106" t="s">
        <v>3147</v>
      </c>
      <c r="AK33" s="106" t="s">
        <v>3148</v>
      </c>
      <c r="AL33" s="106" t="s">
        <v>3149</v>
      </c>
      <c r="AM33" s="106" t="s">
        <v>3150</v>
      </c>
      <c r="AN33" s="106" t="s">
        <v>3151</v>
      </c>
      <c r="AO33" s="106" t="s">
        <v>3152</v>
      </c>
      <c r="AP33" s="137" t="s">
        <v>3153</v>
      </c>
      <c r="AQ33" s="106" t="s">
        <v>3154</v>
      </c>
      <c r="AR33" s="135" t="s">
        <v>3155</v>
      </c>
      <c r="AS33" s="106" t="s">
        <v>3156</v>
      </c>
      <c r="AT33" s="135" t="s">
        <v>3157</v>
      </c>
      <c r="AU33" s="106" t="s">
        <v>3158</v>
      </c>
      <c r="AV33" s="106" t="s">
        <v>3159</v>
      </c>
      <c r="AW33" s="106" t="s">
        <v>3160</v>
      </c>
      <c r="AX33" s="106" t="s">
        <v>3161</v>
      </c>
      <c r="AY33" s="106" t="s">
        <v>3162</v>
      </c>
      <c r="AZ33" s="106" t="s">
        <v>3163</v>
      </c>
      <c r="BA33" s="106" t="s">
        <v>3164</v>
      </c>
      <c r="BB33" s="106" t="s">
        <v>3165</v>
      </c>
      <c r="BC33" s="106" t="s">
        <v>3166</v>
      </c>
      <c r="BD33" s="107" t="s">
        <v>3167</v>
      </c>
      <c r="BE33" s="107" t="s">
        <v>3168</v>
      </c>
      <c r="BF33" s="107" t="s">
        <v>3169</v>
      </c>
      <c r="BG33" s="107" t="s">
        <v>3170</v>
      </c>
      <c r="BH33" s="107" t="s">
        <v>3171</v>
      </c>
      <c r="BI33" s="107" t="s">
        <v>3172</v>
      </c>
      <c r="BJ33" s="107" t="s">
        <v>3173</v>
      </c>
      <c r="BK33" s="107" t="s">
        <v>3174</v>
      </c>
      <c r="BL33" s="107" t="s">
        <v>3175</v>
      </c>
      <c r="BM33" s="107" t="s">
        <v>3176</v>
      </c>
      <c r="BN33" s="138" t="s">
        <v>3177</v>
      </c>
      <c r="BO33" s="139" t="s">
        <v>3178</v>
      </c>
      <c r="BP33" s="107" t="s">
        <v>3179</v>
      </c>
      <c r="BQ33" s="107" t="s">
        <v>3180</v>
      </c>
      <c r="BR33" s="107" t="s">
        <v>3181</v>
      </c>
      <c r="BS33" s="107" t="s">
        <v>3182</v>
      </c>
      <c r="BT33" s="107" t="s">
        <v>3183</v>
      </c>
      <c r="BU33" s="107" t="s">
        <v>3184</v>
      </c>
      <c r="BV33" s="140" t="s">
        <v>3185</v>
      </c>
      <c r="BW33" s="107" t="s">
        <v>3185</v>
      </c>
      <c r="BX33" s="107" t="s">
        <v>3186</v>
      </c>
      <c r="BY33" s="107" t="s">
        <v>3187</v>
      </c>
      <c r="BZ33" s="107" t="s">
        <v>3188</v>
      </c>
      <c r="CA33" s="107" t="s">
        <v>3189</v>
      </c>
      <c r="CB33" s="107" t="s">
        <v>3190</v>
      </c>
      <c r="CC33" s="107" t="s">
        <v>3191</v>
      </c>
      <c r="CD33" s="107" t="s">
        <v>3192</v>
      </c>
      <c r="CE33" s="107" t="s">
        <v>3192</v>
      </c>
      <c r="CF33" s="107" t="s">
        <v>3193</v>
      </c>
      <c r="CG33" s="107" t="s">
        <v>3194</v>
      </c>
      <c r="CH33" s="107" t="s">
        <v>3195</v>
      </c>
      <c r="CI33" s="107" t="s">
        <v>3196</v>
      </c>
      <c r="CJ33" s="107" t="s">
        <v>3197</v>
      </c>
      <c r="CK33" s="107" t="s">
        <v>3198</v>
      </c>
      <c r="CL33" s="107" t="s">
        <v>3199</v>
      </c>
      <c r="CM33" s="107" t="s">
        <v>3200</v>
      </c>
      <c r="CN33" s="107" t="s">
        <v>3201</v>
      </c>
      <c r="CO33" s="107" t="s">
        <v>3202</v>
      </c>
      <c r="CP33" s="107" t="s">
        <v>3203</v>
      </c>
      <c r="CQ33" s="107" t="s">
        <v>3204</v>
      </c>
      <c r="CR33" s="107" t="s">
        <v>3205</v>
      </c>
      <c r="CS33" s="107" t="s">
        <v>3206</v>
      </c>
      <c r="CT33" s="107" t="s">
        <v>3207</v>
      </c>
      <c r="CU33" s="107" t="s">
        <v>3208</v>
      </c>
      <c r="CV33" s="107" t="s">
        <v>3209</v>
      </c>
      <c r="CW33" s="107" t="s">
        <v>3210</v>
      </c>
      <c r="CX33" s="107" t="s">
        <v>3211</v>
      </c>
      <c r="CY33" s="107" t="s">
        <v>3212</v>
      </c>
      <c r="CZ33" s="107" t="s">
        <v>3213</v>
      </c>
      <c r="DA33" s="107" t="s">
        <v>3214</v>
      </c>
      <c r="DB33" s="107" t="s">
        <v>3215</v>
      </c>
      <c r="DC33" s="107" t="s">
        <v>3216</v>
      </c>
      <c r="DD33" s="107" t="s">
        <v>3217</v>
      </c>
      <c r="DE33" s="107" t="s">
        <v>3218</v>
      </c>
      <c r="DF33" s="107" t="s">
        <v>3219</v>
      </c>
      <c r="DG33" s="107" t="s">
        <v>3220</v>
      </c>
      <c r="DH33" s="107" t="s">
        <v>3221</v>
      </c>
      <c r="DI33" s="107" t="s">
        <v>3222</v>
      </c>
      <c r="DJ33" s="107" t="s">
        <v>3223</v>
      </c>
      <c r="DK33" s="107" t="s">
        <v>3224</v>
      </c>
      <c r="DL33" s="107" t="s">
        <v>3225</v>
      </c>
      <c r="DM33" s="107" t="s">
        <v>3226</v>
      </c>
      <c r="DN33" s="107" t="s">
        <v>3227</v>
      </c>
      <c r="DO33" s="107" t="s">
        <v>3228</v>
      </c>
      <c r="DP33" s="107" t="s">
        <v>3229</v>
      </c>
      <c r="DQ33" s="107" t="s">
        <v>3230</v>
      </c>
      <c r="DR33" s="107" t="s">
        <v>3231</v>
      </c>
      <c r="DS33" s="107" t="s">
        <v>3232</v>
      </c>
      <c r="DT33" s="107" t="s">
        <v>3233</v>
      </c>
      <c r="DU33" s="107" t="s">
        <v>3234</v>
      </c>
      <c r="DV33" s="107" t="s">
        <v>3235</v>
      </c>
      <c r="DW33" s="107" t="s">
        <v>3236</v>
      </c>
      <c r="DX33" s="107" t="s">
        <v>3237</v>
      </c>
      <c r="DY33" s="107"/>
      <c r="DZ33" s="107" t="s">
        <v>3238</v>
      </c>
      <c r="EA33" s="107" t="s">
        <v>3238</v>
      </c>
      <c r="EB33" s="141" t="s">
        <v>3239</v>
      </c>
      <c r="EC33" s="107" t="s">
        <v>3240</v>
      </c>
      <c r="ED33" s="107" t="s">
        <v>3241</v>
      </c>
      <c r="EE33" s="107" t="s">
        <v>3242</v>
      </c>
      <c r="EF33" s="107" t="s">
        <v>3243</v>
      </c>
      <c r="EG33" s="107" t="s">
        <v>3244</v>
      </c>
      <c r="EH33" s="107" t="s">
        <v>3245</v>
      </c>
      <c r="EI33" s="107" t="s">
        <v>3245</v>
      </c>
      <c r="EJ33" s="107" t="s">
        <v>3246</v>
      </c>
      <c r="EK33" s="107" t="s">
        <v>3246</v>
      </c>
      <c r="EL33" s="107" t="s">
        <v>3247</v>
      </c>
      <c r="EM33" s="107" t="s">
        <v>3248</v>
      </c>
      <c r="EN33" s="107" t="s">
        <v>3249</v>
      </c>
      <c r="EO33" s="107" t="s">
        <v>3250</v>
      </c>
      <c r="EP33" s="107" t="s">
        <v>3251</v>
      </c>
      <c r="EQ33" s="107" t="s">
        <v>3252</v>
      </c>
      <c r="ER33" s="107" t="s">
        <v>3253</v>
      </c>
      <c r="ES33" s="107" t="s">
        <v>3254</v>
      </c>
      <c r="ET33" s="107" t="s">
        <v>3255</v>
      </c>
      <c r="EU33" s="107" t="s">
        <v>3256</v>
      </c>
      <c r="EV33" s="107" t="s">
        <v>3257</v>
      </c>
      <c r="EW33" s="107" t="s">
        <v>3258</v>
      </c>
      <c r="EX33" s="107" t="s">
        <v>3259</v>
      </c>
      <c r="EY33" s="107" t="s">
        <v>3260</v>
      </c>
      <c r="EZ33" s="107" t="s">
        <v>3261</v>
      </c>
      <c r="FA33" s="107" t="s">
        <v>3262</v>
      </c>
      <c r="FB33" s="107" t="s">
        <v>3263</v>
      </c>
      <c r="FC33" s="107" t="s">
        <v>3264</v>
      </c>
      <c r="FD33" s="141"/>
      <c r="FE33" s="141"/>
    </row>
    <row r="34">
      <c r="A34" s="93" t="s">
        <v>3265</v>
      </c>
      <c r="B34" s="93" t="s">
        <v>395</v>
      </c>
      <c r="C34" s="94">
        <v>25521.1</v>
      </c>
      <c r="D34" s="106" t="s">
        <v>3266</v>
      </c>
      <c r="E34" s="106" t="s">
        <v>3267</v>
      </c>
      <c r="F34" s="106" t="s">
        <v>3268</v>
      </c>
      <c r="G34" s="106" t="s">
        <v>3269</v>
      </c>
      <c r="H34" s="106" t="s">
        <v>3270</v>
      </c>
      <c r="I34" s="106" t="s">
        <v>3271</v>
      </c>
      <c r="J34" s="106" t="s">
        <v>3272</v>
      </c>
      <c r="K34" s="106" t="s">
        <v>3273</v>
      </c>
      <c r="L34" s="135" t="s">
        <v>3274</v>
      </c>
      <c r="M34" s="135" t="s">
        <v>3275</v>
      </c>
      <c r="N34" s="135" t="s">
        <v>3276</v>
      </c>
      <c r="O34" s="135" t="s">
        <v>3277</v>
      </c>
      <c r="P34" s="106" t="s">
        <v>3278</v>
      </c>
      <c r="Q34" s="106" t="s">
        <v>3279</v>
      </c>
      <c r="R34" s="106" t="s">
        <v>3280</v>
      </c>
      <c r="S34" s="106" t="s">
        <v>3281</v>
      </c>
      <c r="T34" s="106" t="s">
        <v>3282</v>
      </c>
      <c r="U34" s="106" t="s">
        <v>3283</v>
      </c>
      <c r="V34" s="106" t="s">
        <v>3284</v>
      </c>
      <c r="W34" s="106" t="s">
        <v>3285</v>
      </c>
      <c r="X34" s="106" t="s">
        <v>3286</v>
      </c>
      <c r="Y34" s="106" t="s">
        <v>3287</v>
      </c>
      <c r="Z34" s="106" t="s">
        <v>3288</v>
      </c>
      <c r="AA34" s="135" t="s">
        <v>3289</v>
      </c>
      <c r="AB34" s="135" t="s">
        <v>3290</v>
      </c>
      <c r="AC34" s="135" t="s">
        <v>3291</v>
      </c>
      <c r="AD34" s="135" t="s">
        <v>3292</v>
      </c>
      <c r="AE34" s="136" t="s">
        <v>3293</v>
      </c>
      <c r="AF34" s="136" t="s">
        <v>3294</v>
      </c>
      <c r="AG34" s="136" t="s">
        <v>3295</v>
      </c>
      <c r="AH34" s="136" t="s">
        <v>3296</v>
      </c>
      <c r="AI34" s="136" t="s">
        <v>3297</v>
      </c>
      <c r="AJ34" s="106" t="s">
        <v>3298</v>
      </c>
      <c r="AK34" s="106" t="s">
        <v>3299</v>
      </c>
      <c r="AL34" s="106" t="s">
        <v>3300</v>
      </c>
      <c r="AM34" s="106" t="s">
        <v>3301</v>
      </c>
      <c r="AN34" s="106" t="s">
        <v>3302</v>
      </c>
      <c r="AO34" s="106" t="s">
        <v>3303</v>
      </c>
      <c r="AP34" s="137" t="s">
        <v>3304</v>
      </c>
      <c r="AQ34" s="106" t="s">
        <v>3305</v>
      </c>
      <c r="AR34" s="135" t="s">
        <v>3306</v>
      </c>
      <c r="AS34" s="106" t="s">
        <v>3307</v>
      </c>
      <c r="AT34" s="135" t="s">
        <v>3308</v>
      </c>
      <c r="AU34" s="106" t="s">
        <v>3309</v>
      </c>
      <c r="AV34" s="106" t="s">
        <v>3310</v>
      </c>
      <c r="AW34" s="106" t="s">
        <v>3311</v>
      </c>
      <c r="AX34" s="106" t="s">
        <v>3312</v>
      </c>
      <c r="AY34" s="106" t="s">
        <v>3313</v>
      </c>
      <c r="AZ34" s="106" t="s">
        <v>3314</v>
      </c>
      <c r="BA34" s="106" t="s">
        <v>3315</v>
      </c>
      <c r="BB34" s="106" t="s">
        <v>3316</v>
      </c>
      <c r="BC34" s="106" t="s">
        <v>3317</v>
      </c>
      <c r="BD34" s="107" t="s">
        <v>3318</v>
      </c>
      <c r="BE34" s="107" t="s">
        <v>3319</v>
      </c>
      <c r="BF34" s="107" t="s">
        <v>3320</v>
      </c>
      <c r="BG34" s="107" t="s">
        <v>3321</v>
      </c>
      <c r="BH34" s="107" t="s">
        <v>3322</v>
      </c>
      <c r="BI34" s="107" t="s">
        <v>3323</v>
      </c>
      <c r="BJ34" s="107" t="s">
        <v>3324</v>
      </c>
      <c r="BK34" s="107" t="s">
        <v>3325</v>
      </c>
      <c r="BL34" s="107" t="s">
        <v>3326</v>
      </c>
      <c r="BM34" s="107" t="s">
        <v>3327</v>
      </c>
      <c r="BN34" s="138" t="s">
        <v>3328</v>
      </c>
      <c r="BO34" s="139" t="s">
        <v>3329</v>
      </c>
      <c r="BP34" s="107" t="s">
        <v>3330</v>
      </c>
      <c r="BQ34" s="107" t="s">
        <v>3331</v>
      </c>
      <c r="BR34" s="107" t="s">
        <v>3332</v>
      </c>
      <c r="BS34" s="107" t="s">
        <v>3333</v>
      </c>
      <c r="BT34" s="107" t="s">
        <v>3334</v>
      </c>
      <c r="BU34" s="107" t="s">
        <v>3335</v>
      </c>
      <c r="BV34" s="140" t="s">
        <v>3336</v>
      </c>
      <c r="BW34" s="107" t="s">
        <v>3336</v>
      </c>
      <c r="BX34" s="107" t="s">
        <v>3337</v>
      </c>
      <c r="BY34" s="107" t="s">
        <v>3338</v>
      </c>
      <c r="BZ34" s="107" t="s">
        <v>3339</v>
      </c>
      <c r="CA34" s="107" t="s">
        <v>3340</v>
      </c>
      <c r="CB34" s="107" t="s">
        <v>3341</v>
      </c>
      <c r="CC34" s="107" t="s">
        <v>3342</v>
      </c>
      <c r="CD34" s="107" t="s">
        <v>3343</v>
      </c>
      <c r="CE34" s="107" t="s">
        <v>3343</v>
      </c>
      <c r="CF34" s="107" t="s">
        <v>3344</v>
      </c>
      <c r="CG34" s="107" t="s">
        <v>3345</v>
      </c>
      <c r="CH34" s="107" t="s">
        <v>3346</v>
      </c>
      <c r="CI34" s="107" t="s">
        <v>3347</v>
      </c>
      <c r="CJ34" s="107" t="s">
        <v>3348</v>
      </c>
      <c r="CK34" s="107" t="s">
        <v>3349</v>
      </c>
      <c r="CL34" s="107" t="s">
        <v>3350</v>
      </c>
      <c r="CM34" s="107" t="s">
        <v>3351</v>
      </c>
      <c r="CN34" s="107" t="s">
        <v>3352</v>
      </c>
      <c r="CO34" s="107" t="s">
        <v>3353</v>
      </c>
      <c r="CP34" s="107" t="s">
        <v>3354</v>
      </c>
      <c r="CQ34" s="107" t="s">
        <v>3355</v>
      </c>
      <c r="CR34" s="107" t="s">
        <v>3356</v>
      </c>
      <c r="CS34" s="107" t="s">
        <v>3357</v>
      </c>
      <c r="CT34" s="107" t="s">
        <v>3358</v>
      </c>
      <c r="CU34" s="107" t="s">
        <v>3359</v>
      </c>
      <c r="CV34" s="107" t="s">
        <v>3360</v>
      </c>
      <c r="CW34" s="107" t="s">
        <v>3361</v>
      </c>
      <c r="CX34" s="107" t="s">
        <v>3362</v>
      </c>
      <c r="CY34" s="107" t="s">
        <v>3363</v>
      </c>
      <c r="CZ34" s="107" t="s">
        <v>3364</v>
      </c>
      <c r="DA34" s="107" t="s">
        <v>3365</v>
      </c>
      <c r="DB34" s="107" t="s">
        <v>3366</v>
      </c>
      <c r="DC34" s="107" t="s">
        <v>3367</v>
      </c>
      <c r="DD34" s="107" t="s">
        <v>3368</v>
      </c>
      <c r="DE34" s="107" t="s">
        <v>3369</v>
      </c>
      <c r="DF34" s="107" t="s">
        <v>3370</v>
      </c>
      <c r="DG34" s="107" t="s">
        <v>3371</v>
      </c>
      <c r="DH34" s="107" t="s">
        <v>3372</v>
      </c>
      <c r="DI34" s="107" t="s">
        <v>3373</v>
      </c>
      <c r="DJ34" s="107" t="s">
        <v>3374</v>
      </c>
      <c r="DK34" s="107" t="s">
        <v>3375</v>
      </c>
      <c r="DL34" s="107" t="s">
        <v>3376</v>
      </c>
      <c r="DM34" s="107" t="s">
        <v>3377</v>
      </c>
      <c r="DN34" s="107" t="s">
        <v>3378</v>
      </c>
      <c r="DO34" s="107" t="s">
        <v>3379</v>
      </c>
      <c r="DP34" s="107" t="s">
        <v>3380</v>
      </c>
      <c r="DQ34" s="107" t="s">
        <v>3381</v>
      </c>
      <c r="DR34" s="107" t="s">
        <v>3382</v>
      </c>
      <c r="DS34" s="107" t="s">
        <v>3383</v>
      </c>
      <c r="DT34" s="107" t="s">
        <v>3384</v>
      </c>
      <c r="DU34" s="107" t="s">
        <v>3385</v>
      </c>
      <c r="DV34" s="107" t="s">
        <v>3386</v>
      </c>
      <c r="DW34" s="107" t="s">
        <v>3387</v>
      </c>
      <c r="DX34" s="107" t="s">
        <v>3388</v>
      </c>
      <c r="DY34" s="107"/>
      <c r="DZ34" s="107" t="s">
        <v>3389</v>
      </c>
      <c r="EA34" s="107" t="s">
        <v>3389</v>
      </c>
      <c r="EB34" s="141" t="s">
        <v>3390</v>
      </c>
      <c r="EC34" s="107" t="s">
        <v>3391</v>
      </c>
      <c r="ED34" s="107" t="s">
        <v>3392</v>
      </c>
      <c r="EE34" s="107" t="s">
        <v>3393</v>
      </c>
      <c r="EF34" s="107" t="s">
        <v>3394</v>
      </c>
      <c r="EG34" s="107" t="s">
        <v>3395</v>
      </c>
      <c r="EH34" s="107" t="s">
        <v>3396</v>
      </c>
      <c r="EI34" s="107" t="s">
        <v>3396</v>
      </c>
      <c r="EJ34" s="107" t="s">
        <v>3397</v>
      </c>
      <c r="EK34" s="107" t="s">
        <v>3397</v>
      </c>
      <c r="EL34" s="107" t="s">
        <v>3398</v>
      </c>
      <c r="EM34" s="107" t="s">
        <v>3399</v>
      </c>
      <c r="EN34" s="107" t="s">
        <v>3400</v>
      </c>
      <c r="EO34" s="107" t="s">
        <v>3401</v>
      </c>
      <c r="EP34" s="107" t="s">
        <v>3402</v>
      </c>
      <c r="EQ34" s="107" t="s">
        <v>3403</v>
      </c>
      <c r="ER34" s="107" t="s">
        <v>3404</v>
      </c>
      <c r="ES34" s="107" t="s">
        <v>3405</v>
      </c>
      <c r="ET34" s="107" t="s">
        <v>3406</v>
      </c>
      <c r="EU34" s="107" t="s">
        <v>3407</v>
      </c>
      <c r="EV34" s="107" t="s">
        <v>3408</v>
      </c>
      <c r="EW34" s="107" t="s">
        <v>3409</v>
      </c>
      <c r="EX34" s="107" t="s">
        <v>3410</v>
      </c>
      <c r="EY34" s="107" t="s">
        <v>3411</v>
      </c>
      <c r="EZ34" s="107" t="s">
        <v>3412</v>
      </c>
      <c r="FA34" s="107" t="s">
        <v>3413</v>
      </c>
      <c r="FB34" s="107" t="s">
        <v>3414</v>
      </c>
      <c r="FC34" s="107" t="s">
        <v>3415</v>
      </c>
      <c r="FD34" s="141"/>
      <c r="FE34" s="141"/>
    </row>
    <row r="35">
      <c r="A35" s="93" t="s">
        <v>3416</v>
      </c>
      <c r="B35" s="93" t="s">
        <v>395</v>
      </c>
      <c r="C35" s="94">
        <v>25389.6</v>
      </c>
      <c r="D35" s="106" t="s">
        <v>3417</v>
      </c>
      <c r="E35" s="106" t="s">
        <v>3418</v>
      </c>
      <c r="F35" s="106" t="s">
        <v>3419</v>
      </c>
      <c r="G35" s="106" t="s">
        <v>3420</v>
      </c>
      <c r="H35" s="106" t="s">
        <v>3421</v>
      </c>
      <c r="I35" s="106" t="s">
        <v>3422</v>
      </c>
      <c r="J35" s="106" t="s">
        <v>3423</v>
      </c>
      <c r="K35" s="106" t="s">
        <v>3424</v>
      </c>
      <c r="L35" s="135" t="s">
        <v>3425</v>
      </c>
      <c r="M35" s="135" t="s">
        <v>3426</v>
      </c>
      <c r="N35" s="135" t="s">
        <v>3427</v>
      </c>
      <c r="O35" s="135" t="s">
        <v>3428</v>
      </c>
      <c r="P35" s="106" t="s">
        <v>3429</v>
      </c>
      <c r="Q35" s="106" t="s">
        <v>3430</v>
      </c>
      <c r="R35" s="106" t="s">
        <v>3431</v>
      </c>
      <c r="S35" s="106" t="s">
        <v>3432</v>
      </c>
      <c r="T35" s="106" t="s">
        <v>3433</v>
      </c>
      <c r="U35" s="106" t="s">
        <v>3434</v>
      </c>
      <c r="V35" s="106" t="s">
        <v>3435</v>
      </c>
      <c r="W35" s="106" t="s">
        <v>3436</v>
      </c>
      <c r="X35" s="106" t="s">
        <v>3437</v>
      </c>
      <c r="Y35" s="106" t="s">
        <v>3438</v>
      </c>
      <c r="Z35" s="106" t="s">
        <v>3439</v>
      </c>
      <c r="AA35" s="135" t="s">
        <v>3440</v>
      </c>
      <c r="AB35" s="135" t="s">
        <v>3441</v>
      </c>
      <c r="AC35" s="135" t="s">
        <v>3442</v>
      </c>
      <c r="AD35" s="135" t="s">
        <v>3443</v>
      </c>
      <c r="AE35" s="136" t="s">
        <v>3444</v>
      </c>
      <c r="AF35" s="136" t="s">
        <v>3445</v>
      </c>
      <c r="AG35" s="136" t="s">
        <v>3446</v>
      </c>
      <c r="AH35" s="136" t="s">
        <v>3447</v>
      </c>
      <c r="AI35" s="136" t="s">
        <v>3448</v>
      </c>
      <c r="AJ35" s="106" t="s">
        <v>3449</v>
      </c>
      <c r="AK35" s="106" t="s">
        <v>3450</v>
      </c>
      <c r="AL35" s="106" t="s">
        <v>3451</v>
      </c>
      <c r="AM35" s="106" t="s">
        <v>3452</v>
      </c>
      <c r="AN35" s="106" t="s">
        <v>3453</v>
      </c>
      <c r="AO35" s="106" t="s">
        <v>3454</v>
      </c>
      <c r="AP35" s="137" t="s">
        <v>3455</v>
      </c>
      <c r="AQ35" s="106" t="s">
        <v>3456</v>
      </c>
      <c r="AR35" s="135" t="s">
        <v>3457</v>
      </c>
      <c r="AS35" s="106" t="s">
        <v>3458</v>
      </c>
      <c r="AT35" s="135" t="s">
        <v>3459</v>
      </c>
      <c r="AU35" s="106" t="s">
        <v>3460</v>
      </c>
      <c r="AV35" s="106" t="s">
        <v>3461</v>
      </c>
      <c r="AW35" s="106" t="s">
        <v>3462</v>
      </c>
      <c r="AX35" s="106" t="s">
        <v>3463</v>
      </c>
      <c r="AY35" s="106" t="s">
        <v>3464</v>
      </c>
      <c r="AZ35" s="106" t="s">
        <v>3465</v>
      </c>
      <c r="BA35" s="106" t="s">
        <v>3466</v>
      </c>
      <c r="BB35" s="106" t="s">
        <v>3467</v>
      </c>
      <c r="BC35" s="106" t="s">
        <v>3468</v>
      </c>
      <c r="BD35" s="107" t="s">
        <v>3469</v>
      </c>
      <c r="BE35" s="107" t="s">
        <v>3470</v>
      </c>
      <c r="BF35" s="107" t="s">
        <v>3471</v>
      </c>
      <c r="BG35" s="107" t="s">
        <v>3472</v>
      </c>
      <c r="BH35" s="107" t="s">
        <v>3473</v>
      </c>
      <c r="BI35" s="107" t="s">
        <v>3474</v>
      </c>
      <c r="BJ35" s="107" t="s">
        <v>3475</v>
      </c>
      <c r="BK35" s="107" t="s">
        <v>3476</v>
      </c>
      <c r="BL35" s="107" t="s">
        <v>3477</v>
      </c>
      <c r="BM35" s="107" t="s">
        <v>3478</v>
      </c>
      <c r="BN35" s="138" t="s">
        <v>3479</v>
      </c>
      <c r="BO35" s="139" t="s">
        <v>3480</v>
      </c>
      <c r="BP35" s="107" t="s">
        <v>3481</v>
      </c>
      <c r="BQ35" s="107" t="s">
        <v>3482</v>
      </c>
      <c r="BR35" s="107" t="s">
        <v>3483</v>
      </c>
      <c r="BS35" s="107" t="s">
        <v>3484</v>
      </c>
      <c r="BT35" s="107" t="s">
        <v>3485</v>
      </c>
      <c r="BU35" s="107" t="s">
        <v>3486</v>
      </c>
      <c r="BV35" s="140" t="s">
        <v>3487</v>
      </c>
      <c r="BW35" s="107" t="s">
        <v>3487</v>
      </c>
      <c r="BX35" s="107" t="s">
        <v>3488</v>
      </c>
      <c r="BY35" s="107" t="s">
        <v>3489</v>
      </c>
      <c r="BZ35" s="107" t="s">
        <v>3490</v>
      </c>
      <c r="CA35" s="107" t="s">
        <v>3491</v>
      </c>
      <c r="CB35" s="107" t="s">
        <v>3492</v>
      </c>
      <c r="CC35" s="107" t="s">
        <v>3493</v>
      </c>
      <c r="CD35" s="107" t="s">
        <v>3494</v>
      </c>
      <c r="CE35" s="107" t="s">
        <v>3494</v>
      </c>
      <c r="CF35" s="107" t="s">
        <v>3495</v>
      </c>
      <c r="CG35" s="107" t="s">
        <v>3496</v>
      </c>
      <c r="CH35" s="107" t="s">
        <v>3497</v>
      </c>
      <c r="CI35" s="107" t="s">
        <v>3498</v>
      </c>
      <c r="CJ35" s="107" t="s">
        <v>3499</v>
      </c>
      <c r="CK35" s="107" t="s">
        <v>3500</v>
      </c>
      <c r="CL35" s="107" t="s">
        <v>3501</v>
      </c>
      <c r="CM35" s="107" t="s">
        <v>3502</v>
      </c>
      <c r="CN35" s="107" t="s">
        <v>3503</v>
      </c>
      <c r="CO35" s="107" t="s">
        <v>3504</v>
      </c>
      <c r="CP35" s="107" t="s">
        <v>3505</v>
      </c>
      <c r="CQ35" s="107" t="s">
        <v>3506</v>
      </c>
      <c r="CR35" s="107" t="s">
        <v>3507</v>
      </c>
      <c r="CS35" s="107" t="s">
        <v>3508</v>
      </c>
      <c r="CT35" s="107" t="s">
        <v>3509</v>
      </c>
      <c r="CU35" s="107" t="s">
        <v>3510</v>
      </c>
      <c r="CV35" s="107" t="s">
        <v>3511</v>
      </c>
      <c r="CW35" s="107" t="s">
        <v>3512</v>
      </c>
      <c r="CX35" s="107" t="s">
        <v>3513</v>
      </c>
      <c r="CY35" s="107" t="s">
        <v>3514</v>
      </c>
      <c r="CZ35" s="107" t="s">
        <v>3515</v>
      </c>
      <c r="DA35" s="107" t="s">
        <v>3516</v>
      </c>
      <c r="DB35" s="107" t="s">
        <v>3517</v>
      </c>
      <c r="DC35" s="107" t="s">
        <v>3518</v>
      </c>
      <c r="DD35" s="107" t="s">
        <v>3519</v>
      </c>
      <c r="DE35" s="107" t="s">
        <v>3520</v>
      </c>
      <c r="DF35" s="107" t="s">
        <v>3521</v>
      </c>
      <c r="DG35" s="107" t="s">
        <v>3522</v>
      </c>
      <c r="DH35" s="107" t="s">
        <v>3523</v>
      </c>
      <c r="DI35" s="107" t="s">
        <v>3524</v>
      </c>
      <c r="DJ35" s="107" t="s">
        <v>3525</v>
      </c>
      <c r="DK35" s="107" t="s">
        <v>3526</v>
      </c>
      <c r="DL35" s="107" t="s">
        <v>3527</v>
      </c>
      <c r="DM35" s="107" t="s">
        <v>3528</v>
      </c>
      <c r="DN35" s="107" t="s">
        <v>3529</v>
      </c>
      <c r="DO35" s="107" t="s">
        <v>3530</v>
      </c>
      <c r="DP35" s="107" t="s">
        <v>3531</v>
      </c>
      <c r="DQ35" s="107" t="s">
        <v>3532</v>
      </c>
      <c r="DR35" s="107" t="s">
        <v>3533</v>
      </c>
      <c r="DS35" s="107" t="s">
        <v>3534</v>
      </c>
      <c r="DT35" s="107" t="s">
        <v>3535</v>
      </c>
      <c r="DU35" s="107" t="s">
        <v>3536</v>
      </c>
      <c r="DV35" s="107" t="s">
        <v>3537</v>
      </c>
      <c r="DW35" s="107" t="s">
        <v>3538</v>
      </c>
      <c r="DX35" s="107" t="s">
        <v>3539</v>
      </c>
      <c r="DY35" s="107"/>
      <c r="DZ35" s="107" t="s">
        <v>3540</v>
      </c>
      <c r="EA35" s="107" t="s">
        <v>3540</v>
      </c>
      <c r="EB35" s="141" t="s">
        <v>3541</v>
      </c>
      <c r="EC35" s="107" t="s">
        <v>3542</v>
      </c>
      <c r="ED35" s="107" t="s">
        <v>3543</v>
      </c>
      <c r="EE35" s="107" t="s">
        <v>3544</v>
      </c>
      <c r="EF35" s="107" t="s">
        <v>3545</v>
      </c>
      <c r="EG35" s="107" t="s">
        <v>3546</v>
      </c>
      <c r="EH35" s="107" t="s">
        <v>3547</v>
      </c>
      <c r="EI35" s="107" t="s">
        <v>3547</v>
      </c>
      <c r="EJ35" s="107" t="s">
        <v>3548</v>
      </c>
      <c r="EK35" s="107" t="s">
        <v>3548</v>
      </c>
      <c r="EL35" s="107" t="s">
        <v>3549</v>
      </c>
      <c r="EM35" s="107" t="s">
        <v>3550</v>
      </c>
      <c r="EN35" s="107" t="s">
        <v>3551</v>
      </c>
      <c r="EO35" s="107" t="s">
        <v>3552</v>
      </c>
      <c r="EP35" s="107" t="s">
        <v>3553</v>
      </c>
      <c r="EQ35" s="107" t="s">
        <v>3554</v>
      </c>
      <c r="ER35" s="107" t="s">
        <v>3555</v>
      </c>
      <c r="ES35" s="107" t="s">
        <v>3556</v>
      </c>
      <c r="ET35" s="107" t="s">
        <v>3557</v>
      </c>
      <c r="EU35" s="107" t="s">
        <v>3558</v>
      </c>
      <c r="EV35" s="107" t="s">
        <v>3559</v>
      </c>
      <c r="EW35" s="107" t="s">
        <v>3560</v>
      </c>
      <c r="EX35" s="107" t="s">
        <v>3561</v>
      </c>
      <c r="EY35" s="107" t="s">
        <v>3562</v>
      </c>
      <c r="EZ35" s="107" t="s">
        <v>3563</v>
      </c>
      <c r="FA35" s="107" t="s">
        <v>3564</v>
      </c>
      <c r="FB35" s="107" t="s">
        <v>3565</v>
      </c>
      <c r="FC35" s="107" t="s">
        <v>3566</v>
      </c>
      <c r="FD35" s="141"/>
      <c r="FE35" s="141"/>
    </row>
    <row r="36">
      <c r="A36" s="93" t="s">
        <v>3567</v>
      </c>
      <c r="B36" s="93" t="s">
        <v>395</v>
      </c>
      <c r="C36" s="94">
        <v>25296.7</v>
      </c>
      <c r="D36" s="106" t="s">
        <v>3568</v>
      </c>
      <c r="E36" s="106" t="s">
        <v>3569</v>
      </c>
      <c r="F36" s="106" t="s">
        <v>3570</v>
      </c>
      <c r="G36" s="106" t="s">
        <v>3571</v>
      </c>
      <c r="H36" s="106" t="s">
        <v>3572</v>
      </c>
      <c r="I36" s="106" t="s">
        <v>3573</v>
      </c>
      <c r="J36" s="106" t="s">
        <v>3574</v>
      </c>
      <c r="K36" s="106" t="s">
        <v>3575</v>
      </c>
      <c r="L36" s="135" t="s">
        <v>3576</v>
      </c>
      <c r="M36" s="135" t="s">
        <v>3577</v>
      </c>
      <c r="N36" s="135" t="s">
        <v>3578</v>
      </c>
      <c r="O36" s="135" t="s">
        <v>3579</v>
      </c>
      <c r="P36" s="106" t="s">
        <v>3580</v>
      </c>
      <c r="Q36" s="106" t="s">
        <v>3581</v>
      </c>
      <c r="R36" s="106" t="s">
        <v>3582</v>
      </c>
      <c r="S36" s="106" t="s">
        <v>3583</v>
      </c>
      <c r="T36" s="106" t="s">
        <v>3584</v>
      </c>
      <c r="U36" s="106" t="s">
        <v>3585</v>
      </c>
      <c r="V36" s="106" t="s">
        <v>3586</v>
      </c>
      <c r="W36" s="106" t="s">
        <v>3587</v>
      </c>
      <c r="X36" s="106" t="s">
        <v>3588</v>
      </c>
      <c r="Y36" s="106" t="s">
        <v>3589</v>
      </c>
      <c r="Z36" s="106" t="s">
        <v>3590</v>
      </c>
      <c r="AA36" s="135" t="s">
        <v>3591</v>
      </c>
      <c r="AB36" s="135" t="s">
        <v>3592</v>
      </c>
      <c r="AC36" s="135" t="s">
        <v>3593</v>
      </c>
      <c r="AD36" s="135" t="s">
        <v>3594</v>
      </c>
      <c r="AE36" s="136" t="s">
        <v>3595</v>
      </c>
      <c r="AF36" s="136" t="s">
        <v>3596</v>
      </c>
      <c r="AG36" s="136" t="s">
        <v>3597</v>
      </c>
      <c r="AH36" s="136" t="s">
        <v>3598</v>
      </c>
      <c r="AI36" s="136" t="s">
        <v>3599</v>
      </c>
      <c r="AJ36" s="106" t="s">
        <v>3600</v>
      </c>
      <c r="AK36" s="106" t="s">
        <v>3601</v>
      </c>
      <c r="AL36" s="106" t="s">
        <v>3602</v>
      </c>
      <c r="AM36" s="106" t="s">
        <v>3603</v>
      </c>
      <c r="AN36" s="106" t="s">
        <v>3604</v>
      </c>
      <c r="AO36" s="106" t="s">
        <v>3605</v>
      </c>
      <c r="AP36" s="137" t="s">
        <v>3606</v>
      </c>
      <c r="AQ36" s="106" t="s">
        <v>3607</v>
      </c>
      <c r="AR36" s="135" t="s">
        <v>3608</v>
      </c>
      <c r="AS36" s="106" t="s">
        <v>3609</v>
      </c>
      <c r="AT36" s="135" t="s">
        <v>3610</v>
      </c>
      <c r="AU36" s="106" t="s">
        <v>3610</v>
      </c>
      <c r="AV36" s="106" t="s">
        <v>3611</v>
      </c>
      <c r="AW36" s="106" t="s">
        <v>3612</v>
      </c>
      <c r="AX36" s="106" t="s">
        <v>3613</v>
      </c>
      <c r="AY36" s="106" t="s">
        <v>3614</v>
      </c>
      <c r="AZ36" s="106" t="s">
        <v>3615</v>
      </c>
      <c r="BA36" s="106" t="s">
        <v>3616</v>
      </c>
      <c r="BB36" s="106" t="s">
        <v>3617</v>
      </c>
      <c r="BC36" s="106" t="s">
        <v>3618</v>
      </c>
      <c r="BD36" s="107" t="s">
        <v>3619</v>
      </c>
      <c r="BE36" s="107" t="s">
        <v>3620</v>
      </c>
      <c r="BF36" s="107" t="s">
        <v>3621</v>
      </c>
      <c r="BG36" s="107" t="s">
        <v>3622</v>
      </c>
      <c r="BH36" s="107" t="s">
        <v>3623</v>
      </c>
      <c r="BI36" s="107" t="s">
        <v>3624</v>
      </c>
      <c r="BJ36" s="107" t="s">
        <v>3625</v>
      </c>
      <c r="BK36" s="107" t="s">
        <v>3626</v>
      </c>
      <c r="BL36" s="107" t="s">
        <v>3627</v>
      </c>
      <c r="BM36" s="107" t="s">
        <v>3628</v>
      </c>
      <c r="BN36" s="138" t="s">
        <v>3629</v>
      </c>
      <c r="BO36" s="139" t="s">
        <v>3630</v>
      </c>
      <c r="BP36" s="107" t="s">
        <v>3631</v>
      </c>
      <c r="BQ36" s="107" t="s">
        <v>3632</v>
      </c>
      <c r="BR36" s="107" t="s">
        <v>3633</v>
      </c>
      <c r="BS36" s="107" t="s">
        <v>3634</v>
      </c>
      <c r="BT36" s="107" t="s">
        <v>3635</v>
      </c>
      <c r="BU36" s="107" t="s">
        <v>3636</v>
      </c>
      <c r="BV36" s="140" t="s">
        <v>3637</v>
      </c>
      <c r="BW36" s="107" t="s">
        <v>3637</v>
      </c>
      <c r="BX36" s="107" t="s">
        <v>3638</v>
      </c>
      <c r="BY36" s="107" t="s">
        <v>3639</v>
      </c>
      <c r="BZ36" s="107" t="s">
        <v>3640</v>
      </c>
      <c r="CA36" s="107" t="s">
        <v>3641</v>
      </c>
      <c r="CB36" s="107" t="s">
        <v>3642</v>
      </c>
      <c r="CC36" s="107" t="s">
        <v>3643</v>
      </c>
      <c r="CD36" s="107" t="s">
        <v>3644</v>
      </c>
      <c r="CE36" s="107" t="s">
        <v>3644</v>
      </c>
      <c r="CF36" s="107" t="s">
        <v>3645</v>
      </c>
      <c r="CG36" s="107" t="s">
        <v>3646</v>
      </c>
      <c r="CH36" s="107" t="s">
        <v>3647</v>
      </c>
      <c r="CI36" s="107" t="s">
        <v>3648</v>
      </c>
      <c r="CJ36" s="107" t="s">
        <v>3649</v>
      </c>
      <c r="CK36" s="107" t="s">
        <v>3650</v>
      </c>
      <c r="CL36" s="107" t="s">
        <v>3651</v>
      </c>
      <c r="CM36" s="107" t="s">
        <v>3652</v>
      </c>
      <c r="CN36" s="107" t="s">
        <v>3653</v>
      </c>
      <c r="CO36" s="107" t="s">
        <v>3654</v>
      </c>
      <c r="CP36" s="107" t="s">
        <v>3655</v>
      </c>
      <c r="CQ36" s="107" t="s">
        <v>3656</v>
      </c>
      <c r="CR36" s="107" t="s">
        <v>3657</v>
      </c>
      <c r="CS36" s="107" t="s">
        <v>3658</v>
      </c>
      <c r="CT36" s="107" t="s">
        <v>3659</v>
      </c>
      <c r="CU36" s="107" t="s">
        <v>3660</v>
      </c>
      <c r="CV36" s="107" t="s">
        <v>3661</v>
      </c>
      <c r="CW36" s="107" t="s">
        <v>3662</v>
      </c>
      <c r="CX36" s="107" t="s">
        <v>3663</v>
      </c>
      <c r="CY36" s="107" t="s">
        <v>3664</v>
      </c>
      <c r="CZ36" s="107" t="s">
        <v>3665</v>
      </c>
      <c r="DA36" s="107" t="s">
        <v>3666</v>
      </c>
      <c r="DB36" s="107" t="s">
        <v>3667</v>
      </c>
      <c r="DC36" s="107" t="s">
        <v>3668</v>
      </c>
      <c r="DD36" s="107" t="s">
        <v>3669</v>
      </c>
      <c r="DE36" s="107" t="s">
        <v>3670</v>
      </c>
      <c r="DF36" s="107" t="s">
        <v>3671</v>
      </c>
      <c r="DG36" s="107" t="s">
        <v>3672</v>
      </c>
      <c r="DH36" s="107" t="s">
        <v>3673</v>
      </c>
      <c r="DI36" s="107" t="s">
        <v>3674</v>
      </c>
      <c r="DJ36" s="107" t="s">
        <v>3675</v>
      </c>
      <c r="DK36" s="107" t="s">
        <v>3676</v>
      </c>
      <c r="DL36" s="107" t="s">
        <v>3677</v>
      </c>
      <c r="DM36" s="107" t="s">
        <v>3678</v>
      </c>
      <c r="DN36" s="107" t="s">
        <v>3679</v>
      </c>
      <c r="DO36" s="107" t="s">
        <v>3680</v>
      </c>
      <c r="DP36" s="107" t="s">
        <v>3681</v>
      </c>
      <c r="DQ36" s="107" t="s">
        <v>3682</v>
      </c>
      <c r="DR36" s="107" t="s">
        <v>3683</v>
      </c>
      <c r="DS36" s="107" t="s">
        <v>3684</v>
      </c>
      <c r="DT36" s="107" t="s">
        <v>3685</v>
      </c>
      <c r="DU36" s="107" t="s">
        <v>3686</v>
      </c>
      <c r="DV36" s="107" t="s">
        <v>3687</v>
      </c>
      <c r="DW36" s="107" t="s">
        <v>3688</v>
      </c>
      <c r="DX36" s="107" t="s">
        <v>3689</v>
      </c>
      <c r="DY36" s="107"/>
      <c r="DZ36" s="107" t="s">
        <v>3690</v>
      </c>
      <c r="EA36" s="107" t="s">
        <v>3690</v>
      </c>
      <c r="EB36" s="141" t="s">
        <v>3691</v>
      </c>
      <c r="EC36" s="107" t="s">
        <v>3692</v>
      </c>
      <c r="ED36" s="107" t="s">
        <v>3693</v>
      </c>
      <c r="EE36" s="107" t="s">
        <v>3694</v>
      </c>
      <c r="EF36" s="107" t="s">
        <v>3624</v>
      </c>
      <c r="EG36" s="107" t="s">
        <v>3695</v>
      </c>
      <c r="EH36" s="107" t="s">
        <v>3696</v>
      </c>
      <c r="EI36" s="107" t="s">
        <v>3696</v>
      </c>
      <c r="EJ36" s="107" t="s">
        <v>3697</v>
      </c>
      <c r="EK36" s="107" t="s">
        <v>3697</v>
      </c>
      <c r="EL36" s="107" t="s">
        <v>3698</v>
      </c>
      <c r="EM36" s="107" t="s">
        <v>3699</v>
      </c>
      <c r="EN36" s="107" t="s">
        <v>3700</v>
      </c>
      <c r="EO36" s="107" t="s">
        <v>3701</v>
      </c>
      <c r="EP36" s="107" t="s">
        <v>3702</v>
      </c>
      <c r="EQ36" s="107" t="s">
        <v>3703</v>
      </c>
      <c r="ER36" s="107" t="s">
        <v>3704</v>
      </c>
      <c r="ES36" s="107" t="s">
        <v>3705</v>
      </c>
      <c r="ET36" s="107" t="s">
        <v>3706</v>
      </c>
      <c r="EU36" s="107" t="s">
        <v>3707</v>
      </c>
      <c r="EV36" s="107" t="s">
        <v>3708</v>
      </c>
      <c r="EW36" s="107" t="s">
        <v>3709</v>
      </c>
      <c r="EX36" s="107" t="s">
        <v>3710</v>
      </c>
      <c r="EY36" s="107" t="s">
        <v>3711</v>
      </c>
      <c r="EZ36" s="107" t="s">
        <v>3712</v>
      </c>
      <c r="FA36" s="107" t="s">
        <v>3713</v>
      </c>
      <c r="FB36" s="107" t="s">
        <v>3714</v>
      </c>
      <c r="FC36" s="107" t="s">
        <v>3715</v>
      </c>
      <c r="FD36" s="141"/>
      <c r="FE36" s="141"/>
    </row>
    <row r="37">
      <c r="A37" s="93" t="s">
        <v>3716</v>
      </c>
      <c r="B37" s="93" t="s">
        <v>395</v>
      </c>
      <c r="C37" s="94">
        <v>25165.2</v>
      </c>
      <c r="D37" s="106" t="s">
        <v>3717</v>
      </c>
      <c r="E37" s="106" t="s">
        <v>3718</v>
      </c>
      <c r="F37" s="106" t="s">
        <v>3719</v>
      </c>
      <c r="G37" s="106" t="s">
        <v>3720</v>
      </c>
      <c r="H37" s="106" t="s">
        <v>3721</v>
      </c>
      <c r="I37" s="106" t="s">
        <v>3722</v>
      </c>
      <c r="J37" s="106" t="s">
        <v>3723</v>
      </c>
      <c r="K37" s="106" t="s">
        <v>3724</v>
      </c>
      <c r="L37" s="135" t="s">
        <v>3725</v>
      </c>
      <c r="M37" s="135" t="s">
        <v>3726</v>
      </c>
      <c r="N37" s="135" t="s">
        <v>3727</v>
      </c>
      <c r="O37" s="135" t="s">
        <v>3728</v>
      </c>
      <c r="P37" s="106" t="s">
        <v>3729</v>
      </c>
      <c r="Q37" s="106" t="s">
        <v>3730</v>
      </c>
      <c r="R37" s="106" t="s">
        <v>3731</v>
      </c>
      <c r="S37" s="106" t="s">
        <v>3732</v>
      </c>
      <c r="T37" s="106" t="s">
        <v>3733</v>
      </c>
      <c r="U37" s="106" t="s">
        <v>3734</v>
      </c>
      <c r="V37" s="106" t="s">
        <v>3735</v>
      </c>
      <c r="W37" s="106" t="s">
        <v>3736</v>
      </c>
      <c r="X37" s="106" t="s">
        <v>3737</v>
      </c>
      <c r="Y37" s="106" t="s">
        <v>3738</v>
      </c>
      <c r="Z37" s="106" t="s">
        <v>3739</v>
      </c>
      <c r="AA37" s="135" t="s">
        <v>3740</v>
      </c>
      <c r="AB37" s="135" t="s">
        <v>3741</v>
      </c>
      <c r="AC37" s="135" t="s">
        <v>3742</v>
      </c>
      <c r="AD37" s="135" t="s">
        <v>3743</v>
      </c>
      <c r="AE37" s="136" t="s">
        <v>3744</v>
      </c>
      <c r="AF37" s="136" t="s">
        <v>3745</v>
      </c>
      <c r="AG37" s="136" t="s">
        <v>3746</v>
      </c>
      <c r="AH37" s="136" t="s">
        <v>3747</v>
      </c>
      <c r="AI37" s="136" t="s">
        <v>3748</v>
      </c>
      <c r="AJ37" s="106" t="s">
        <v>3749</v>
      </c>
      <c r="AK37" s="106" t="s">
        <v>3750</v>
      </c>
      <c r="AL37" s="106" t="s">
        <v>3751</v>
      </c>
      <c r="AM37" s="106" t="s">
        <v>3752</v>
      </c>
      <c r="AN37" s="106" t="s">
        <v>3753</v>
      </c>
      <c r="AO37" s="106" t="s">
        <v>3754</v>
      </c>
      <c r="AP37" s="137" t="s">
        <v>3755</v>
      </c>
      <c r="AQ37" s="106" t="s">
        <v>3756</v>
      </c>
      <c r="AR37" s="135" t="s">
        <v>3757</v>
      </c>
      <c r="AS37" s="106" t="s">
        <v>3758</v>
      </c>
      <c r="AT37" s="135" t="s">
        <v>3759</v>
      </c>
      <c r="AU37" s="106" t="s">
        <v>3760</v>
      </c>
      <c r="AV37" s="106" t="s">
        <v>3761</v>
      </c>
      <c r="AW37" s="106" t="s">
        <v>3762</v>
      </c>
      <c r="AX37" s="106" t="s">
        <v>3763</v>
      </c>
      <c r="AY37" s="106" t="s">
        <v>3764</v>
      </c>
      <c r="AZ37" s="106" t="s">
        <v>3765</v>
      </c>
      <c r="BA37" s="106" t="s">
        <v>3766</v>
      </c>
      <c r="BB37" s="106" t="s">
        <v>3767</v>
      </c>
      <c r="BC37" s="106" t="s">
        <v>3768</v>
      </c>
      <c r="BD37" s="107" t="s">
        <v>3769</v>
      </c>
      <c r="BE37" s="107" t="s">
        <v>3770</v>
      </c>
      <c r="BF37" s="107" t="s">
        <v>3771</v>
      </c>
      <c r="BG37" s="107" t="s">
        <v>3772</v>
      </c>
      <c r="BH37" s="107" t="s">
        <v>3773</v>
      </c>
      <c r="BI37" s="107" t="s">
        <v>3774</v>
      </c>
      <c r="BJ37" s="107" t="s">
        <v>3775</v>
      </c>
      <c r="BK37" s="107" t="s">
        <v>3776</v>
      </c>
      <c r="BL37" s="107" t="s">
        <v>3777</v>
      </c>
      <c r="BM37" s="107" t="s">
        <v>3778</v>
      </c>
      <c r="BN37" s="138" t="s">
        <v>3779</v>
      </c>
      <c r="BO37" s="139" t="s">
        <v>3780</v>
      </c>
      <c r="BP37" s="107" t="s">
        <v>3781</v>
      </c>
      <c r="BQ37" s="107" t="s">
        <v>3782</v>
      </c>
      <c r="BR37" s="107" t="s">
        <v>3783</v>
      </c>
      <c r="BS37" s="107" t="s">
        <v>3784</v>
      </c>
      <c r="BT37" s="107" t="s">
        <v>3785</v>
      </c>
      <c r="BU37" s="107" t="s">
        <v>3786</v>
      </c>
      <c r="BV37" s="140" t="s">
        <v>3787</v>
      </c>
      <c r="BW37" s="107" t="s">
        <v>3787</v>
      </c>
      <c r="BX37" s="107" t="s">
        <v>3788</v>
      </c>
      <c r="BY37" s="107" t="s">
        <v>3789</v>
      </c>
      <c r="BZ37" s="107" t="s">
        <v>3790</v>
      </c>
      <c r="CA37" s="107" t="s">
        <v>3791</v>
      </c>
      <c r="CB37" s="107" t="s">
        <v>3792</v>
      </c>
      <c r="CC37" s="107" t="s">
        <v>3793</v>
      </c>
      <c r="CD37" s="107" t="s">
        <v>3794</v>
      </c>
      <c r="CE37" s="107" t="s">
        <v>3794</v>
      </c>
      <c r="CF37" s="107" t="s">
        <v>3795</v>
      </c>
      <c r="CG37" s="107" t="s">
        <v>3796</v>
      </c>
      <c r="CH37" s="107" t="s">
        <v>3797</v>
      </c>
      <c r="CI37" s="107" t="s">
        <v>3798</v>
      </c>
      <c r="CJ37" s="107" t="s">
        <v>3799</v>
      </c>
      <c r="CK37" s="107" t="s">
        <v>3800</v>
      </c>
      <c r="CL37" s="107" t="s">
        <v>3801</v>
      </c>
      <c r="CM37" s="107" t="s">
        <v>3802</v>
      </c>
      <c r="CN37" s="107" t="s">
        <v>3803</v>
      </c>
      <c r="CO37" s="107" t="s">
        <v>3804</v>
      </c>
      <c r="CP37" s="107" t="s">
        <v>3805</v>
      </c>
      <c r="CQ37" s="107" t="s">
        <v>3806</v>
      </c>
      <c r="CR37" s="107" t="s">
        <v>3807</v>
      </c>
      <c r="CS37" s="107" t="s">
        <v>3808</v>
      </c>
      <c r="CT37" s="107" t="s">
        <v>3809</v>
      </c>
      <c r="CU37" s="107" t="s">
        <v>3810</v>
      </c>
      <c r="CV37" s="107" t="s">
        <v>3811</v>
      </c>
      <c r="CW37" s="107" t="s">
        <v>3812</v>
      </c>
      <c r="CX37" s="107" t="s">
        <v>3813</v>
      </c>
      <c r="CY37" s="107" t="s">
        <v>3814</v>
      </c>
      <c r="CZ37" s="107" t="s">
        <v>3815</v>
      </c>
      <c r="DA37" s="107" t="s">
        <v>3816</v>
      </c>
      <c r="DB37" s="107" t="s">
        <v>3817</v>
      </c>
      <c r="DC37" s="107" t="s">
        <v>3818</v>
      </c>
      <c r="DD37" s="107" t="s">
        <v>3819</v>
      </c>
      <c r="DE37" s="107" t="s">
        <v>3820</v>
      </c>
      <c r="DF37" s="107" t="s">
        <v>3821</v>
      </c>
      <c r="DG37" s="107" t="s">
        <v>3822</v>
      </c>
      <c r="DH37" s="107" t="s">
        <v>3823</v>
      </c>
      <c r="DI37" s="107" t="s">
        <v>3824</v>
      </c>
      <c r="DJ37" s="107" t="s">
        <v>3825</v>
      </c>
      <c r="DK37" s="107" t="s">
        <v>3826</v>
      </c>
      <c r="DL37" s="107" t="s">
        <v>3827</v>
      </c>
      <c r="DM37" s="107" t="s">
        <v>3828</v>
      </c>
      <c r="DN37" s="107" t="s">
        <v>3829</v>
      </c>
      <c r="DO37" s="107" t="s">
        <v>3830</v>
      </c>
      <c r="DP37" s="107" t="s">
        <v>3831</v>
      </c>
      <c r="DQ37" s="107" t="s">
        <v>3832</v>
      </c>
      <c r="DR37" s="107" t="s">
        <v>3833</v>
      </c>
      <c r="DS37" s="107" t="s">
        <v>3834</v>
      </c>
      <c r="DT37" s="107" t="s">
        <v>3835</v>
      </c>
      <c r="DU37" s="107" t="s">
        <v>3836</v>
      </c>
      <c r="DV37" s="107" t="s">
        <v>3837</v>
      </c>
      <c r="DW37" s="107" t="s">
        <v>3838</v>
      </c>
      <c r="DX37" s="107" t="s">
        <v>3839</v>
      </c>
      <c r="DY37" s="107"/>
      <c r="DZ37" s="107" t="s">
        <v>3840</v>
      </c>
      <c r="EA37" s="107" t="s">
        <v>3840</v>
      </c>
      <c r="EB37" s="141" t="s">
        <v>3841</v>
      </c>
      <c r="EC37" s="107" t="s">
        <v>3842</v>
      </c>
      <c r="ED37" s="107" t="s">
        <v>3843</v>
      </c>
      <c r="EE37" s="107" t="s">
        <v>3844</v>
      </c>
      <c r="EF37" s="107" t="s">
        <v>3845</v>
      </c>
      <c r="EG37" s="107" t="s">
        <v>3846</v>
      </c>
      <c r="EH37" s="107" t="s">
        <v>3847</v>
      </c>
      <c r="EI37" s="107" t="s">
        <v>3847</v>
      </c>
      <c r="EJ37" s="107" t="s">
        <v>3848</v>
      </c>
      <c r="EK37" s="107" t="s">
        <v>3848</v>
      </c>
      <c r="EL37" s="107" t="s">
        <v>3849</v>
      </c>
      <c r="EM37" s="107" t="s">
        <v>3850</v>
      </c>
      <c r="EN37" s="107" t="s">
        <v>3851</v>
      </c>
      <c r="EO37" s="107" t="s">
        <v>3852</v>
      </c>
      <c r="EP37" s="107" t="s">
        <v>3853</v>
      </c>
      <c r="EQ37" s="107" t="s">
        <v>3854</v>
      </c>
      <c r="ER37" s="107" t="s">
        <v>3855</v>
      </c>
      <c r="ES37" s="107" t="s">
        <v>3856</v>
      </c>
      <c r="ET37" s="107" t="s">
        <v>3857</v>
      </c>
      <c r="EU37" s="107" t="s">
        <v>3858</v>
      </c>
      <c r="EV37" s="107" t="s">
        <v>3859</v>
      </c>
      <c r="EW37" s="107" t="s">
        <v>3860</v>
      </c>
      <c r="EX37" s="107" t="s">
        <v>3861</v>
      </c>
      <c r="EY37" s="107" t="s">
        <v>3862</v>
      </c>
      <c r="EZ37" s="107" t="s">
        <v>3863</v>
      </c>
      <c r="FA37" s="107" t="s">
        <v>3864</v>
      </c>
      <c r="FB37" s="107" t="s">
        <v>3865</v>
      </c>
      <c r="FC37" s="107" t="s">
        <v>3866</v>
      </c>
      <c r="FD37" s="141"/>
      <c r="FE37" s="141"/>
    </row>
    <row r="38">
      <c r="A38" s="93" t="s">
        <v>3867</v>
      </c>
      <c r="B38" s="93" t="s">
        <v>395</v>
      </c>
      <c r="C38" s="94">
        <v>25033.7</v>
      </c>
      <c r="D38" s="106" t="s">
        <v>3868</v>
      </c>
      <c r="E38" s="106" t="s">
        <v>3869</v>
      </c>
      <c r="F38" s="106" t="s">
        <v>3870</v>
      </c>
      <c r="G38" s="106" t="s">
        <v>3871</v>
      </c>
      <c r="H38" s="106" t="s">
        <v>3872</v>
      </c>
      <c r="I38" s="106" t="s">
        <v>3873</v>
      </c>
      <c r="J38" s="106" t="s">
        <v>3874</v>
      </c>
      <c r="K38" s="106" t="s">
        <v>3875</v>
      </c>
      <c r="L38" s="135" t="s">
        <v>3876</v>
      </c>
      <c r="M38" s="135" t="s">
        <v>3877</v>
      </c>
      <c r="N38" s="135" t="s">
        <v>3878</v>
      </c>
      <c r="O38" s="135" t="s">
        <v>3879</v>
      </c>
      <c r="P38" s="106" t="s">
        <v>3880</v>
      </c>
      <c r="Q38" s="106" t="s">
        <v>3881</v>
      </c>
      <c r="R38" s="106" t="s">
        <v>3882</v>
      </c>
      <c r="S38" s="106" t="s">
        <v>3883</v>
      </c>
      <c r="T38" s="106" t="s">
        <v>3884</v>
      </c>
      <c r="U38" s="106" t="s">
        <v>3885</v>
      </c>
      <c r="V38" s="106" t="s">
        <v>3886</v>
      </c>
      <c r="W38" s="106" t="s">
        <v>3887</v>
      </c>
      <c r="X38" s="106" t="s">
        <v>3888</v>
      </c>
      <c r="Y38" s="106" t="s">
        <v>3889</v>
      </c>
      <c r="Z38" s="106" t="s">
        <v>3890</v>
      </c>
      <c r="AA38" s="135" t="s">
        <v>3891</v>
      </c>
      <c r="AB38" s="135" t="s">
        <v>3892</v>
      </c>
      <c r="AC38" s="135" t="s">
        <v>3893</v>
      </c>
      <c r="AD38" s="135" t="s">
        <v>3894</v>
      </c>
      <c r="AE38" s="136" t="s">
        <v>3895</v>
      </c>
      <c r="AF38" s="136" t="s">
        <v>3896</v>
      </c>
      <c r="AG38" s="136" t="s">
        <v>3897</v>
      </c>
      <c r="AH38" s="136" t="s">
        <v>3898</v>
      </c>
      <c r="AI38" s="136" t="s">
        <v>3899</v>
      </c>
      <c r="AJ38" s="106" t="s">
        <v>3900</v>
      </c>
      <c r="AK38" s="106" t="s">
        <v>3901</v>
      </c>
      <c r="AL38" s="106" t="s">
        <v>3902</v>
      </c>
      <c r="AM38" s="106" t="s">
        <v>3903</v>
      </c>
      <c r="AN38" s="106" t="s">
        <v>3904</v>
      </c>
      <c r="AO38" s="106" t="s">
        <v>3905</v>
      </c>
      <c r="AP38" s="137" t="s">
        <v>3906</v>
      </c>
      <c r="AQ38" s="106" t="s">
        <v>3907</v>
      </c>
      <c r="AR38" s="135" t="s">
        <v>3908</v>
      </c>
      <c r="AS38" s="106" t="s">
        <v>3909</v>
      </c>
      <c r="AT38" s="135" t="s">
        <v>3910</v>
      </c>
      <c r="AU38" s="106" t="s">
        <v>3911</v>
      </c>
      <c r="AV38" s="106" t="s">
        <v>3912</v>
      </c>
      <c r="AW38" s="106" t="s">
        <v>3913</v>
      </c>
      <c r="AX38" s="106" t="s">
        <v>3914</v>
      </c>
      <c r="AY38" s="106" t="s">
        <v>3915</v>
      </c>
      <c r="AZ38" s="106" t="s">
        <v>3916</v>
      </c>
      <c r="BA38" s="106" t="s">
        <v>3917</v>
      </c>
      <c r="BB38" s="106" t="s">
        <v>3918</v>
      </c>
      <c r="BC38" s="106" t="s">
        <v>3919</v>
      </c>
      <c r="BD38" s="107" t="s">
        <v>3920</v>
      </c>
      <c r="BE38" s="107" t="s">
        <v>3921</v>
      </c>
      <c r="BF38" s="107" t="s">
        <v>3922</v>
      </c>
      <c r="BG38" s="107" t="s">
        <v>3923</v>
      </c>
      <c r="BH38" s="107" t="s">
        <v>3924</v>
      </c>
      <c r="BI38" s="107" t="s">
        <v>3925</v>
      </c>
      <c r="BJ38" s="107" t="s">
        <v>3926</v>
      </c>
      <c r="BK38" s="107" t="s">
        <v>3927</v>
      </c>
      <c r="BL38" s="107" t="s">
        <v>3928</v>
      </c>
      <c r="BM38" s="107" t="s">
        <v>3929</v>
      </c>
      <c r="BN38" s="138" t="s">
        <v>3930</v>
      </c>
      <c r="BO38" s="139" t="s">
        <v>3931</v>
      </c>
      <c r="BP38" s="107" t="s">
        <v>3932</v>
      </c>
      <c r="BQ38" s="107" t="s">
        <v>3933</v>
      </c>
      <c r="BR38" s="107" t="s">
        <v>3934</v>
      </c>
      <c r="BS38" s="107" t="s">
        <v>3935</v>
      </c>
      <c r="BT38" s="107" t="s">
        <v>3936</v>
      </c>
      <c r="BU38" s="107" t="s">
        <v>3937</v>
      </c>
      <c r="BV38" s="140" t="s">
        <v>3938</v>
      </c>
      <c r="BW38" s="107" t="s">
        <v>3938</v>
      </c>
      <c r="BX38" s="107" t="s">
        <v>3939</v>
      </c>
      <c r="BY38" s="107" t="s">
        <v>3940</v>
      </c>
      <c r="BZ38" s="107" t="s">
        <v>3941</v>
      </c>
      <c r="CA38" s="107" t="s">
        <v>3942</v>
      </c>
      <c r="CB38" s="107" t="s">
        <v>3943</v>
      </c>
      <c r="CC38" s="107" t="s">
        <v>3944</v>
      </c>
      <c r="CD38" s="107" t="s">
        <v>3945</v>
      </c>
      <c r="CE38" s="107" t="s">
        <v>3945</v>
      </c>
      <c r="CF38" s="107" t="s">
        <v>3946</v>
      </c>
      <c r="CG38" s="107" t="s">
        <v>3947</v>
      </c>
      <c r="CH38" s="107" t="s">
        <v>3948</v>
      </c>
      <c r="CI38" s="107" t="s">
        <v>3949</v>
      </c>
      <c r="CJ38" s="107" t="s">
        <v>3950</v>
      </c>
      <c r="CK38" s="107" t="s">
        <v>3951</v>
      </c>
      <c r="CL38" s="107" t="s">
        <v>3952</v>
      </c>
      <c r="CM38" s="107" t="s">
        <v>3953</v>
      </c>
      <c r="CN38" s="107" t="s">
        <v>3954</v>
      </c>
      <c r="CO38" s="107" t="s">
        <v>3955</v>
      </c>
      <c r="CP38" s="107" t="s">
        <v>3956</v>
      </c>
      <c r="CQ38" s="107" t="s">
        <v>3957</v>
      </c>
      <c r="CR38" s="107" t="s">
        <v>3958</v>
      </c>
      <c r="CS38" s="107" t="s">
        <v>3959</v>
      </c>
      <c r="CT38" s="107" t="s">
        <v>3960</v>
      </c>
      <c r="CU38" s="107" t="s">
        <v>3961</v>
      </c>
      <c r="CV38" s="107" t="s">
        <v>3962</v>
      </c>
      <c r="CW38" s="107" t="s">
        <v>3963</v>
      </c>
      <c r="CX38" s="107" t="s">
        <v>3964</v>
      </c>
      <c r="CY38" s="107" t="s">
        <v>3965</v>
      </c>
      <c r="CZ38" s="107" t="s">
        <v>3966</v>
      </c>
      <c r="DA38" s="107" t="s">
        <v>3967</v>
      </c>
      <c r="DB38" s="107" t="s">
        <v>3968</v>
      </c>
      <c r="DC38" s="107" t="s">
        <v>3969</v>
      </c>
      <c r="DD38" s="107" t="s">
        <v>3970</v>
      </c>
      <c r="DE38" s="107" t="s">
        <v>3971</v>
      </c>
      <c r="DF38" s="107" t="s">
        <v>3972</v>
      </c>
      <c r="DG38" s="107" t="s">
        <v>3973</v>
      </c>
      <c r="DH38" s="107" t="s">
        <v>3974</v>
      </c>
      <c r="DI38" s="107" t="s">
        <v>3975</v>
      </c>
      <c r="DJ38" s="107" t="s">
        <v>3976</v>
      </c>
      <c r="DK38" s="107" t="s">
        <v>3977</v>
      </c>
      <c r="DL38" s="107" t="s">
        <v>3978</v>
      </c>
      <c r="DM38" s="107" t="s">
        <v>3979</v>
      </c>
      <c r="DN38" s="107" t="s">
        <v>3980</v>
      </c>
      <c r="DO38" s="107" t="s">
        <v>3981</v>
      </c>
      <c r="DP38" s="107" t="s">
        <v>3982</v>
      </c>
      <c r="DQ38" s="107" t="s">
        <v>3983</v>
      </c>
      <c r="DR38" s="107" t="s">
        <v>3984</v>
      </c>
      <c r="DS38" s="107" t="s">
        <v>3985</v>
      </c>
      <c r="DT38" s="107" t="s">
        <v>3986</v>
      </c>
      <c r="DU38" s="107" t="s">
        <v>3987</v>
      </c>
      <c r="DV38" s="107" t="s">
        <v>3988</v>
      </c>
      <c r="DW38" s="107" t="s">
        <v>3989</v>
      </c>
      <c r="DX38" s="107" t="s">
        <v>3990</v>
      </c>
      <c r="DY38" s="107"/>
      <c r="DZ38" s="107" t="s">
        <v>3991</v>
      </c>
      <c r="EA38" s="107" t="s">
        <v>3991</v>
      </c>
      <c r="EB38" s="141" t="s">
        <v>3992</v>
      </c>
      <c r="EC38" s="107" t="s">
        <v>3993</v>
      </c>
      <c r="ED38" s="107" t="s">
        <v>3994</v>
      </c>
      <c r="EE38" s="107" t="s">
        <v>3995</v>
      </c>
      <c r="EF38" s="107" t="s">
        <v>3996</v>
      </c>
      <c r="EG38" s="107" t="s">
        <v>3997</v>
      </c>
      <c r="EH38" s="107" t="s">
        <v>3998</v>
      </c>
      <c r="EI38" s="107" t="s">
        <v>3998</v>
      </c>
      <c r="EJ38" s="107" t="s">
        <v>3999</v>
      </c>
      <c r="EK38" s="107" t="s">
        <v>3999</v>
      </c>
      <c r="EL38" s="107" t="s">
        <v>4000</v>
      </c>
      <c r="EM38" s="107" t="s">
        <v>4001</v>
      </c>
      <c r="EN38" s="107" t="s">
        <v>4002</v>
      </c>
      <c r="EO38" s="107" t="s">
        <v>4003</v>
      </c>
      <c r="EP38" s="107" t="s">
        <v>4004</v>
      </c>
      <c r="EQ38" s="107" t="s">
        <v>4005</v>
      </c>
      <c r="ER38" s="107" t="s">
        <v>4006</v>
      </c>
      <c r="ES38" s="107" t="s">
        <v>4007</v>
      </c>
      <c r="ET38" s="107" t="s">
        <v>4008</v>
      </c>
      <c r="EU38" s="107" t="s">
        <v>4009</v>
      </c>
      <c r="EV38" s="107" t="s">
        <v>4010</v>
      </c>
      <c r="EW38" s="107" t="s">
        <v>4011</v>
      </c>
      <c r="EX38" s="107" t="s">
        <v>4012</v>
      </c>
      <c r="EY38" s="107" t="s">
        <v>4013</v>
      </c>
      <c r="EZ38" s="107" t="s">
        <v>4014</v>
      </c>
      <c r="FA38" s="107" t="s">
        <v>4015</v>
      </c>
      <c r="FB38" s="107" t="s">
        <v>4016</v>
      </c>
      <c r="FC38" s="107" t="s">
        <v>4017</v>
      </c>
      <c r="FD38" s="141"/>
      <c r="FE38" s="141"/>
    </row>
    <row r="39">
      <c r="A39" s="93" t="s">
        <v>4018</v>
      </c>
      <c r="B39" s="93" t="s">
        <v>395</v>
      </c>
      <c r="C39" s="94">
        <v>24902.2</v>
      </c>
      <c r="D39" s="106" t="s">
        <v>4019</v>
      </c>
      <c r="E39" s="106" t="s">
        <v>4020</v>
      </c>
      <c r="F39" s="106" t="s">
        <v>4021</v>
      </c>
      <c r="G39" s="106" t="s">
        <v>4022</v>
      </c>
      <c r="H39" s="106" t="s">
        <v>4023</v>
      </c>
      <c r="I39" s="106" t="s">
        <v>4024</v>
      </c>
      <c r="J39" s="106" t="s">
        <v>4025</v>
      </c>
      <c r="K39" s="106" t="s">
        <v>4026</v>
      </c>
      <c r="L39" s="135" t="s">
        <v>4027</v>
      </c>
      <c r="M39" s="135" t="s">
        <v>4028</v>
      </c>
      <c r="N39" s="135" t="s">
        <v>4029</v>
      </c>
      <c r="O39" s="135" t="s">
        <v>4030</v>
      </c>
      <c r="P39" s="106" t="s">
        <v>4031</v>
      </c>
      <c r="Q39" s="106" t="s">
        <v>4032</v>
      </c>
      <c r="R39" s="106" t="s">
        <v>4033</v>
      </c>
      <c r="S39" s="106" t="s">
        <v>4034</v>
      </c>
      <c r="T39" s="106" t="s">
        <v>4035</v>
      </c>
      <c r="U39" s="106" t="s">
        <v>4036</v>
      </c>
      <c r="V39" s="106" t="s">
        <v>4037</v>
      </c>
      <c r="W39" s="106" t="s">
        <v>4038</v>
      </c>
      <c r="X39" s="106" t="s">
        <v>4039</v>
      </c>
      <c r="Y39" s="106" t="s">
        <v>4040</v>
      </c>
      <c r="Z39" s="106" t="s">
        <v>4041</v>
      </c>
      <c r="AA39" s="135" t="s">
        <v>4042</v>
      </c>
      <c r="AB39" s="135" t="s">
        <v>4043</v>
      </c>
      <c r="AC39" s="135" t="s">
        <v>4044</v>
      </c>
      <c r="AD39" s="135" t="s">
        <v>4045</v>
      </c>
      <c r="AE39" s="136" t="s">
        <v>4046</v>
      </c>
      <c r="AF39" s="136" t="s">
        <v>4047</v>
      </c>
      <c r="AG39" s="136" t="s">
        <v>4048</v>
      </c>
      <c r="AH39" s="136" t="s">
        <v>4049</v>
      </c>
      <c r="AI39" s="136" t="s">
        <v>4050</v>
      </c>
      <c r="AJ39" s="106" t="s">
        <v>4051</v>
      </c>
      <c r="AK39" s="106" t="s">
        <v>4052</v>
      </c>
      <c r="AL39" s="106" t="s">
        <v>4053</v>
      </c>
      <c r="AM39" s="106" t="s">
        <v>4054</v>
      </c>
      <c r="AN39" s="106" t="s">
        <v>4055</v>
      </c>
      <c r="AO39" s="106" t="s">
        <v>4056</v>
      </c>
      <c r="AP39" s="137" t="s">
        <v>4057</v>
      </c>
      <c r="AQ39" s="106" t="s">
        <v>4058</v>
      </c>
      <c r="AR39" s="135" t="s">
        <v>4059</v>
      </c>
      <c r="AS39" s="106" t="s">
        <v>4060</v>
      </c>
      <c r="AT39" s="135" t="s">
        <v>4061</v>
      </c>
      <c r="AU39" s="106" t="s">
        <v>4062</v>
      </c>
      <c r="AV39" s="106" t="s">
        <v>4063</v>
      </c>
      <c r="AW39" s="106" t="s">
        <v>4064</v>
      </c>
      <c r="AX39" s="106" t="s">
        <v>4065</v>
      </c>
      <c r="AY39" s="106" t="s">
        <v>4066</v>
      </c>
      <c r="AZ39" s="106" t="s">
        <v>4067</v>
      </c>
      <c r="BA39" s="106" t="s">
        <v>4068</v>
      </c>
      <c r="BB39" s="106" t="s">
        <v>4069</v>
      </c>
      <c r="BC39" s="106" t="s">
        <v>4070</v>
      </c>
      <c r="BD39" s="107" t="s">
        <v>4071</v>
      </c>
      <c r="BE39" s="107" t="s">
        <v>4072</v>
      </c>
      <c r="BF39" s="107" t="s">
        <v>4073</v>
      </c>
      <c r="BG39" s="107" t="s">
        <v>4074</v>
      </c>
      <c r="BH39" s="107" t="s">
        <v>4075</v>
      </c>
      <c r="BI39" s="107" t="s">
        <v>4076</v>
      </c>
      <c r="BJ39" s="107" t="s">
        <v>4077</v>
      </c>
      <c r="BK39" s="107" t="s">
        <v>4078</v>
      </c>
      <c r="BL39" s="107" t="s">
        <v>4079</v>
      </c>
      <c r="BM39" s="107" t="s">
        <v>4080</v>
      </c>
      <c r="BN39" s="138" t="s">
        <v>4081</v>
      </c>
      <c r="BO39" s="139" t="s">
        <v>4082</v>
      </c>
      <c r="BP39" s="107" t="s">
        <v>4083</v>
      </c>
      <c r="BQ39" s="107" t="s">
        <v>4084</v>
      </c>
      <c r="BR39" s="107" t="s">
        <v>4085</v>
      </c>
      <c r="BS39" s="107" t="s">
        <v>4086</v>
      </c>
      <c r="BT39" s="107" t="s">
        <v>4087</v>
      </c>
      <c r="BU39" s="107" t="s">
        <v>4088</v>
      </c>
      <c r="BV39" s="140" t="s">
        <v>4089</v>
      </c>
      <c r="BW39" s="107" t="s">
        <v>4089</v>
      </c>
      <c r="BX39" s="107" t="s">
        <v>4090</v>
      </c>
      <c r="BY39" s="107" t="s">
        <v>4091</v>
      </c>
      <c r="BZ39" s="107" t="s">
        <v>4092</v>
      </c>
      <c r="CA39" s="107" t="s">
        <v>4093</v>
      </c>
      <c r="CB39" s="107" t="s">
        <v>4094</v>
      </c>
      <c r="CC39" s="107" t="s">
        <v>4095</v>
      </c>
      <c r="CD39" s="107" t="s">
        <v>4096</v>
      </c>
      <c r="CE39" s="107" t="s">
        <v>4096</v>
      </c>
      <c r="CF39" s="107" t="s">
        <v>4097</v>
      </c>
      <c r="CG39" s="107" t="s">
        <v>4098</v>
      </c>
      <c r="CH39" s="107" t="s">
        <v>4099</v>
      </c>
      <c r="CI39" s="107" t="s">
        <v>4100</v>
      </c>
      <c r="CJ39" s="107" t="s">
        <v>4101</v>
      </c>
      <c r="CK39" s="107" t="s">
        <v>4102</v>
      </c>
      <c r="CL39" s="107" t="s">
        <v>4103</v>
      </c>
      <c r="CM39" s="107" t="s">
        <v>4104</v>
      </c>
      <c r="CN39" s="107" t="s">
        <v>4105</v>
      </c>
      <c r="CO39" s="107" t="s">
        <v>4106</v>
      </c>
      <c r="CP39" s="107" t="s">
        <v>4107</v>
      </c>
      <c r="CQ39" s="107" t="s">
        <v>4108</v>
      </c>
      <c r="CR39" s="107" t="s">
        <v>4109</v>
      </c>
      <c r="CS39" s="107" t="s">
        <v>4110</v>
      </c>
      <c r="CT39" s="107" t="s">
        <v>4111</v>
      </c>
      <c r="CU39" s="107" t="s">
        <v>4112</v>
      </c>
      <c r="CV39" s="107" t="s">
        <v>4113</v>
      </c>
      <c r="CW39" s="107" t="s">
        <v>4114</v>
      </c>
      <c r="CX39" s="107" t="s">
        <v>4115</v>
      </c>
      <c r="CY39" s="107" t="s">
        <v>4116</v>
      </c>
      <c r="CZ39" s="107" t="s">
        <v>4117</v>
      </c>
      <c r="DA39" s="107" t="s">
        <v>4118</v>
      </c>
      <c r="DB39" s="107" t="s">
        <v>4119</v>
      </c>
      <c r="DC39" s="107" t="s">
        <v>4120</v>
      </c>
      <c r="DD39" s="107" t="s">
        <v>4121</v>
      </c>
      <c r="DE39" s="107" t="s">
        <v>4122</v>
      </c>
      <c r="DF39" s="107" t="s">
        <v>4123</v>
      </c>
      <c r="DG39" s="107" t="s">
        <v>4124</v>
      </c>
      <c r="DH39" s="107" t="s">
        <v>4125</v>
      </c>
      <c r="DI39" s="107" t="s">
        <v>4126</v>
      </c>
      <c r="DJ39" s="107" t="s">
        <v>4127</v>
      </c>
      <c r="DK39" s="107" t="s">
        <v>4128</v>
      </c>
      <c r="DL39" s="107" t="s">
        <v>4129</v>
      </c>
      <c r="DM39" s="107" t="s">
        <v>4130</v>
      </c>
      <c r="DN39" s="107" t="s">
        <v>4131</v>
      </c>
      <c r="DO39" s="107" t="s">
        <v>4132</v>
      </c>
      <c r="DP39" s="107" t="s">
        <v>4133</v>
      </c>
      <c r="DQ39" s="107" t="s">
        <v>4134</v>
      </c>
      <c r="DR39" s="107" t="s">
        <v>4135</v>
      </c>
      <c r="DS39" s="107" t="s">
        <v>4136</v>
      </c>
      <c r="DT39" s="107" t="s">
        <v>4137</v>
      </c>
      <c r="DU39" s="107" t="s">
        <v>4138</v>
      </c>
      <c r="DV39" s="107" t="s">
        <v>4139</v>
      </c>
      <c r="DW39" s="107" t="s">
        <v>4140</v>
      </c>
      <c r="DX39" s="107" t="s">
        <v>4141</v>
      </c>
      <c r="DY39" s="107"/>
      <c r="DZ39" s="107" t="s">
        <v>4142</v>
      </c>
      <c r="EA39" s="107" t="s">
        <v>4142</v>
      </c>
      <c r="EB39" s="141" t="s">
        <v>4143</v>
      </c>
      <c r="EC39" s="107" t="s">
        <v>4144</v>
      </c>
      <c r="ED39" s="107" t="s">
        <v>4145</v>
      </c>
      <c r="EE39" s="107" t="s">
        <v>4146</v>
      </c>
      <c r="EF39" s="107" t="s">
        <v>4147</v>
      </c>
      <c r="EG39" s="107" t="s">
        <v>4148</v>
      </c>
      <c r="EH39" s="107" t="s">
        <v>4149</v>
      </c>
      <c r="EI39" s="107" t="s">
        <v>4149</v>
      </c>
      <c r="EJ39" s="107" t="s">
        <v>4150</v>
      </c>
      <c r="EK39" s="107" t="s">
        <v>4150</v>
      </c>
      <c r="EL39" s="107" t="s">
        <v>4151</v>
      </c>
      <c r="EM39" s="107" t="s">
        <v>4152</v>
      </c>
      <c r="EN39" s="107" t="s">
        <v>4153</v>
      </c>
      <c r="EO39" s="107" t="s">
        <v>4154</v>
      </c>
      <c r="EP39" s="107" t="s">
        <v>4155</v>
      </c>
      <c r="EQ39" s="107" t="s">
        <v>4156</v>
      </c>
      <c r="ER39" s="107" t="s">
        <v>4157</v>
      </c>
      <c r="ES39" s="107" t="s">
        <v>4158</v>
      </c>
      <c r="ET39" s="107" t="s">
        <v>4159</v>
      </c>
      <c r="EU39" s="107" t="s">
        <v>4160</v>
      </c>
      <c r="EV39" s="107" t="s">
        <v>4161</v>
      </c>
      <c r="EW39" s="107" t="s">
        <v>4162</v>
      </c>
      <c r="EX39" s="107" t="s">
        <v>4163</v>
      </c>
      <c r="EY39" s="107" t="s">
        <v>4164</v>
      </c>
      <c r="EZ39" s="107" t="s">
        <v>4165</v>
      </c>
      <c r="FA39" s="107" t="s">
        <v>4166</v>
      </c>
      <c r="FB39" s="107" t="s">
        <v>4167</v>
      </c>
      <c r="FC39" s="107" t="s">
        <v>4168</v>
      </c>
      <c r="FD39" s="141"/>
      <c r="FE39" s="141"/>
    </row>
    <row r="40">
      <c r="A40" s="94"/>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107"/>
      <c r="CT40" s="94"/>
      <c r="CU40" s="94"/>
      <c r="CV40" s="94"/>
      <c r="CW40" s="94"/>
      <c r="CX40" s="107"/>
      <c r="CY40" s="94"/>
      <c r="CZ40" s="94"/>
      <c r="DA40" s="94"/>
      <c r="DB40" s="94"/>
      <c r="DC40" s="107"/>
      <c r="DD40" s="110"/>
      <c r="DE40" s="107"/>
      <c r="DF40" s="107"/>
      <c r="DG40" s="107"/>
      <c r="DH40" s="107"/>
      <c r="DI40" s="107"/>
      <c r="DJ40" s="107"/>
      <c r="DK40" s="107"/>
      <c r="DL40" s="107"/>
      <c r="DM40" s="125"/>
      <c r="DN40" s="107"/>
      <c r="DO40" s="107"/>
      <c r="DP40" s="107"/>
      <c r="DQ40" s="107"/>
      <c r="DR40" s="107"/>
      <c r="DS40" s="107"/>
      <c r="DT40" s="125"/>
      <c r="DU40" s="125"/>
      <c r="DV40" s="125"/>
      <c r="DW40" s="125"/>
      <c r="DX40" s="125"/>
      <c r="DY40" s="125"/>
      <c r="DZ40" s="125"/>
      <c r="EA40" s="125"/>
      <c r="EB40" s="125"/>
      <c r="EC40" s="107"/>
      <c r="ED40" s="107"/>
      <c r="EE40" s="107"/>
      <c r="EF40" s="125"/>
      <c r="EG40" s="125"/>
      <c r="EH40" s="125"/>
      <c r="EI40" s="125"/>
      <c r="EJ40" s="125"/>
      <c r="EK40" s="125"/>
      <c r="EL40" s="125"/>
      <c r="EM40" s="125"/>
      <c r="EN40" s="125"/>
      <c r="EO40" s="125"/>
      <c r="EP40" s="125"/>
      <c r="EQ40" s="125"/>
      <c r="ER40" s="125"/>
      <c r="ES40" s="125"/>
      <c r="ET40" s="125"/>
      <c r="EU40" s="125"/>
      <c r="EV40" s="125"/>
      <c r="EW40" s="107"/>
      <c r="EX40" s="107"/>
      <c r="EY40" s="107"/>
      <c r="EZ40" s="107"/>
      <c r="FA40" s="107"/>
      <c r="FB40" s="107"/>
      <c r="FC40" s="107"/>
      <c r="FD40" s="107"/>
      <c r="FE40" s="107"/>
    </row>
    <row r="41" collapsed="1">
      <c r="A41" s="94" t="s">
        <v>4169</v>
      </c>
      <c r="B41" s="93"/>
      <c r="C41" s="94"/>
      <c r="D41" s="94"/>
      <c r="E41" s="94"/>
      <c r="F41" s="94"/>
      <c r="G41" s="94"/>
      <c r="H41" s="94"/>
      <c r="I41" s="94"/>
      <c r="J41" s="94"/>
      <c r="K41" s="94"/>
      <c r="L41" s="94"/>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94"/>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107"/>
      <c r="CT41" s="94"/>
      <c r="CU41" s="94"/>
      <c r="CV41" s="94"/>
      <c r="CW41" s="94"/>
      <c r="CX41" s="107"/>
      <c r="CY41" s="94"/>
      <c r="CZ41" s="94"/>
      <c r="DA41" s="94"/>
      <c r="DB41" s="94"/>
      <c r="DC41" s="107"/>
      <c r="DD41" s="110"/>
      <c r="DE41" s="110"/>
      <c r="DF41" s="107"/>
      <c r="DG41" s="107"/>
      <c r="DH41" s="107"/>
      <c r="DI41" s="107"/>
      <c r="DJ41" s="107"/>
      <c r="DK41" s="107"/>
      <c r="DL41" s="107"/>
      <c r="DM41" s="107"/>
      <c r="DN41" s="107"/>
      <c r="DO41" s="107"/>
      <c r="DP41" s="107"/>
      <c r="DQ41" s="125"/>
      <c r="DR41" s="125"/>
      <c r="DS41" s="125"/>
      <c r="DT41" s="125"/>
      <c r="DU41" s="125"/>
      <c r="DV41" s="125"/>
      <c r="DW41" s="125"/>
      <c r="DX41" s="125"/>
      <c r="DY41" s="125"/>
      <c r="DZ41" s="125"/>
      <c r="EA41" s="125"/>
      <c r="EB41" s="125"/>
      <c r="EC41" s="107"/>
      <c r="ED41" s="107"/>
      <c r="EE41" s="107"/>
      <c r="EF41" s="125"/>
      <c r="EG41" s="125"/>
      <c r="EH41" s="125"/>
      <c r="EI41" s="125"/>
      <c r="EJ41" s="125"/>
      <c r="EK41" s="125"/>
      <c r="EL41" s="125"/>
      <c r="EM41" s="125"/>
      <c r="EN41" s="125"/>
      <c r="EO41" s="125"/>
      <c r="EP41" s="125"/>
      <c r="EQ41" s="125"/>
      <c r="ER41" s="125"/>
      <c r="ES41" s="125"/>
      <c r="ET41" s="125"/>
      <c r="EU41" s="125"/>
      <c r="EV41" s="125"/>
      <c r="EW41" s="107"/>
      <c r="EX41" s="107"/>
      <c r="EY41" s="107"/>
      <c r="EZ41" s="107"/>
      <c r="FA41" s="107"/>
      <c r="FB41" s="107"/>
      <c r="FC41" s="107"/>
      <c r="FD41" s="107"/>
      <c r="FE41" s="107"/>
    </row>
    <row r="42" hidden="1" outlineLevel="1">
      <c r="A42" s="94"/>
      <c r="B42" s="93"/>
      <c r="C42" s="94"/>
      <c r="D42" s="94"/>
      <c r="E42" s="94"/>
      <c r="F42" s="94"/>
      <c r="G42" s="94"/>
      <c r="H42" s="94"/>
      <c r="I42" s="94"/>
      <c r="J42" s="94"/>
      <c r="K42" s="94"/>
      <c r="L42" s="94"/>
      <c r="M42" s="94"/>
      <c r="N42" s="94"/>
      <c r="O42" s="94"/>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94"/>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145" t="s">
        <v>4170</v>
      </c>
      <c r="DD42" s="145" t="s">
        <v>4171</v>
      </c>
      <c r="DE42" s="145" t="s">
        <v>4172</v>
      </c>
      <c r="DF42" s="145" t="s">
        <v>4173</v>
      </c>
      <c r="DG42" s="145" t="s">
        <v>4174</v>
      </c>
      <c r="DH42" s="146"/>
      <c r="DI42" s="145" t="s">
        <v>4175</v>
      </c>
      <c r="DJ42" s="125"/>
      <c r="DK42" s="125"/>
      <c r="DL42" s="125"/>
      <c r="DM42" s="125"/>
      <c r="DN42" s="125"/>
      <c r="DO42" s="125"/>
      <c r="DP42" s="125"/>
      <c r="DQ42" s="125"/>
      <c r="DR42" s="125"/>
      <c r="DS42" s="125"/>
      <c r="DT42" s="125"/>
      <c r="DU42" s="125"/>
      <c r="DV42" s="125"/>
      <c r="DW42" s="125"/>
      <c r="DX42" s="125"/>
      <c r="DY42" s="125"/>
      <c r="DZ42" s="125"/>
      <c r="EA42" s="125"/>
      <c r="EB42" s="125"/>
      <c r="EC42" s="125"/>
      <c r="ED42" s="125"/>
      <c r="EE42" s="125"/>
      <c r="EF42" s="125"/>
      <c r="EG42" s="125"/>
      <c r="EH42" s="125"/>
      <c r="EI42" s="125"/>
      <c r="EJ42" s="125"/>
      <c r="EK42" s="125"/>
      <c r="EL42" s="125"/>
      <c r="EM42" s="125"/>
      <c r="EN42" s="125"/>
      <c r="EO42" s="125"/>
      <c r="EP42" s="125"/>
      <c r="EQ42" s="125"/>
      <c r="ER42" s="125"/>
      <c r="ES42" s="125"/>
      <c r="ET42" s="125"/>
      <c r="EU42" s="125"/>
      <c r="EV42" s="125"/>
      <c r="EW42" s="125"/>
      <c r="EX42" s="125"/>
      <c r="EY42" s="125"/>
      <c r="EZ42" s="125"/>
      <c r="FA42" s="125"/>
      <c r="FB42" s="125"/>
      <c r="FC42" s="125"/>
      <c r="FD42" s="125"/>
      <c r="FE42" s="125"/>
    </row>
    <row r="43" hidden="1" outlineLevel="1">
      <c r="A43" s="94"/>
      <c r="B43" s="93"/>
      <c r="C43" s="94"/>
      <c r="D43" s="94"/>
      <c r="E43" s="94"/>
      <c r="F43" s="94"/>
      <c r="G43" s="94"/>
      <c r="H43" s="94"/>
      <c r="I43" s="94"/>
      <c r="J43" s="94"/>
      <c r="K43" s="94"/>
      <c r="L43" s="94"/>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145" t="s">
        <v>4176</v>
      </c>
      <c r="DD43" s="145" t="s">
        <v>4177</v>
      </c>
      <c r="DE43" s="145" t="s">
        <v>4178</v>
      </c>
      <c r="DF43" s="145" t="s">
        <v>4179</v>
      </c>
      <c r="DG43" s="145" t="s">
        <v>4180</v>
      </c>
      <c r="DH43" s="146"/>
      <c r="DI43" s="145" t="s">
        <v>4181</v>
      </c>
      <c r="DJ43" s="125"/>
      <c r="DK43" s="125"/>
      <c r="DL43" s="125"/>
      <c r="DM43" s="125"/>
      <c r="DN43" s="125"/>
      <c r="DO43" s="125"/>
      <c r="DP43" s="125"/>
      <c r="DQ43" s="125"/>
      <c r="DR43" s="125"/>
      <c r="DS43" s="125"/>
      <c r="DT43" s="125"/>
      <c r="DU43" s="125"/>
      <c r="DV43" s="125"/>
      <c r="DW43" s="125"/>
      <c r="DX43" s="125"/>
      <c r="DY43" s="125"/>
      <c r="DZ43" s="125"/>
      <c r="EA43" s="125"/>
      <c r="EB43" s="125"/>
      <c r="EC43" s="125"/>
      <c r="ED43" s="125"/>
      <c r="EE43" s="125"/>
      <c r="EF43" s="125"/>
      <c r="EG43" s="125"/>
      <c r="EH43" s="125"/>
      <c r="EI43" s="125"/>
      <c r="EJ43" s="125"/>
      <c r="EK43" s="125"/>
      <c r="EL43" s="125"/>
      <c r="EM43" s="125"/>
      <c r="EN43" s="125"/>
      <c r="EO43" s="125"/>
      <c r="EP43" s="125"/>
      <c r="EQ43" s="125"/>
      <c r="ER43" s="125"/>
      <c r="ES43" s="125"/>
      <c r="ET43" s="125"/>
      <c r="EU43" s="125"/>
      <c r="EV43" s="125"/>
      <c r="EW43" s="125"/>
      <c r="EX43" s="125"/>
      <c r="EY43" s="125"/>
      <c r="EZ43" s="125"/>
      <c r="FA43" s="125"/>
      <c r="FB43" s="125"/>
      <c r="FC43" s="125"/>
      <c r="FD43" s="125"/>
      <c r="FE43" s="125"/>
    </row>
    <row r="44" hidden="1" outlineLevel="1">
      <c r="A44" s="94"/>
      <c r="B44" s="93"/>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145" t="s">
        <v>4182</v>
      </c>
      <c r="DD44" s="145" t="s">
        <v>4183</v>
      </c>
      <c r="DE44" s="145" t="s">
        <v>4184</v>
      </c>
      <c r="DF44" s="145" t="s">
        <v>4185</v>
      </c>
      <c r="DG44" s="145" t="s">
        <v>4186</v>
      </c>
      <c r="DH44" s="146"/>
      <c r="DI44" s="145" t="s">
        <v>4187</v>
      </c>
      <c r="DJ44" s="125"/>
      <c r="DK44" s="125"/>
      <c r="DL44" s="125"/>
      <c r="DM44" s="125"/>
      <c r="DN44" s="125"/>
      <c r="DO44" s="125"/>
      <c r="DP44" s="125"/>
      <c r="DQ44" s="125"/>
      <c r="DR44" s="125"/>
      <c r="DS44" s="125"/>
      <c r="DT44" s="125"/>
      <c r="DU44" s="125"/>
      <c r="DV44" s="125"/>
      <c r="DW44" s="125"/>
      <c r="DX44" s="125"/>
      <c r="DY44" s="125"/>
      <c r="DZ44" s="125"/>
      <c r="EA44" s="125"/>
      <c r="EB44" s="125"/>
      <c r="EC44" s="125"/>
      <c r="ED44" s="125"/>
      <c r="EE44" s="125"/>
      <c r="EF44" s="125"/>
      <c r="EG44" s="125"/>
      <c r="EH44" s="125"/>
      <c r="EI44" s="125"/>
      <c r="EJ44" s="125"/>
      <c r="EK44" s="125"/>
      <c r="EL44" s="125"/>
      <c r="EM44" s="125"/>
      <c r="EN44" s="125"/>
      <c r="EO44" s="125"/>
      <c r="EP44" s="125"/>
      <c r="EQ44" s="125"/>
      <c r="ER44" s="125"/>
      <c r="ES44" s="125"/>
      <c r="ET44" s="125"/>
      <c r="EU44" s="125"/>
      <c r="EV44" s="125"/>
      <c r="EW44" s="125"/>
      <c r="EX44" s="125"/>
      <c r="EY44" s="125"/>
      <c r="EZ44" s="125"/>
      <c r="FA44" s="125"/>
      <c r="FB44" s="125"/>
      <c r="FC44" s="125"/>
      <c r="FD44" s="125"/>
      <c r="FE44" s="125"/>
    </row>
    <row r="45" hidden="1" outlineLevel="1">
      <c r="A45" s="94"/>
      <c r="B45" s="94"/>
      <c r="C45" s="94"/>
      <c r="D45" s="94"/>
      <c r="E45" s="94"/>
      <c r="F45" s="94"/>
      <c r="G45" s="94"/>
      <c r="H45" s="94"/>
      <c r="I45" s="94"/>
      <c r="J45" s="94"/>
      <c r="K45" s="94"/>
      <c r="L45" s="94"/>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145" t="s">
        <v>4188</v>
      </c>
      <c r="DD45" s="145" t="s">
        <v>4189</v>
      </c>
      <c r="DE45" s="145" t="s">
        <v>4190</v>
      </c>
      <c r="DF45" s="145" t="s">
        <v>4191</v>
      </c>
      <c r="DG45" s="145" t="s">
        <v>4192</v>
      </c>
      <c r="DH45" s="146"/>
      <c r="DI45" s="147" t="s">
        <v>4193</v>
      </c>
      <c r="DJ45" s="125"/>
      <c r="DK45" s="125"/>
      <c r="DL45" s="125"/>
      <c r="DM45" s="125"/>
      <c r="DN45" s="125"/>
      <c r="DO45" s="125"/>
      <c r="DP45" s="125"/>
      <c r="DQ45" s="125"/>
      <c r="DR45" s="125"/>
      <c r="DS45" s="125"/>
      <c r="DT45" s="125"/>
      <c r="DU45" s="125"/>
      <c r="DV45" s="125"/>
      <c r="DW45" s="125"/>
      <c r="DX45" s="125"/>
      <c r="DY45" s="125"/>
      <c r="DZ45" s="125"/>
      <c r="EA45" s="125"/>
      <c r="EB45" s="125"/>
      <c r="EC45" s="125"/>
      <c r="ED45" s="125"/>
      <c r="EE45" s="125"/>
      <c r="EF45" s="125"/>
      <c r="EG45" s="125"/>
      <c r="EH45" s="125"/>
      <c r="EI45" s="125"/>
      <c r="EJ45" s="125"/>
      <c r="EK45" s="125"/>
      <c r="EL45" s="125"/>
      <c r="EM45" s="125"/>
      <c r="EN45" s="125"/>
      <c r="EO45" s="125"/>
      <c r="EP45" s="125"/>
      <c r="EQ45" s="125"/>
      <c r="ER45" s="125"/>
      <c r="ES45" s="125"/>
      <c r="ET45" s="125"/>
      <c r="EU45" s="125"/>
      <c r="EV45" s="125"/>
      <c r="EW45" s="125"/>
      <c r="EX45" s="125"/>
      <c r="EY45" s="125"/>
      <c r="EZ45" s="125"/>
      <c r="FA45" s="125"/>
      <c r="FB45" s="125"/>
      <c r="FC45" s="125"/>
      <c r="FD45" s="125"/>
      <c r="FE45" s="125"/>
    </row>
    <row r="46" hidden="1" outlineLevel="1">
      <c r="A46" s="94"/>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145"/>
      <c r="DD46" s="145" t="s">
        <v>4194</v>
      </c>
      <c r="DE46" s="145" t="s">
        <v>4195</v>
      </c>
      <c r="DF46" s="145" t="s">
        <v>4196</v>
      </c>
      <c r="DG46" s="145" t="s">
        <v>4197</v>
      </c>
      <c r="DH46" s="146"/>
      <c r="DI46" s="147" t="s">
        <v>4198</v>
      </c>
      <c r="DJ46" s="125"/>
      <c r="DK46" s="125"/>
      <c r="DL46" s="125"/>
      <c r="DM46" s="125"/>
      <c r="DN46" s="125"/>
      <c r="DO46" s="125"/>
      <c r="DP46" s="125"/>
      <c r="DQ46" s="125"/>
      <c r="DR46" s="125"/>
      <c r="DS46" s="125"/>
      <c r="DT46" s="125"/>
      <c r="DU46" s="125"/>
      <c r="DV46" s="125"/>
      <c r="DW46" s="125"/>
      <c r="DX46" s="125"/>
      <c r="DY46" s="125"/>
      <c r="DZ46" s="125"/>
      <c r="EA46" s="125"/>
      <c r="EB46" s="125"/>
      <c r="EC46" s="125"/>
      <c r="ED46" s="125"/>
      <c r="EE46" s="125"/>
      <c r="EF46" s="125"/>
      <c r="EG46" s="125"/>
      <c r="EH46" s="125"/>
      <c r="EI46" s="125"/>
      <c r="EJ46" s="125"/>
      <c r="EK46" s="125"/>
      <c r="EL46" s="125"/>
      <c r="EM46" s="125"/>
      <c r="EN46" s="125"/>
      <c r="EO46" s="125"/>
      <c r="EP46" s="125"/>
      <c r="EQ46" s="125"/>
      <c r="ER46" s="125"/>
      <c r="ES46" s="125"/>
      <c r="ET46" s="125"/>
      <c r="EU46" s="125"/>
      <c r="EV46" s="125"/>
      <c r="EW46" s="125"/>
      <c r="EX46" s="125"/>
      <c r="EY46" s="125"/>
      <c r="EZ46" s="125"/>
      <c r="FA46" s="125"/>
      <c r="FB46" s="125"/>
      <c r="FC46" s="125"/>
      <c r="FD46" s="125"/>
      <c r="FE46" s="125"/>
    </row>
    <row r="47" hidden="1" outlineLevel="1">
      <c r="A47" s="94"/>
      <c r="B47" s="94"/>
      <c r="C47" s="94"/>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145"/>
      <c r="DD47" s="145" t="s">
        <v>4199</v>
      </c>
      <c r="DE47" s="145" t="s">
        <v>4200</v>
      </c>
      <c r="DF47" s="145" t="s">
        <v>4201</v>
      </c>
      <c r="DG47" s="145" t="s">
        <v>4202</v>
      </c>
      <c r="DH47" s="146"/>
      <c r="DI47" s="145" t="s">
        <v>4203</v>
      </c>
      <c r="DJ47" s="125"/>
      <c r="DK47" s="125"/>
      <c r="DL47" s="125"/>
      <c r="DM47" s="125"/>
      <c r="DN47" s="125"/>
      <c r="DO47" s="125"/>
      <c r="DP47" s="125"/>
      <c r="DQ47" s="125"/>
      <c r="DR47" s="125"/>
      <c r="DS47" s="125"/>
      <c r="DT47" s="125"/>
      <c r="DU47" s="125"/>
      <c r="DV47" s="125"/>
      <c r="DW47" s="125"/>
      <c r="DX47" s="125"/>
      <c r="DY47" s="125"/>
      <c r="DZ47" s="125"/>
      <c r="EA47" s="125"/>
      <c r="EB47" s="125"/>
      <c r="EC47" s="125"/>
      <c r="ED47" s="125"/>
      <c r="EE47" s="125"/>
      <c r="EF47" s="125"/>
      <c r="EG47" s="125"/>
      <c r="EH47" s="125"/>
      <c r="EI47" s="125"/>
      <c r="EJ47" s="125"/>
      <c r="EK47" s="125"/>
      <c r="EL47" s="125"/>
      <c r="EM47" s="125"/>
      <c r="EN47" s="125"/>
      <c r="EO47" s="125"/>
      <c r="EP47" s="125"/>
      <c r="EQ47" s="125"/>
      <c r="ER47" s="125"/>
      <c r="ES47" s="125"/>
      <c r="ET47" s="125"/>
      <c r="EU47" s="125"/>
      <c r="EV47" s="125"/>
      <c r="EW47" s="125"/>
      <c r="EX47" s="125"/>
      <c r="EY47" s="125"/>
      <c r="EZ47" s="125"/>
      <c r="FA47" s="125"/>
      <c r="FB47" s="125"/>
      <c r="FC47" s="125"/>
      <c r="FD47" s="125"/>
      <c r="FE47" s="125"/>
    </row>
    <row r="48" hidden="1" outlineLevel="1">
      <c r="A48" s="94"/>
      <c r="B48" s="94"/>
      <c r="C48" s="94"/>
      <c r="D48" s="94"/>
      <c r="E48" s="94"/>
      <c r="F48" s="94"/>
      <c r="G48" s="94"/>
      <c r="H48" s="94"/>
      <c r="I48" s="94"/>
      <c r="J48" s="94"/>
      <c r="K48" s="94"/>
      <c r="L48" s="94"/>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145"/>
      <c r="DD48" s="145" t="s">
        <v>4204</v>
      </c>
      <c r="DE48" s="145" t="s">
        <v>4205</v>
      </c>
      <c r="DF48" s="145" t="s">
        <v>4206</v>
      </c>
      <c r="DG48" s="145" t="s">
        <v>4207</v>
      </c>
      <c r="DH48" s="146"/>
      <c r="DI48" s="145" t="s">
        <v>4208</v>
      </c>
      <c r="DJ48" s="125"/>
      <c r="DK48" s="125"/>
      <c r="DL48" s="125"/>
      <c r="DM48" s="125"/>
      <c r="DN48" s="125"/>
      <c r="DO48" s="125"/>
      <c r="DP48" s="125"/>
      <c r="DQ48" s="125"/>
      <c r="DR48" s="125"/>
      <c r="DS48" s="125"/>
      <c r="DT48" s="125"/>
      <c r="DU48" s="125"/>
      <c r="DV48" s="125"/>
      <c r="DW48" s="125"/>
      <c r="DX48" s="125"/>
      <c r="DY48" s="125"/>
      <c r="DZ48" s="125"/>
      <c r="EA48" s="125"/>
      <c r="EB48" s="125"/>
      <c r="EC48" s="125"/>
      <c r="ED48" s="125"/>
      <c r="EE48" s="125"/>
      <c r="EF48" s="125"/>
      <c r="EG48" s="125"/>
      <c r="EH48" s="125"/>
      <c r="EI48" s="125"/>
      <c r="EJ48" s="125"/>
      <c r="EK48" s="125"/>
      <c r="EL48" s="125"/>
      <c r="EM48" s="125"/>
      <c r="EN48" s="125"/>
      <c r="EO48" s="125"/>
      <c r="EP48" s="125"/>
      <c r="EQ48" s="125"/>
      <c r="ER48" s="125"/>
      <c r="ES48" s="125"/>
      <c r="ET48" s="125"/>
      <c r="EU48" s="125"/>
      <c r="EV48" s="125"/>
      <c r="EW48" s="125"/>
      <c r="EX48" s="125"/>
      <c r="EY48" s="125"/>
      <c r="EZ48" s="125"/>
      <c r="FA48" s="125"/>
      <c r="FB48" s="125"/>
      <c r="FC48" s="125"/>
      <c r="FD48" s="125"/>
      <c r="FE48" s="125"/>
    </row>
    <row r="49" hidden="1" outlineLevel="1">
      <c r="A49" s="94"/>
      <c r="B49" s="94"/>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145"/>
      <c r="DD49" s="145" t="s">
        <v>4189</v>
      </c>
      <c r="DE49" s="145" t="s">
        <v>4195</v>
      </c>
      <c r="DF49" s="145" t="s">
        <v>4209</v>
      </c>
      <c r="DG49" s="145" t="s">
        <v>4210</v>
      </c>
      <c r="DH49" s="146"/>
      <c r="DI49" s="145" t="s">
        <v>4211</v>
      </c>
      <c r="DJ49" s="125"/>
      <c r="DK49" s="125"/>
      <c r="DL49" s="125"/>
      <c r="DM49" s="125"/>
      <c r="DN49" s="125"/>
      <c r="DO49" s="125"/>
      <c r="DP49" s="125"/>
      <c r="DQ49" s="125"/>
      <c r="DR49" s="125"/>
      <c r="DS49" s="125"/>
      <c r="DT49" s="125"/>
      <c r="DU49" s="125"/>
      <c r="DV49" s="125"/>
      <c r="DW49" s="125"/>
      <c r="DX49" s="125"/>
      <c r="DY49" s="125"/>
      <c r="DZ49" s="125"/>
      <c r="EA49" s="125"/>
      <c r="EB49" s="125"/>
      <c r="EC49" s="125"/>
      <c r="ED49" s="125"/>
      <c r="EE49" s="125"/>
      <c r="EF49" s="125"/>
      <c r="EG49" s="125"/>
      <c r="EH49" s="125"/>
      <c r="EI49" s="125"/>
      <c r="EJ49" s="125"/>
      <c r="EK49" s="125"/>
      <c r="EL49" s="125"/>
      <c r="EM49" s="125"/>
      <c r="EN49" s="125"/>
      <c r="EO49" s="125"/>
      <c r="EP49" s="125"/>
      <c r="EQ49" s="125"/>
      <c r="ER49" s="125"/>
      <c r="ES49" s="125"/>
      <c r="ET49" s="125"/>
      <c r="EU49" s="125"/>
      <c r="EV49" s="125"/>
      <c r="EW49" s="125"/>
      <c r="EX49" s="125"/>
      <c r="EY49" s="125"/>
      <c r="EZ49" s="125"/>
      <c r="FA49" s="125"/>
      <c r="FB49" s="125"/>
      <c r="FC49" s="125"/>
      <c r="FD49" s="125"/>
      <c r="FE49" s="125"/>
    </row>
    <row r="50" hidden="1" outlineLevel="1">
      <c r="A50" s="94"/>
      <c r="B50" s="94"/>
      <c r="C50" s="94"/>
      <c r="D50" s="94"/>
      <c r="E50" s="94"/>
      <c r="F50" s="94"/>
      <c r="G50" s="94"/>
      <c r="H50" s="94"/>
      <c r="I50" s="94"/>
      <c r="J50" s="94"/>
      <c r="K50" s="94"/>
      <c r="L50" s="94"/>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145"/>
      <c r="DD50" s="145" t="s">
        <v>4212</v>
      </c>
      <c r="DE50" s="145" t="s">
        <v>4213</v>
      </c>
      <c r="DF50" s="145" t="s">
        <v>4214</v>
      </c>
      <c r="DG50" s="145" t="s">
        <v>4215</v>
      </c>
      <c r="DH50" s="146"/>
      <c r="DI50" s="147" t="s">
        <v>4216</v>
      </c>
      <c r="DJ50" s="125"/>
      <c r="DK50" s="125"/>
      <c r="DL50" s="125"/>
      <c r="DM50" s="125"/>
      <c r="DN50" s="125"/>
      <c r="DO50" s="125"/>
      <c r="DP50" s="125"/>
      <c r="DQ50" s="125"/>
      <c r="DR50" s="125"/>
      <c r="DS50" s="125"/>
      <c r="DT50" s="125"/>
      <c r="DU50" s="125"/>
      <c r="DV50" s="125"/>
      <c r="DW50" s="125"/>
      <c r="DX50" s="125"/>
      <c r="DY50" s="125"/>
      <c r="DZ50" s="125"/>
      <c r="EA50" s="125"/>
      <c r="EB50" s="125"/>
      <c r="EC50" s="125"/>
      <c r="ED50" s="125"/>
      <c r="EE50" s="125"/>
      <c r="EF50" s="125"/>
      <c r="EG50" s="125"/>
      <c r="EH50" s="125"/>
      <c r="EI50" s="125"/>
      <c r="EJ50" s="125"/>
      <c r="EK50" s="125"/>
      <c r="EL50" s="125"/>
      <c r="EM50" s="125"/>
      <c r="EN50" s="125"/>
      <c r="EO50" s="125"/>
      <c r="EP50" s="125"/>
      <c r="EQ50" s="125"/>
      <c r="ER50" s="125"/>
      <c r="ES50" s="125"/>
      <c r="ET50" s="125"/>
      <c r="EU50" s="125"/>
      <c r="EV50" s="125"/>
      <c r="EW50" s="125"/>
      <c r="EX50" s="125"/>
      <c r="EY50" s="125"/>
      <c r="EZ50" s="125"/>
      <c r="FA50" s="125"/>
      <c r="FB50" s="125"/>
      <c r="FC50" s="125"/>
      <c r="FD50" s="125"/>
      <c r="FE50" s="125"/>
    </row>
    <row r="51" hidden="1" outlineLevel="1">
      <c r="A51" s="94"/>
      <c r="B51" s="94"/>
      <c r="C51" s="94"/>
      <c r="D51" s="94"/>
      <c r="E51" s="94"/>
      <c r="F51" s="94"/>
      <c r="G51" s="94"/>
      <c r="H51" s="94"/>
      <c r="I51" s="94"/>
      <c r="J51" s="94"/>
      <c r="K51" s="94"/>
      <c r="L51" s="94"/>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145"/>
      <c r="DD51" s="145" t="s">
        <v>4189</v>
      </c>
      <c r="DE51" s="145" t="s">
        <v>4217</v>
      </c>
      <c r="DF51" s="145" t="s">
        <v>4218</v>
      </c>
      <c r="DG51" s="145" t="s">
        <v>4219</v>
      </c>
      <c r="DH51" s="146"/>
      <c r="DI51" s="125"/>
      <c r="DJ51" s="125"/>
      <c r="DK51" s="125"/>
      <c r="DL51" s="125"/>
      <c r="DM51" s="125"/>
      <c r="DN51" s="125"/>
      <c r="DO51" s="125"/>
      <c r="DP51" s="125"/>
      <c r="DQ51" s="125"/>
      <c r="DR51" s="125"/>
      <c r="DS51" s="125"/>
      <c r="DT51" s="125"/>
      <c r="DU51" s="125"/>
      <c r="DV51" s="125"/>
      <c r="DW51" s="125"/>
      <c r="DX51" s="125"/>
      <c r="DY51" s="125"/>
      <c r="DZ51" s="125"/>
      <c r="EA51" s="125"/>
      <c r="EB51" s="125"/>
      <c r="EC51" s="125"/>
      <c r="ED51" s="125"/>
      <c r="EE51" s="125"/>
      <c r="EF51" s="125"/>
      <c r="EG51" s="125"/>
      <c r="EH51" s="125"/>
      <c r="EI51" s="125"/>
      <c r="EJ51" s="125"/>
      <c r="EK51" s="125"/>
      <c r="EL51" s="125"/>
      <c r="EM51" s="125"/>
      <c r="EN51" s="125"/>
      <c r="EO51" s="125"/>
      <c r="EP51" s="125"/>
      <c r="EQ51" s="125"/>
      <c r="ER51" s="125"/>
      <c r="ES51" s="125"/>
      <c r="ET51" s="125"/>
      <c r="EU51" s="125"/>
      <c r="EV51" s="125"/>
      <c r="EW51" s="125"/>
      <c r="EX51" s="125"/>
      <c r="EY51" s="125"/>
      <c r="EZ51" s="125"/>
      <c r="FA51" s="125"/>
      <c r="FB51" s="125"/>
      <c r="FC51" s="125"/>
      <c r="FD51" s="125"/>
      <c r="FE51" s="125"/>
    </row>
    <row r="52" hidden="1" outlineLevel="1">
      <c r="A52" s="94"/>
      <c r="B52" s="94"/>
      <c r="C52" s="94"/>
      <c r="D52" s="94"/>
      <c r="E52" s="94"/>
      <c r="F52" s="94"/>
      <c r="G52" s="94"/>
      <c r="H52" s="94"/>
      <c r="I52" s="94"/>
      <c r="J52" s="94"/>
      <c r="K52" s="94"/>
      <c r="L52" s="94"/>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145"/>
      <c r="DD52" s="145" t="s">
        <v>4220</v>
      </c>
      <c r="DE52" s="145" t="s">
        <v>4221</v>
      </c>
      <c r="DF52" s="145" t="s">
        <v>4222</v>
      </c>
      <c r="DG52" s="145"/>
      <c r="DH52" s="146"/>
      <c r="DI52" s="125"/>
      <c r="DJ52" s="125"/>
      <c r="DK52" s="125"/>
      <c r="DL52" s="125"/>
      <c r="DM52" s="125"/>
      <c r="DN52" s="125"/>
      <c r="DO52" s="125"/>
      <c r="DP52" s="125"/>
      <c r="DQ52" s="125"/>
      <c r="DR52" s="125"/>
      <c r="DS52" s="125"/>
      <c r="DT52" s="125"/>
      <c r="DU52" s="125"/>
      <c r="DV52" s="125"/>
      <c r="DW52" s="125"/>
      <c r="DX52" s="125"/>
      <c r="DY52" s="125"/>
      <c r="DZ52" s="125"/>
      <c r="EA52" s="125"/>
      <c r="EB52" s="125"/>
      <c r="EC52" s="125"/>
      <c r="ED52" s="125"/>
      <c r="EE52" s="125"/>
      <c r="EF52" s="125"/>
      <c r="EG52" s="125"/>
      <c r="EH52" s="125"/>
      <c r="EI52" s="125"/>
      <c r="EJ52" s="125"/>
      <c r="EK52" s="125"/>
      <c r="EL52" s="125"/>
      <c r="EM52" s="125"/>
      <c r="EN52" s="125"/>
      <c r="EO52" s="125"/>
      <c r="EP52" s="125"/>
      <c r="EQ52" s="125"/>
      <c r="ER52" s="125"/>
      <c r="ES52" s="125"/>
      <c r="ET52" s="125"/>
      <c r="EU52" s="125"/>
      <c r="EV52" s="125"/>
      <c r="EW52" s="125"/>
      <c r="EX52" s="125"/>
      <c r="EY52" s="125"/>
      <c r="EZ52" s="125"/>
      <c r="FA52" s="125"/>
      <c r="FB52" s="125"/>
      <c r="FC52" s="125"/>
      <c r="FD52" s="125"/>
      <c r="FE52" s="125"/>
    </row>
    <row r="53" hidden="1" outlineLevel="1">
      <c r="A53" s="94"/>
      <c r="B53" s="94"/>
      <c r="C53" s="94"/>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145"/>
      <c r="DD53" s="145" t="s">
        <v>4223</v>
      </c>
      <c r="DE53" s="145" t="s">
        <v>4224</v>
      </c>
      <c r="DF53" s="145" t="s">
        <v>4225</v>
      </c>
      <c r="DG53" s="145" t="s">
        <v>4226</v>
      </c>
      <c r="DH53" s="146"/>
      <c r="DI53" s="125"/>
      <c r="DJ53" s="125"/>
      <c r="DK53" s="125"/>
      <c r="DL53" s="125"/>
      <c r="DM53" s="125"/>
      <c r="DN53" s="125"/>
      <c r="DO53" s="125"/>
      <c r="DP53" s="125"/>
      <c r="DQ53" s="125"/>
      <c r="DR53" s="125"/>
      <c r="DS53" s="125"/>
      <c r="DT53" s="125"/>
      <c r="DU53" s="125"/>
      <c r="DV53" s="125"/>
      <c r="DW53" s="125"/>
      <c r="DX53" s="125"/>
      <c r="DY53" s="125"/>
      <c r="DZ53" s="125"/>
      <c r="EA53" s="125"/>
      <c r="EB53" s="125"/>
      <c r="EC53" s="125"/>
      <c r="ED53" s="125"/>
      <c r="EE53" s="125"/>
      <c r="EF53" s="125"/>
      <c r="EG53" s="125"/>
      <c r="EH53" s="125"/>
      <c r="EI53" s="125"/>
      <c r="EJ53" s="125"/>
      <c r="EK53" s="125"/>
      <c r="EL53" s="125"/>
      <c r="EM53" s="125"/>
      <c r="EN53" s="125"/>
      <c r="EO53" s="125"/>
      <c r="EP53" s="125"/>
      <c r="EQ53" s="125"/>
      <c r="ER53" s="125"/>
      <c r="ES53" s="125"/>
      <c r="ET53" s="125"/>
      <c r="EU53" s="125"/>
      <c r="EV53" s="125"/>
      <c r="EW53" s="125"/>
      <c r="EX53" s="125"/>
      <c r="EY53" s="125"/>
      <c r="EZ53" s="125"/>
      <c r="FA53" s="125"/>
      <c r="FB53" s="125"/>
      <c r="FC53" s="125"/>
      <c r="FD53" s="125"/>
      <c r="FE53" s="125"/>
    </row>
    <row r="54" hidden="1" outlineLevel="1">
      <c r="A54" s="94"/>
      <c r="B54" s="94"/>
      <c r="C54" s="94"/>
      <c r="D54" s="94"/>
      <c r="E54" s="94"/>
      <c r="F54" s="94"/>
      <c r="G54" s="94"/>
      <c r="H54" s="94"/>
      <c r="I54" s="94"/>
      <c r="J54" s="94"/>
      <c r="K54" s="94"/>
      <c r="L54" s="94"/>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145"/>
      <c r="DD54" s="145" t="s">
        <v>4189</v>
      </c>
      <c r="DE54" s="145" t="s">
        <v>4195</v>
      </c>
      <c r="DF54" s="145"/>
      <c r="DG54" s="145" t="s">
        <v>4227</v>
      </c>
      <c r="DH54" s="146"/>
      <c r="DI54" s="125"/>
      <c r="DJ54" s="125"/>
      <c r="DK54" s="125"/>
      <c r="DL54" s="125"/>
      <c r="DM54" s="125"/>
      <c r="DN54" s="125"/>
      <c r="DO54" s="125"/>
      <c r="DP54" s="125"/>
      <c r="DQ54" s="125"/>
      <c r="DR54" s="125"/>
      <c r="DS54" s="125"/>
      <c r="DT54" s="125"/>
      <c r="DU54" s="125"/>
      <c r="DV54" s="125"/>
      <c r="DW54" s="125"/>
      <c r="DX54" s="125"/>
      <c r="DY54" s="125"/>
      <c r="DZ54" s="125"/>
      <c r="EA54" s="125"/>
      <c r="EB54" s="125"/>
      <c r="EC54" s="125"/>
      <c r="ED54" s="125"/>
      <c r="EE54" s="125"/>
      <c r="EF54" s="125"/>
      <c r="EG54" s="125"/>
      <c r="EH54" s="125"/>
      <c r="EI54" s="125"/>
      <c r="EJ54" s="125"/>
      <c r="EK54" s="125"/>
      <c r="EL54" s="125"/>
      <c r="EM54" s="125"/>
      <c r="EN54" s="125"/>
      <c r="EO54" s="125"/>
      <c r="EP54" s="125"/>
      <c r="EQ54" s="125"/>
      <c r="ER54" s="125"/>
      <c r="ES54" s="125"/>
      <c r="ET54" s="125"/>
      <c r="EU54" s="125"/>
      <c r="EV54" s="125"/>
      <c r="EW54" s="125"/>
      <c r="EX54" s="125"/>
      <c r="EY54" s="125"/>
      <c r="EZ54" s="125"/>
      <c r="FA54" s="125"/>
      <c r="FB54" s="125"/>
      <c r="FC54" s="125"/>
      <c r="FD54" s="125"/>
      <c r="FE54" s="125"/>
    </row>
    <row r="55" hidden="1" outlineLevel="1">
      <c r="A55" s="94"/>
      <c r="B55" s="94"/>
      <c r="C55" s="94"/>
      <c r="D55" s="94"/>
      <c r="E55" s="94"/>
      <c r="F55" s="94"/>
      <c r="G55" s="94"/>
      <c r="H55" s="94"/>
      <c r="I55" s="94"/>
      <c r="J55" s="94"/>
      <c r="K55" s="94"/>
      <c r="L55" s="94"/>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145"/>
      <c r="DD55" s="145" t="s">
        <v>4228</v>
      </c>
      <c r="DE55" s="145" t="s">
        <v>4229</v>
      </c>
      <c r="DF55" s="145"/>
      <c r="DG55" s="145" t="s">
        <v>4230</v>
      </c>
      <c r="DH55" s="146"/>
      <c r="DI55" s="125"/>
      <c r="DJ55" s="125"/>
      <c r="DK55" s="125"/>
      <c r="DL55" s="125"/>
      <c r="DM55" s="125"/>
      <c r="DN55" s="125"/>
      <c r="DO55" s="125"/>
      <c r="DP55" s="125"/>
      <c r="DQ55" s="125"/>
      <c r="DR55" s="125"/>
      <c r="DS55" s="125"/>
      <c r="DT55" s="125"/>
      <c r="DU55" s="125"/>
      <c r="DV55" s="125"/>
      <c r="DW55" s="125"/>
      <c r="DX55" s="125"/>
      <c r="DY55" s="125"/>
      <c r="DZ55" s="125"/>
      <c r="EA55" s="125"/>
      <c r="EB55" s="125"/>
      <c r="EC55" s="125"/>
      <c r="ED55" s="125"/>
      <c r="EE55" s="125"/>
      <c r="EF55" s="125"/>
      <c r="EG55" s="125"/>
      <c r="EH55" s="125"/>
      <c r="EI55" s="125"/>
      <c r="EJ55" s="125"/>
      <c r="EK55" s="125"/>
      <c r="EL55" s="125"/>
      <c r="EM55" s="125"/>
      <c r="EN55" s="125"/>
      <c r="EO55" s="125"/>
      <c r="EP55" s="125"/>
      <c r="EQ55" s="125"/>
      <c r="ER55" s="125"/>
      <c r="ES55" s="125"/>
      <c r="ET55" s="125"/>
      <c r="EU55" s="125"/>
      <c r="EV55" s="125"/>
      <c r="EW55" s="125"/>
      <c r="EX55" s="125"/>
      <c r="EY55" s="125"/>
      <c r="EZ55" s="125"/>
      <c r="FA55" s="125"/>
      <c r="FB55" s="125"/>
      <c r="FC55" s="125"/>
      <c r="FD55" s="125"/>
      <c r="FE55" s="125"/>
    </row>
    <row r="56" hidden="1" outlineLevel="1">
      <c r="A56" s="94"/>
      <c r="B56" s="94"/>
      <c r="C56" s="94"/>
      <c r="D56" s="94"/>
      <c r="E56" s="94"/>
      <c r="F56" s="94"/>
      <c r="G56" s="94"/>
      <c r="H56" s="94"/>
      <c r="I56" s="94"/>
      <c r="J56" s="94"/>
      <c r="K56" s="94"/>
      <c r="L56" s="94"/>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145"/>
      <c r="DD56" s="145" t="s">
        <v>4231</v>
      </c>
      <c r="DE56" s="145" t="s">
        <v>4232</v>
      </c>
      <c r="DF56" s="145" t="s">
        <v>4225</v>
      </c>
      <c r="DG56" s="145" t="s">
        <v>4195</v>
      </c>
      <c r="DH56" s="146"/>
      <c r="DI56" s="125"/>
      <c r="DJ56" s="125"/>
      <c r="DK56" s="125"/>
      <c r="DL56" s="125"/>
      <c r="DM56" s="125"/>
      <c r="DN56" s="125"/>
      <c r="DO56" s="125"/>
      <c r="DP56" s="125"/>
      <c r="DQ56" s="125"/>
      <c r="DR56" s="125"/>
      <c r="DS56" s="125"/>
      <c r="DT56" s="125"/>
      <c r="DU56" s="125"/>
      <c r="DV56" s="125"/>
      <c r="DW56" s="125"/>
      <c r="DX56" s="125"/>
      <c r="DY56" s="125"/>
      <c r="DZ56" s="125"/>
      <c r="EA56" s="125"/>
      <c r="EB56" s="125"/>
      <c r="EC56" s="125"/>
      <c r="ED56" s="125"/>
      <c r="EE56" s="125"/>
      <c r="EF56" s="125"/>
      <c r="EG56" s="125"/>
      <c r="EH56" s="125"/>
      <c r="EI56" s="125"/>
      <c r="EJ56" s="125"/>
      <c r="EK56" s="125"/>
      <c r="EL56" s="125"/>
      <c r="EM56" s="125"/>
      <c r="EN56" s="125"/>
      <c r="EO56" s="125"/>
      <c r="EP56" s="125"/>
      <c r="EQ56" s="125"/>
      <c r="ER56" s="125"/>
      <c r="ES56" s="125"/>
      <c r="ET56" s="125"/>
      <c r="EU56" s="125"/>
      <c r="EV56" s="125"/>
      <c r="EW56" s="125"/>
      <c r="EX56" s="125"/>
      <c r="EY56" s="125"/>
      <c r="EZ56" s="125"/>
      <c r="FA56" s="125"/>
      <c r="FB56" s="125"/>
      <c r="FC56" s="125"/>
      <c r="FD56" s="125"/>
      <c r="FE56" s="125"/>
    </row>
    <row r="57" hidden="1" outlineLevel="1">
      <c r="A57" s="94"/>
      <c r="B57" s="94"/>
      <c r="C57" s="94"/>
      <c r="D57" s="94"/>
      <c r="E57" s="94"/>
      <c r="F57" s="94"/>
      <c r="G57" s="94"/>
      <c r="H57" s="94"/>
      <c r="I57" s="94"/>
      <c r="J57" s="94"/>
      <c r="K57" s="94"/>
      <c r="L57" s="94"/>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145"/>
      <c r="DD57" s="145"/>
      <c r="DE57" s="145" t="s">
        <v>4225</v>
      </c>
      <c r="DF57" s="145"/>
      <c r="DG57" s="145" t="s">
        <v>4233</v>
      </c>
      <c r="DH57" s="146"/>
      <c r="DI57" s="125"/>
      <c r="DJ57" s="125"/>
      <c r="DK57" s="125"/>
      <c r="DL57" s="125"/>
      <c r="DM57" s="125"/>
      <c r="DN57" s="125"/>
      <c r="DO57" s="125"/>
      <c r="DP57" s="125"/>
      <c r="DQ57" s="125"/>
      <c r="DR57" s="125"/>
      <c r="DS57" s="125"/>
      <c r="DT57" s="125"/>
      <c r="DU57" s="125"/>
      <c r="DV57" s="125"/>
      <c r="DW57" s="125"/>
      <c r="DX57" s="125"/>
      <c r="DY57" s="125"/>
      <c r="DZ57" s="125"/>
      <c r="EA57" s="125"/>
      <c r="EB57" s="125"/>
      <c r="EC57" s="125"/>
      <c r="ED57" s="125"/>
      <c r="EE57" s="125"/>
      <c r="EF57" s="125"/>
      <c r="EG57" s="125"/>
      <c r="EH57" s="125"/>
      <c r="EI57" s="125"/>
      <c r="EJ57" s="125"/>
      <c r="EK57" s="125"/>
      <c r="EL57" s="125"/>
      <c r="EM57" s="125"/>
      <c r="EN57" s="125"/>
      <c r="EO57" s="125"/>
      <c r="EP57" s="125"/>
      <c r="EQ57" s="125"/>
      <c r="ER57" s="125"/>
      <c r="ES57" s="125"/>
      <c r="ET57" s="125"/>
      <c r="EU57" s="125"/>
      <c r="EV57" s="125"/>
      <c r="EW57" s="125"/>
      <c r="EX57" s="125"/>
      <c r="EY57" s="125"/>
      <c r="EZ57" s="125"/>
      <c r="FA57" s="125"/>
      <c r="FB57" s="125"/>
      <c r="FC57" s="125"/>
      <c r="FD57" s="125"/>
      <c r="FE57" s="125"/>
    </row>
    <row r="58" hidden="1" outlineLevel="1">
      <c r="A58" s="94"/>
      <c r="B58" s="94"/>
      <c r="C58" s="94"/>
      <c r="D58" s="94"/>
      <c r="E58" s="94"/>
      <c r="F58" s="94"/>
      <c r="G58" s="94"/>
      <c r="H58" s="94"/>
      <c r="I58" s="94"/>
      <c r="J58" s="94"/>
      <c r="K58" s="94"/>
      <c r="L58" s="94"/>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145"/>
      <c r="DD58" s="145" t="s">
        <v>4234</v>
      </c>
      <c r="DE58" s="145"/>
      <c r="DF58" s="145"/>
      <c r="DG58" s="145" t="s">
        <v>4235</v>
      </c>
      <c r="DH58" s="146"/>
      <c r="DI58" s="125"/>
      <c r="DJ58" s="125"/>
      <c r="DK58" s="125"/>
      <c r="DL58" s="125"/>
      <c r="DM58" s="125"/>
      <c r="DN58" s="125"/>
      <c r="DO58" s="125"/>
      <c r="DP58" s="125"/>
      <c r="DQ58" s="125"/>
      <c r="DR58" s="125"/>
      <c r="DS58" s="125"/>
      <c r="DT58" s="125"/>
      <c r="DU58" s="125"/>
      <c r="DV58" s="125"/>
      <c r="DW58" s="125"/>
      <c r="DX58" s="125"/>
      <c r="DY58" s="125"/>
      <c r="DZ58" s="125"/>
      <c r="EA58" s="125"/>
      <c r="EB58" s="125"/>
      <c r="EC58" s="125"/>
      <c r="ED58" s="125"/>
      <c r="EE58" s="125"/>
      <c r="EF58" s="125"/>
      <c r="EG58" s="125"/>
      <c r="EH58" s="125"/>
      <c r="EI58" s="125"/>
      <c r="EJ58" s="125"/>
      <c r="EK58" s="125"/>
      <c r="EL58" s="125"/>
      <c r="EM58" s="125"/>
      <c r="EN58" s="125"/>
      <c r="EO58" s="125"/>
      <c r="EP58" s="125"/>
      <c r="EQ58" s="125"/>
      <c r="ER58" s="125"/>
      <c r="ES58" s="125"/>
      <c r="ET58" s="125"/>
      <c r="EU58" s="125"/>
      <c r="EV58" s="125"/>
      <c r="EW58" s="125"/>
      <c r="EX58" s="125"/>
      <c r="EY58" s="125"/>
      <c r="EZ58" s="125"/>
      <c r="FA58" s="125"/>
      <c r="FB58" s="125"/>
      <c r="FC58" s="125"/>
      <c r="FD58" s="125"/>
      <c r="FE58" s="125"/>
    </row>
    <row r="59" hidden="1" outlineLevel="1">
      <c r="A59" s="94"/>
      <c r="B59" s="94"/>
      <c r="C59" s="94"/>
      <c r="D59" s="94"/>
      <c r="E59" s="94"/>
      <c r="F59" s="94"/>
      <c r="G59" s="94"/>
      <c r="H59" s="94"/>
      <c r="I59" s="94"/>
      <c r="J59" s="94"/>
      <c r="K59" s="94"/>
      <c r="L59" s="94"/>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145"/>
      <c r="DD59" s="145" t="s">
        <v>4236</v>
      </c>
      <c r="DE59" s="145"/>
      <c r="DF59" s="145"/>
      <c r="DG59" s="145" t="s">
        <v>4237</v>
      </c>
      <c r="DH59" s="146"/>
      <c r="DI59" s="125"/>
      <c r="DJ59" s="125"/>
      <c r="DK59" s="125"/>
      <c r="DL59" s="125"/>
      <c r="DM59" s="125"/>
      <c r="DN59" s="125"/>
      <c r="DO59" s="125"/>
      <c r="DP59" s="125"/>
      <c r="DQ59" s="125"/>
      <c r="DR59" s="125"/>
      <c r="DS59" s="125"/>
      <c r="DT59" s="125"/>
      <c r="DU59" s="125"/>
      <c r="DV59" s="125"/>
      <c r="DW59" s="125"/>
      <c r="DX59" s="125"/>
      <c r="DY59" s="125"/>
      <c r="DZ59" s="125"/>
      <c r="EA59" s="125"/>
      <c r="EB59" s="125"/>
      <c r="EC59" s="125"/>
      <c r="ED59" s="125"/>
      <c r="EE59" s="125"/>
      <c r="EF59" s="125"/>
      <c r="EG59" s="125"/>
      <c r="EH59" s="125"/>
      <c r="EI59" s="125"/>
      <c r="EJ59" s="125"/>
      <c r="EK59" s="125"/>
      <c r="EL59" s="125"/>
      <c r="EM59" s="125"/>
      <c r="EN59" s="125"/>
      <c r="EO59" s="125"/>
      <c r="EP59" s="125"/>
      <c r="EQ59" s="125"/>
      <c r="ER59" s="125"/>
      <c r="ES59" s="125"/>
      <c r="ET59" s="125"/>
      <c r="EU59" s="125"/>
      <c r="EV59" s="125"/>
      <c r="EW59" s="125"/>
      <c r="EX59" s="125"/>
      <c r="EY59" s="125"/>
      <c r="EZ59" s="125"/>
      <c r="FA59" s="125"/>
      <c r="FB59" s="125"/>
      <c r="FC59" s="125"/>
      <c r="FD59" s="125"/>
      <c r="FE59" s="125"/>
    </row>
    <row r="60" hidden="1" outlineLevel="1">
      <c r="A60" s="94"/>
      <c r="B60" s="94"/>
      <c r="C60" s="94"/>
      <c r="D60" s="94"/>
      <c r="E60" s="94"/>
      <c r="F60" s="94"/>
      <c r="G60" s="94"/>
      <c r="H60" s="94"/>
      <c r="I60" s="94"/>
      <c r="J60" s="94"/>
      <c r="K60" s="94"/>
      <c r="L60" s="94"/>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145"/>
      <c r="DD60" s="145" t="s">
        <v>4238</v>
      </c>
      <c r="DE60" s="145"/>
      <c r="DF60" s="145"/>
      <c r="DG60" s="145" t="s">
        <v>4195</v>
      </c>
      <c r="DH60" s="146"/>
      <c r="DI60" s="125"/>
      <c r="DJ60" s="125"/>
      <c r="DK60" s="125"/>
      <c r="DL60" s="125"/>
      <c r="DM60" s="125"/>
      <c r="DN60" s="125"/>
      <c r="DO60" s="125"/>
      <c r="DP60" s="125"/>
      <c r="DQ60" s="125"/>
      <c r="DR60" s="125"/>
      <c r="DS60" s="125"/>
      <c r="DT60" s="125"/>
      <c r="DU60" s="125"/>
      <c r="DV60" s="125"/>
      <c r="DW60" s="125"/>
      <c r="DX60" s="125"/>
      <c r="DY60" s="125"/>
      <c r="DZ60" s="125"/>
      <c r="EA60" s="125"/>
      <c r="EB60" s="125"/>
      <c r="EC60" s="125"/>
      <c r="ED60" s="125"/>
      <c r="EE60" s="125"/>
      <c r="EF60" s="125"/>
      <c r="EG60" s="125"/>
      <c r="EH60" s="125"/>
      <c r="EI60" s="125"/>
      <c r="EJ60" s="125"/>
      <c r="EK60" s="125"/>
      <c r="EL60" s="125"/>
      <c r="EM60" s="125"/>
      <c r="EN60" s="125"/>
      <c r="EO60" s="125"/>
      <c r="EP60" s="125"/>
      <c r="EQ60" s="125"/>
      <c r="ER60" s="125"/>
      <c r="ES60" s="125"/>
      <c r="ET60" s="125"/>
      <c r="EU60" s="125"/>
      <c r="EV60" s="125"/>
      <c r="EW60" s="125"/>
      <c r="EX60" s="125"/>
      <c r="EY60" s="125"/>
      <c r="EZ60" s="125"/>
      <c r="FA60" s="125"/>
      <c r="FB60" s="125"/>
      <c r="FC60" s="125"/>
      <c r="FD60" s="125"/>
      <c r="FE60" s="125"/>
    </row>
    <row r="61" hidden="1" outlineLevel="1">
      <c r="A61" s="94"/>
      <c r="B61" s="94"/>
      <c r="C61" s="94"/>
      <c r="D61" s="94"/>
      <c r="E61" s="94"/>
      <c r="F61" s="94"/>
      <c r="G61" s="94"/>
      <c r="H61" s="94"/>
      <c r="I61" s="94"/>
      <c r="J61" s="94"/>
      <c r="K61" s="94"/>
      <c r="L61" s="94"/>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145"/>
      <c r="DD61" s="145" t="s">
        <v>4239</v>
      </c>
      <c r="DE61" s="145"/>
      <c r="DF61" s="145"/>
      <c r="DG61" s="145" t="s">
        <v>4240</v>
      </c>
      <c r="DH61" s="146"/>
      <c r="DI61" s="125"/>
      <c r="DJ61" s="125"/>
      <c r="DK61" s="125"/>
      <c r="DL61" s="125"/>
      <c r="DM61" s="125"/>
      <c r="DN61" s="125"/>
      <c r="DO61" s="125"/>
      <c r="DP61" s="125"/>
      <c r="DQ61" s="125"/>
      <c r="DR61" s="125"/>
      <c r="DS61" s="125"/>
      <c r="DT61" s="125"/>
      <c r="DU61" s="125"/>
      <c r="DV61" s="125"/>
      <c r="DW61" s="125"/>
      <c r="DX61" s="125"/>
      <c r="DY61" s="125"/>
      <c r="DZ61" s="125"/>
      <c r="EA61" s="125"/>
      <c r="EB61" s="125"/>
      <c r="EC61" s="125"/>
      <c r="ED61" s="125"/>
      <c r="EE61" s="125"/>
      <c r="EF61" s="125"/>
      <c r="EG61" s="125"/>
      <c r="EH61" s="125"/>
      <c r="EI61" s="125"/>
      <c r="EJ61" s="125"/>
      <c r="EK61" s="125"/>
      <c r="EL61" s="125"/>
      <c r="EM61" s="125"/>
      <c r="EN61" s="125"/>
      <c r="EO61" s="125"/>
      <c r="EP61" s="125"/>
      <c r="EQ61" s="125"/>
      <c r="ER61" s="125"/>
      <c r="ES61" s="125"/>
      <c r="ET61" s="125"/>
      <c r="EU61" s="125"/>
      <c r="EV61" s="125"/>
      <c r="EW61" s="125"/>
      <c r="EX61" s="125"/>
      <c r="EY61" s="125"/>
      <c r="EZ61" s="125"/>
      <c r="FA61" s="125"/>
      <c r="FB61" s="125"/>
      <c r="FC61" s="125"/>
      <c r="FD61" s="125"/>
      <c r="FE61" s="125"/>
    </row>
    <row r="62" hidden="1" outlineLevel="1">
      <c r="A62" s="94"/>
      <c r="B62" s="94"/>
      <c r="C62" s="94"/>
      <c r="D62" s="94"/>
      <c r="E62" s="94"/>
      <c r="F62" s="94"/>
      <c r="G62" s="94"/>
      <c r="H62" s="94"/>
      <c r="I62" s="94"/>
      <c r="J62" s="94"/>
      <c r="K62" s="94"/>
      <c r="L62" s="94"/>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145"/>
      <c r="DD62" s="145" t="s">
        <v>4241</v>
      </c>
      <c r="DE62" s="145"/>
      <c r="DF62" s="145"/>
      <c r="DG62" s="145" t="s">
        <v>4242</v>
      </c>
      <c r="DH62" s="146"/>
      <c r="DI62" s="125"/>
      <c r="DJ62" s="125"/>
      <c r="DK62" s="125"/>
      <c r="DL62" s="125"/>
      <c r="DM62" s="125"/>
      <c r="DN62" s="125"/>
      <c r="DO62" s="125"/>
      <c r="DP62" s="125"/>
      <c r="DQ62" s="125"/>
      <c r="DR62" s="125"/>
      <c r="DS62" s="125"/>
      <c r="DT62" s="125"/>
      <c r="DU62" s="125"/>
      <c r="DV62" s="125"/>
      <c r="DW62" s="125"/>
      <c r="DX62" s="125"/>
      <c r="DY62" s="125"/>
      <c r="DZ62" s="125"/>
      <c r="EA62" s="125"/>
      <c r="EB62" s="125"/>
      <c r="EC62" s="125"/>
      <c r="ED62" s="125"/>
      <c r="EE62" s="125"/>
      <c r="EF62" s="125"/>
      <c r="EG62" s="125"/>
      <c r="EH62" s="125"/>
      <c r="EI62" s="125"/>
      <c r="EJ62" s="125"/>
      <c r="EK62" s="125"/>
      <c r="EL62" s="125"/>
      <c r="EM62" s="125"/>
      <c r="EN62" s="125"/>
      <c r="EO62" s="125"/>
      <c r="EP62" s="125"/>
      <c r="EQ62" s="125"/>
      <c r="ER62" s="125"/>
      <c r="ES62" s="125"/>
      <c r="ET62" s="125"/>
      <c r="EU62" s="125"/>
      <c r="EV62" s="125"/>
      <c r="EW62" s="125"/>
      <c r="EX62" s="125"/>
      <c r="EY62" s="125"/>
      <c r="EZ62" s="125"/>
      <c r="FA62" s="125"/>
      <c r="FB62" s="125"/>
      <c r="FC62" s="125"/>
      <c r="FD62" s="125"/>
      <c r="FE62" s="125"/>
    </row>
    <row r="63" hidden="1" outlineLevel="1">
      <c r="A63" s="94"/>
      <c r="B63" s="94"/>
      <c r="C63" s="94"/>
      <c r="D63" s="94"/>
      <c r="E63" s="94"/>
      <c r="F63" s="94"/>
      <c r="G63" s="94"/>
      <c r="H63" s="94"/>
      <c r="I63" s="94"/>
      <c r="J63" s="94"/>
      <c r="K63" s="94"/>
      <c r="L63" s="94"/>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145"/>
      <c r="DD63" s="145" t="s">
        <v>4189</v>
      </c>
      <c r="DE63" s="145"/>
      <c r="DF63" s="145"/>
      <c r="DG63" s="145" t="s">
        <v>4243</v>
      </c>
      <c r="DH63" s="146"/>
      <c r="DI63" s="125"/>
      <c r="DJ63" s="125"/>
      <c r="DK63" s="125"/>
      <c r="DL63" s="125"/>
      <c r="DM63" s="125"/>
      <c r="DN63" s="125"/>
      <c r="DO63" s="125"/>
      <c r="DP63" s="125"/>
      <c r="DQ63" s="125"/>
      <c r="DR63" s="125"/>
      <c r="DS63" s="125"/>
      <c r="DT63" s="125"/>
      <c r="DU63" s="125"/>
      <c r="DV63" s="125"/>
      <c r="DW63" s="125"/>
      <c r="DX63" s="125"/>
      <c r="DY63" s="125"/>
      <c r="DZ63" s="125"/>
      <c r="EA63" s="125"/>
      <c r="EB63" s="125"/>
      <c r="EC63" s="125"/>
      <c r="ED63" s="125"/>
      <c r="EE63" s="125"/>
      <c r="EF63" s="125"/>
      <c r="EG63" s="125"/>
      <c r="EH63" s="125"/>
      <c r="EI63" s="125"/>
      <c r="EJ63" s="125"/>
      <c r="EK63" s="125"/>
      <c r="EL63" s="125"/>
      <c r="EM63" s="125"/>
      <c r="EN63" s="125"/>
      <c r="EO63" s="125"/>
      <c r="EP63" s="125"/>
      <c r="EQ63" s="125"/>
      <c r="ER63" s="125"/>
      <c r="ES63" s="125"/>
      <c r="ET63" s="125"/>
      <c r="EU63" s="125"/>
      <c r="EV63" s="125"/>
      <c r="EW63" s="125"/>
      <c r="EX63" s="125"/>
      <c r="EY63" s="125"/>
      <c r="EZ63" s="125"/>
      <c r="FA63" s="125"/>
      <c r="FB63" s="125"/>
      <c r="FC63" s="125"/>
      <c r="FD63" s="125"/>
      <c r="FE63" s="125"/>
    </row>
    <row r="64" hidden="1" outlineLevel="1">
      <c r="A64" s="94"/>
      <c r="B64" s="94"/>
      <c r="C64" s="94"/>
      <c r="D64" s="94"/>
      <c r="E64" s="94"/>
      <c r="F64" s="94"/>
      <c r="G64" s="94"/>
      <c r="H64" s="94"/>
      <c r="I64" s="94"/>
      <c r="J64" s="94"/>
      <c r="K64" s="94"/>
      <c r="L64" s="94"/>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145"/>
      <c r="DD64" s="145" t="s">
        <v>4244</v>
      </c>
      <c r="DE64" s="145"/>
      <c r="DF64" s="145"/>
      <c r="DG64" s="145" t="s">
        <v>4245</v>
      </c>
      <c r="DH64" s="146"/>
      <c r="DI64" s="125"/>
      <c r="DJ64" s="125"/>
      <c r="DK64" s="125"/>
      <c r="DL64" s="125"/>
      <c r="DM64" s="125"/>
      <c r="DN64" s="125"/>
      <c r="DO64" s="125"/>
      <c r="DP64" s="125"/>
      <c r="DQ64" s="125"/>
      <c r="DR64" s="125"/>
      <c r="DS64" s="125"/>
      <c r="DT64" s="125"/>
      <c r="DU64" s="125"/>
      <c r="DV64" s="125"/>
      <c r="DW64" s="125"/>
      <c r="DX64" s="125"/>
      <c r="DY64" s="125"/>
      <c r="DZ64" s="125"/>
      <c r="EA64" s="125"/>
      <c r="EB64" s="125"/>
      <c r="EC64" s="125"/>
      <c r="ED64" s="125"/>
      <c r="EE64" s="125"/>
      <c r="EF64" s="125"/>
      <c r="EG64" s="125"/>
      <c r="EH64" s="125"/>
      <c r="EI64" s="125"/>
      <c r="EJ64" s="125"/>
      <c r="EK64" s="125"/>
      <c r="EL64" s="125"/>
      <c r="EM64" s="125"/>
      <c r="EN64" s="125"/>
      <c r="EO64" s="125"/>
      <c r="EP64" s="125"/>
      <c r="EQ64" s="125"/>
      <c r="ER64" s="125"/>
      <c r="ES64" s="125"/>
      <c r="ET64" s="125"/>
      <c r="EU64" s="125"/>
      <c r="EV64" s="125"/>
      <c r="EW64" s="125"/>
      <c r="EX64" s="125"/>
      <c r="EY64" s="125"/>
      <c r="EZ64" s="125"/>
      <c r="FA64" s="125"/>
      <c r="FB64" s="125"/>
      <c r="FC64" s="125"/>
      <c r="FD64" s="125"/>
      <c r="FE64" s="125"/>
    </row>
    <row r="65" hidden="1" outlineLevel="1">
      <c r="A65" s="94"/>
      <c r="B65" s="94"/>
      <c r="C65" s="94"/>
      <c r="D65" s="94"/>
      <c r="E65" s="94"/>
      <c r="F65" s="94"/>
      <c r="G65" s="94"/>
      <c r="H65" s="94"/>
      <c r="I65" s="94"/>
      <c r="J65" s="94"/>
      <c r="K65" s="94"/>
      <c r="L65" s="94"/>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145"/>
      <c r="DD65" s="145" t="s">
        <v>4189</v>
      </c>
      <c r="DE65" s="145"/>
      <c r="DF65" s="145"/>
      <c r="DG65" s="145" t="s">
        <v>4246</v>
      </c>
      <c r="DH65" s="146"/>
      <c r="DI65" s="125"/>
      <c r="DJ65" s="125"/>
      <c r="DK65" s="125"/>
      <c r="DL65" s="125"/>
      <c r="DM65" s="125"/>
      <c r="DN65" s="125"/>
      <c r="DO65" s="125"/>
      <c r="DP65" s="125"/>
      <c r="DQ65" s="125"/>
      <c r="DR65" s="125"/>
      <c r="DS65" s="125"/>
      <c r="DT65" s="125"/>
      <c r="DU65" s="125"/>
      <c r="DV65" s="125"/>
      <c r="DW65" s="125"/>
      <c r="DX65" s="125"/>
      <c r="DY65" s="125"/>
      <c r="DZ65" s="125"/>
      <c r="EA65" s="125"/>
      <c r="EB65" s="125"/>
      <c r="EC65" s="125"/>
      <c r="ED65" s="125"/>
      <c r="EE65" s="125"/>
      <c r="EF65" s="125"/>
      <c r="EG65" s="125"/>
      <c r="EH65" s="125"/>
      <c r="EI65" s="125"/>
      <c r="EJ65" s="125"/>
      <c r="EK65" s="125"/>
      <c r="EL65" s="125"/>
      <c r="EM65" s="125"/>
      <c r="EN65" s="125"/>
      <c r="EO65" s="125"/>
      <c r="EP65" s="125"/>
      <c r="EQ65" s="125"/>
      <c r="ER65" s="125"/>
      <c r="ES65" s="125"/>
      <c r="ET65" s="125"/>
      <c r="EU65" s="125"/>
      <c r="EV65" s="125"/>
      <c r="EW65" s="125"/>
      <c r="EX65" s="125"/>
      <c r="EY65" s="125"/>
      <c r="EZ65" s="125"/>
      <c r="FA65" s="125"/>
      <c r="FB65" s="125"/>
      <c r="FC65" s="125"/>
      <c r="FD65" s="125"/>
      <c r="FE65" s="125"/>
    </row>
    <row r="66" hidden="1" outlineLevel="1">
      <c r="A66" s="94"/>
      <c r="B66" s="94"/>
      <c r="C66" s="94"/>
      <c r="D66" s="94"/>
      <c r="E66" s="94"/>
      <c r="F66" s="94"/>
      <c r="G66" s="94"/>
      <c r="H66" s="94"/>
      <c r="I66" s="94"/>
      <c r="J66" s="94"/>
      <c r="K66" s="94"/>
      <c r="L66" s="94"/>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145"/>
      <c r="DD66" s="145" t="s">
        <v>4247</v>
      </c>
      <c r="DE66" s="145"/>
      <c r="DF66" s="145"/>
      <c r="DG66" s="145" t="s">
        <v>4248</v>
      </c>
      <c r="DH66" s="146"/>
      <c r="DI66" s="125"/>
      <c r="DJ66" s="125"/>
      <c r="DK66" s="125"/>
      <c r="DL66" s="125"/>
      <c r="DM66" s="125"/>
      <c r="DN66" s="125"/>
      <c r="DO66" s="125"/>
      <c r="DP66" s="125"/>
      <c r="DQ66" s="125"/>
      <c r="DR66" s="125"/>
      <c r="DS66" s="125"/>
      <c r="DT66" s="125"/>
      <c r="DU66" s="125"/>
      <c r="DV66" s="125"/>
      <c r="DW66" s="125"/>
      <c r="DX66" s="125"/>
      <c r="DY66" s="125"/>
      <c r="DZ66" s="125"/>
      <c r="EA66" s="125"/>
      <c r="EB66" s="125"/>
      <c r="EC66" s="125"/>
      <c r="ED66" s="125"/>
      <c r="EE66" s="125"/>
      <c r="EF66" s="125"/>
      <c r="EG66" s="125"/>
      <c r="EH66" s="125"/>
      <c r="EI66" s="125"/>
      <c r="EJ66" s="125"/>
      <c r="EK66" s="125"/>
      <c r="EL66" s="125"/>
      <c r="EM66" s="125"/>
      <c r="EN66" s="125"/>
      <c r="EO66" s="125"/>
      <c r="EP66" s="125"/>
      <c r="EQ66" s="125"/>
      <c r="ER66" s="125"/>
      <c r="ES66" s="125"/>
      <c r="ET66" s="125"/>
      <c r="EU66" s="125"/>
      <c r="EV66" s="125"/>
      <c r="EW66" s="125"/>
      <c r="EX66" s="125"/>
      <c r="EY66" s="125"/>
      <c r="EZ66" s="125"/>
      <c r="FA66" s="125"/>
      <c r="FB66" s="125"/>
      <c r="FC66" s="125"/>
      <c r="FD66" s="125"/>
      <c r="FE66" s="125"/>
    </row>
    <row r="67" hidden="1" outlineLevel="1">
      <c r="A67" s="94"/>
      <c r="B67" s="94"/>
      <c r="C67" s="94"/>
      <c r="D67" s="94"/>
      <c r="E67" s="94"/>
      <c r="F67" s="94"/>
      <c r="G67" s="94"/>
      <c r="H67" s="94"/>
      <c r="I67" s="94"/>
      <c r="J67" s="94"/>
      <c r="K67" s="94"/>
      <c r="L67" s="94"/>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145"/>
      <c r="DD67" s="145" t="s">
        <v>4249</v>
      </c>
      <c r="DE67" s="145"/>
      <c r="DF67" s="145"/>
      <c r="DG67" s="145" t="s">
        <v>4250</v>
      </c>
      <c r="DH67" s="146"/>
      <c r="DI67" s="125"/>
      <c r="DJ67" s="125"/>
      <c r="DK67" s="125"/>
      <c r="DL67" s="125"/>
      <c r="DM67" s="125"/>
      <c r="DN67" s="125"/>
      <c r="DO67" s="125"/>
      <c r="DP67" s="125"/>
      <c r="DQ67" s="125"/>
      <c r="DR67" s="125"/>
      <c r="DS67" s="125"/>
      <c r="DT67" s="125"/>
      <c r="DU67" s="125"/>
      <c r="DV67" s="125"/>
      <c r="DW67" s="125"/>
      <c r="DX67" s="125"/>
      <c r="DY67" s="125"/>
      <c r="DZ67" s="125"/>
      <c r="EA67" s="125"/>
      <c r="EB67" s="125"/>
      <c r="EC67" s="125"/>
      <c r="ED67" s="125"/>
      <c r="EE67" s="125"/>
      <c r="EF67" s="125"/>
      <c r="EG67" s="125"/>
      <c r="EH67" s="125"/>
      <c r="EI67" s="125"/>
      <c r="EJ67" s="125"/>
      <c r="EK67" s="125"/>
      <c r="EL67" s="125"/>
      <c r="EM67" s="125"/>
      <c r="EN67" s="125"/>
      <c r="EO67" s="125"/>
      <c r="EP67" s="125"/>
      <c r="EQ67" s="125"/>
      <c r="ER67" s="125"/>
      <c r="ES67" s="125"/>
      <c r="ET67" s="125"/>
      <c r="EU67" s="125"/>
      <c r="EV67" s="125"/>
      <c r="EW67" s="125"/>
      <c r="EX67" s="125"/>
      <c r="EY67" s="125"/>
      <c r="EZ67" s="125"/>
      <c r="FA67" s="125"/>
      <c r="FB67" s="125"/>
      <c r="FC67" s="125"/>
      <c r="FD67" s="125"/>
      <c r="FE67" s="125"/>
    </row>
    <row r="68" hidden="1" outlineLevel="1">
      <c r="A68" s="94"/>
      <c r="B68" s="94"/>
      <c r="C68" s="94"/>
      <c r="D68" s="94"/>
      <c r="E68" s="94"/>
      <c r="F68" s="94"/>
      <c r="G68" s="94"/>
      <c r="H68" s="94"/>
      <c r="I68" s="94"/>
      <c r="J68" s="94"/>
      <c r="K68" s="94"/>
      <c r="L68" s="94"/>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145"/>
      <c r="DD68" s="145" t="s">
        <v>4251</v>
      </c>
      <c r="DE68" s="145"/>
      <c r="DF68" s="145"/>
      <c r="DG68" s="145" t="s">
        <v>4252</v>
      </c>
      <c r="DH68" s="146"/>
      <c r="DI68" s="125"/>
      <c r="DJ68" s="125"/>
      <c r="DK68" s="125"/>
      <c r="DL68" s="125"/>
      <c r="DM68" s="125"/>
      <c r="DN68" s="125"/>
      <c r="DO68" s="125"/>
      <c r="DP68" s="125"/>
      <c r="DQ68" s="125"/>
      <c r="DR68" s="125"/>
      <c r="DS68" s="125"/>
      <c r="DT68" s="125"/>
      <c r="DU68" s="125"/>
      <c r="DV68" s="125"/>
      <c r="DW68" s="125"/>
      <c r="DX68" s="125"/>
      <c r="DY68" s="125"/>
      <c r="DZ68" s="125"/>
      <c r="EA68" s="125"/>
      <c r="EB68" s="125"/>
      <c r="EC68" s="125"/>
      <c r="ED68" s="125"/>
      <c r="EE68" s="125"/>
      <c r="EF68" s="125"/>
      <c r="EG68" s="125"/>
      <c r="EH68" s="125"/>
      <c r="EI68" s="125"/>
      <c r="EJ68" s="125"/>
      <c r="EK68" s="125"/>
      <c r="EL68" s="125"/>
      <c r="EM68" s="125"/>
      <c r="EN68" s="125"/>
      <c r="EO68" s="125"/>
      <c r="EP68" s="125"/>
      <c r="EQ68" s="125"/>
      <c r="ER68" s="125"/>
      <c r="ES68" s="125"/>
      <c r="ET68" s="125"/>
      <c r="EU68" s="125"/>
      <c r="EV68" s="125"/>
      <c r="EW68" s="125"/>
      <c r="EX68" s="125"/>
      <c r="EY68" s="125"/>
      <c r="EZ68" s="125"/>
      <c r="FA68" s="125"/>
      <c r="FB68" s="125"/>
      <c r="FC68" s="125"/>
      <c r="FD68" s="125"/>
      <c r="FE68" s="125"/>
    </row>
    <row r="69" hidden="1" outlineLevel="1">
      <c r="A69" s="94"/>
      <c r="B69" s="94"/>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145"/>
      <c r="DD69" s="145" t="s">
        <v>4253</v>
      </c>
      <c r="DE69" s="145"/>
      <c r="DF69" s="145"/>
      <c r="DG69" s="145" t="s">
        <v>4254</v>
      </c>
      <c r="DH69" s="146"/>
      <c r="DI69" s="125"/>
      <c r="DJ69" s="125"/>
      <c r="DK69" s="125"/>
      <c r="DL69" s="125"/>
      <c r="DM69" s="125"/>
      <c r="DN69" s="125"/>
      <c r="DO69" s="125"/>
      <c r="DP69" s="125"/>
      <c r="DQ69" s="125"/>
      <c r="DR69" s="125"/>
      <c r="DS69" s="125"/>
      <c r="DT69" s="125"/>
      <c r="DU69" s="125"/>
      <c r="DV69" s="125"/>
      <c r="DW69" s="125"/>
      <c r="DX69" s="125"/>
      <c r="DY69" s="125"/>
      <c r="DZ69" s="125"/>
      <c r="EA69" s="125"/>
      <c r="EB69" s="125"/>
      <c r="EC69" s="125"/>
      <c r="ED69" s="125"/>
      <c r="EE69" s="125"/>
      <c r="EF69" s="125"/>
      <c r="EG69" s="125"/>
      <c r="EH69" s="125"/>
      <c r="EI69" s="125"/>
      <c r="EJ69" s="125"/>
      <c r="EK69" s="125"/>
      <c r="EL69" s="125"/>
      <c r="EM69" s="125"/>
      <c r="EN69" s="125"/>
      <c r="EO69" s="125"/>
      <c r="EP69" s="125"/>
      <c r="EQ69" s="125"/>
      <c r="ER69" s="125"/>
      <c r="ES69" s="125"/>
      <c r="ET69" s="125"/>
      <c r="EU69" s="125"/>
      <c r="EV69" s="125"/>
      <c r="EW69" s="125"/>
      <c r="EX69" s="125"/>
      <c r="EY69" s="125"/>
      <c r="EZ69" s="125"/>
      <c r="FA69" s="125"/>
      <c r="FB69" s="125"/>
      <c r="FC69" s="125"/>
      <c r="FD69" s="125"/>
      <c r="FE69" s="125"/>
    </row>
    <row r="70" hidden="1" outlineLevel="1">
      <c r="A70" s="94"/>
      <c r="B70" s="94"/>
      <c r="C70" s="94"/>
      <c r="D70" s="94"/>
      <c r="E70" s="94"/>
      <c r="F70" s="94"/>
      <c r="G70" s="94"/>
      <c r="H70" s="94"/>
      <c r="I70" s="94"/>
      <c r="J70" s="94"/>
      <c r="K70" s="94"/>
      <c r="L70" s="94"/>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145"/>
      <c r="DD70" s="145" t="s">
        <v>4251</v>
      </c>
      <c r="DE70" s="145"/>
      <c r="DF70" s="145"/>
      <c r="DG70" s="145" t="s">
        <v>4185</v>
      </c>
      <c r="DH70" s="146"/>
      <c r="DI70" s="125"/>
      <c r="DJ70" s="125"/>
      <c r="DK70" s="125"/>
      <c r="DL70" s="125"/>
      <c r="DM70" s="125"/>
      <c r="DN70" s="125"/>
      <c r="DO70" s="125"/>
      <c r="DP70" s="125"/>
      <c r="DQ70" s="125"/>
      <c r="DR70" s="125"/>
      <c r="DS70" s="125"/>
      <c r="DT70" s="125"/>
      <c r="DU70" s="125"/>
      <c r="DV70" s="125"/>
      <c r="DW70" s="125"/>
      <c r="DX70" s="125"/>
      <c r="DY70" s="125"/>
      <c r="DZ70" s="125"/>
      <c r="EA70" s="125"/>
      <c r="EB70" s="125"/>
      <c r="EC70" s="125"/>
      <c r="ED70" s="125"/>
      <c r="EE70" s="125"/>
      <c r="EF70" s="125"/>
      <c r="EG70" s="125"/>
      <c r="EH70" s="125"/>
      <c r="EI70" s="125"/>
      <c r="EJ70" s="125"/>
      <c r="EK70" s="125"/>
      <c r="EL70" s="125"/>
      <c r="EM70" s="125"/>
      <c r="EN70" s="125"/>
      <c r="EO70" s="125"/>
      <c r="EP70" s="125"/>
      <c r="EQ70" s="125"/>
      <c r="ER70" s="125"/>
      <c r="ES70" s="125"/>
      <c r="ET70" s="125"/>
      <c r="EU70" s="125"/>
      <c r="EV70" s="125"/>
      <c r="EW70" s="125"/>
      <c r="EX70" s="125"/>
      <c r="EY70" s="125"/>
      <c r="EZ70" s="125"/>
      <c r="FA70" s="125"/>
      <c r="FB70" s="125"/>
      <c r="FC70" s="125"/>
      <c r="FD70" s="125"/>
      <c r="FE70" s="125"/>
    </row>
    <row r="71" hidden="1" outlineLevel="1">
      <c r="A71" s="94"/>
      <c r="B71" s="94"/>
      <c r="C71" s="94"/>
      <c r="D71" s="94"/>
      <c r="E71" s="94"/>
      <c r="F71" s="94"/>
      <c r="G71" s="94"/>
      <c r="H71" s="94"/>
      <c r="I71" s="94"/>
      <c r="J71" s="94"/>
      <c r="K71" s="94"/>
      <c r="L71" s="94"/>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145"/>
      <c r="DD71" s="145"/>
      <c r="DE71" s="145"/>
      <c r="DF71" s="145"/>
      <c r="DG71" s="145" t="s">
        <v>4255</v>
      </c>
      <c r="DH71" s="146"/>
      <c r="DI71" s="125"/>
      <c r="DJ71" s="125"/>
      <c r="DK71" s="125"/>
      <c r="DL71" s="125"/>
      <c r="DM71" s="125"/>
      <c r="DN71" s="125"/>
      <c r="DO71" s="125"/>
      <c r="DP71" s="125"/>
      <c r="DQ71" s="125"/>
      <c r="DR71" s="125"/>
      <c r="DS71" s="125"/>
      <c r="DT71" s="125"/>
      <c r="DU71" s="125"/>
      <c r="DV71" s="125"/>
      <c r="DW71" s="125"/>
      <c r="DX71" s="125"/>
      <c r="DY71" s="125"/>
      <c r="DZ71" s="125"/>
      <c r="EA71" s="125"/>
      <c r="EB71" s="125"/>
      <c r="EC71" s="125"/>
      <c r="ED71" s="125"/>
      <c r="EE71" s="125"/>
      <c r="EF71" s="125"/>
      <c r="EG71" s="125"/>
      <c r="EH71" s="125"/>
      <c r="EI71" s="125"/>
      <c r="EJ71" s="125"/>
      <c r="EK71" s="125"/>
      <c r="EL71" s="125"/>
      <c r="EM71" s="125"/>
      <c r="EN71" s="125"/>
      <c r="EO71" s="125"/>
      <c r="EP71" s="125"/>
      <c r="EQ71" s="125"/>
      <c r="ER71" s="125"/>
      <c r="ES71" s="125"/>
      <c r="ET71" s="125"/>
      <c r="EU71" s="125"/>
      <c r="EV71" s="125"/>
      <c r="EW71" s="125"/>
      <c r="EX71" s="125"/>
      <c r="EY71" s="125"/>
      <c r="EZ71" s="125"/>
      <c r="FA71" s="125"/>
      <c r="FB71" s="125"/>
      <c r="FC71" s="125"/>
      <c r="FD71" s="125"/>
      <c r="FE71" s="125"/>
    </row>
  </sheetData>
  <conditionalFormatting sqref="AQ2:AT2">
    <cfRule type="cellIs" dxfId="0" priority="1" operator="lessThanOrEqual">
      <formula>-1</formula>
    </cfRule>
  </conditionalFormatting>
  <conditionalFormatting sqref="AJ2:BE4">
    <cfRule type="cellIs" dxfId="1" priority="2" operator="greaterThanOrEqual">
      <formula>1</formula>
    </cfRule>
  </conditionalFormatting>
  <conditionalFormatting sqref="AJ2:BE4">
    <cfRule type="cellIs" dxfId="0" priority="3" operator="lessThanOrEqual">
      <formula>0.1</formula>
    </cfRule>
  </conditionalFormatting>
  <conditionalFormatting sqref="C2:C23 C25:C41">
    <cfRule type="cellIs" dxfId="2" priority="4" operator="notBetween">
      <formula>20000</formula>
      <formula>65000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5.63"/>
  </cols>
  <sheetData>
    <row r="1">
      <c r="A1" s="148"/>
      <c r="B1" s="148" t="s">
        <v>26</v>
      </c>
      <c r="C1" s="148" t="s">
        <v>4256</v>
      </c>
      <c r="D1" s="148" t="s">
        <v>4257</v>
      </c>
      <c r="E1" s="148" t="s">
        <v>4258</v>
      </c>
      <c r="F1" s="148" t="s">
        <v>4259</v>
      </c>
      <c r="G1" s="148" t="s">
        <v>4260</v>
      </c>
      <c r="H1" s="148" t="s">
        <v>4261</v>
      </c>
      <c r="I1" s="148" t="s">
        <v>4262</v>
      </c>
      <c r="J1" s="148" t="s">
        <v>4263</v>
      </c>
      <c r="K1" s="148" t="s">
        <v>4264</v>
      </c>
      <c r="L1" s="148" t="s">
        <v>4265</v>
      </c>
    </row>
    <row r="2">
      <c r="A2" s="149">
        <v>1.0</v>
      </c>
      <c r="B2" s="150">
        <v>46023.0</v>
      </c>
      <c r="C2" s="151">
        <v>0.6183449074074074</v>
      </c>
      <c r="D2" s="87" t="s">
        <v>108</v>
      </c>
      <c r="E2" s="87" t="s">
        <v>91</v>
      </c>
      <c r="F2" s="87" t="s">
        <v>4266</v>
      </c>
      <c r="G2" s="87" t="s">
        <v>4267</v>
      </c>
      <c r="H2" s="87" t="s">
        <v>4268</v>
      </c>
      <c r="I2" s="152">
        <v>65.0</v>
      </c>
      <c r="J2" s="152">
        <v>69.15</v>
      </c>
      <c r="K2" s="152">
        <v>4494.75</v>
      </c>
      <c r="L2" s="87" t="s">
        <v>4269</v>
      </c>
    </row>
    <row r="3">
      <c r="A3" s="149">
        <v>2.0</v>
      </c>
      <c r="B3" s="150">
        <v>46023.0</v>
      </c>
      <c r="C3" s="151">
        <v>0.6250462962962963</v>
      </c>
      <c r="D3" s="87" t="s">
        <v>108</v>
      </c>
      <c r="E3" s="87" t="s">
        <v>92</v>
      </c>
      <c r="F3" s="87" t="s">
        <v>4266</v>
      </c>
      <c r="G3" s="87" t="s">
        <v>4267</v>
      </c>
      <c r="H3" s="87" t="s">
        <v>4268</v>
      </c>
      <c r="I3" s="152">
        <v>65.0</v>
      </c>
      <c r="J3" s="152">
        <v>65.05</v>
      </c>
      <c r="K3" s="152">
        <v>4228.25</v>
      </c>
      <c r="L3" s="87" t="s">
        <v>4269</v>
      </c>
    </row>
    <row r="4">
      <c r="A4" s="149">
        <v>3.0</v>
      </c>
      <c r="B4" s="150">
        <v>46023.0</v>
      </c>
      <c r="C4" s="151">
        <v>0.635613425925926</v>
      </c>
      <c r="D4" s="87" t="s">
        <v>108</v>
      </c>
      <c r="E4" s="87" t="s">
        <v>91</v>
      </c>
      <c r="F4" s="87" t="s">
        <v>4270</v>
      </c>
      <c r="G4" s="87" t="s">
        <v>4267</v>
      </c>
      <c r="H4" s="87" t="s">
        <v>4268</v>
      </c>
      <c r="I4" s="152">
        <v>65.0</v>
      </c>
      <c r="J4" s="152">
        <v>71.6</v>
      </c>
      <c r="K4" s="152">
        <v>4654.0</v>
      </c>
      <c r="L4" s="87" t="s">
        <v>4269</v>
      </c>
    </row>
    <row r="5">
      <c r="A5" s="149">
        <v>4.0</v>
      </c>
      <c r="B5" s="150">
        <v>46023.0</v>
      </c>
      <c r="C5" s="151">
        <v>0.6371064814814815</v>
      </c>
      <c r="D5" s="87" t="s">
        <v>108</v>
      </c>
      <c r="E5" s="87" t="s">
        <v>92</v>
      </c>
      <c r="F5" s="87" t="s">
        <v>4270</v>
      </c>
      <c r="G5" s="87" t="s">
        <v>4267</v>
      </c>
      <c r="H5" s="87" t="s">
        <v>4268</v>
      </c>
      <c r="I5" s="152">
        <v>65.0</v>
      </c>
      <c r="J5" s="152">
        <v>71.45</v>
      </c>
      <c r="K5" s="152">
        <v>4644.25</v>
      </c>
      <c r="L5" s="87" t="s">
        <v>4269</v>
      </c>
    </row>
    <row r="6">
      <c r="A6" s="149">
        <v>5.0</v>
      </c>
      <c r="B6" s="150">
        <v>46024.0</v>
      </c>
      <c r="C6" s="151">
        <v>0.3868287037037037</v>
      </c>
      <c r="D6" s="87" t="s">
        <v>110</v>
      </c>
      <c r="E6" s="87" t="s">
        <v>91</v>
      </c>
      <c r="F6" s="87" t="s">
        <v>4266</v>
      </c>
      <c r="G6" s="87" t="s">
        <v>4267</v>
      </c>
      <c r="H6" s="87" t="s">
        <v>4268</v>
      </c>
      <c r="I6" s="152">
        <v>65.0</v>
      </c>
      <c r="J6" s="152">
        <v>71.75</v>
      </c>
      <c r="K6" s="152">
        <v>4663.75</v>
      </c>
      <c r="L6" s="87" t="s">
        <v>4269</v>
      </c>
    </row>
    <row r="7">
      <c r="A7" s="149">
        <v>6.0</v>
      </c>
      <c r="B7" s="150">
        <v>46024.0</v>
      </c>
      <c r="C7" s="151">
        <v>0.3909837962962963</v>
      </c>
      <c r="D7" s="87" t="s">
        <v>110</v>
      </c>
      <c r="E7" s="87" t="s">
        <v>92</v>
      </c>
      <c r="F7" s="87" t="s">
        <v>4266</v>
      </c>
      <c r="G7" s="87" t="s">
        <v>4267</v>
      </c>
      <c r="H7" s="87" t="s">
        <v>4268</v>
      </c>
      <c r="I7" s="152">
        <v>65.0</v>
      </c>
      <c r="J7" s="152">
        <v>65.35</v>
      </c>
      <c r="K7" s="152">
        <v>4247.75</v>
      </c>
      <c r="L7" s="87" t="s">
        <v>4269</v>
      </c>
    </row>
    <row r="8">
      <c r="A8" s="149">
        <v>7.0</v>
      </c>
      <c r="B8" s="150">
        <v>46024.0</v>
      </c>
      <c r="C8" s="151">
        <v>0.39238425925925924</v>
      </c>
      <c r="D8" s="87" t="s">
        <v>113</v>
      </c>
      <c r="E8" s="87" t="s">
        <v>91</v>
      </c>
      <c r="F8" s="87" t="s">
        <v>4266</v>
      </c>
      <c r="G8" s="87" t="s">
        <v>4267</v>
      </c>
      <c r="H8" s="87" t="s">
        <v>4268</v>
      </c>
      <c r="I8" s="152">
        <v>65.0</v>
      </c>
      <c r="J8" s="152">
        <v>77.3</v>
      </c>
      <c r="K8" s="152">
        <v>5024.5</v>
      </c>
      <c r="L8" s="87" t="s">
        <v>4269</v>
      </c>
    </row>
    <row r="9">
      <c r="A9" s="149">
        <v>8.0</v>
      </c>
      <c r="B9" s="150">
        <v>46024.0</v>
      </c>
      <c r="C9" s="151">
        <v>0.4061111111111111</v>
      </c>
      <c r="D9" s="87" t="s">
        <v>113</v>
      </c>
      <c r="E9" s="87" t="s">
        <v>92</v>
      </c>
      <c r="F9" s="87" t="s">
        <v>4266</v>
      </c>
      <c r="G9" s="87" t="s">
        <v>4267</v>
      </c>
      <c r="H9" s="87" t="s">
        <v>4268</v>
      </c>
      <c r="I9" s="152">
        <v>65.0</v>
      </c>
      <c r="J9" s="152">
        <v>111.6</v>
      </c>
      <c r="K9" s="152">
        <v>7254.0</v>
      </c>
      <c r="L9" s="87" t="s">
        <v>4269</v>
      </c>
    </row>
    <row r="10">
      <c r="A10" s="149">
        <v>9.0</v>
      </c>
      <c r="B10" s="150">
        <v>46024.0</v>
      </c>
      <c r="C10" s="151">
        <v>0.4562847222222222</v>
      </c>
      <c r="D10" s="87" t="s">
        <v>116</v>
      </c>
      <c r="E10" s="87" t="s">
        <v>91</v>
      </c>
      <c r="F10" s="87" t="s">
        <v>4266</v>
      </c>
      <c r="G10" s="87" t="s">
        <v>4267</v>
      </c>
      <c r="H10" s="87" t="s">
        <v>4268</v>
      </c>
      <c r="I10" s="152">
        <v>65.0</v>
      </c>
      <c r="J10" s="152">
        <v>59.75</v>
      </c>
      <c r="K10" s="152">
        <v>3883.75</v>
      </c>
      <c r="L10" s="87" t="s">
        <v>4269</v>
      </c>
    </row>
    <row r="11">
      <c r="A11" s="149">
        <v>10.0</v>
      </c>
      <c r="B11" s="150">
        <v>46024.0</v>
      </c>
      <c r="C11" s="151">
        <v>0.4750347222222222</v>
      </c>
      <c r="D11" s="87" t="s">
        <v>116</v>
      </c>
      <c r="E11" s="87" t="s">
        <v>92</v>
      </c>
      <c r="F11" s="87" t="s">
        <v>4266</v>
      </c>
      <c r="G11" s="87" t="s">
        <v>4267</v>
      </c>
      <c r="H11" s="87" t="s">
        <v>4268</v>
      </c>
      <c r="I11" s="152">
        <v>65.0</v>
      </c>
      <c r="J11" s="152">
        <v>55.6</v>
      </c>
      <c r="K11" s="152">
        <v>3614.0</v>
      </c>
      <c r="L11" s="87" t="s">
        <v>4269</v>
      </c>
    </row>
    <row r="12">
      <c r="A12" s="149">
        <v>11.0</v>
      </c>
      <c r="B12" s="150">
        <v>46027.0</v>
      </c>
      <c r="C12" s="151">
        <v>0.40003472222222225</v>
      </c>
      <c r="D12" s="87" t="s">
        <v>119</v>
      </c>
      <c r="E12" s="87" t="s">
        <v>91</v>
      </c>
      <c r="F12" s="87" t="s">
        <v>4266</v>
      </c>
      <c r="G12" s="87" t="s">
        <v>4267</v>
      </c>
      <c r="H12" s="87" t="s">
        <v>4268</v>
      </c>
      <c r="I12" s="152">
        <v>65.0</v>
      </c>
      <c r="J12" s="152">
        <v>71.35</v>
      </c>
      <c r="K12" s="152">
        <v>4637.75</v>
      </c>
      <c r="L12" s="87" t="s">
        <v>4269</v>
      </c>
    </row>
    <row r="13">
      <c r="A13" s="149">
        <v>12.0</v>
      </c>
      <c r="B13" s="150">
        <v>46027.0</v>
      </c>
      <c r="C13" s="151">
        <v>0.40038194444444447</v>
      </c>
      <c r="D13" s="87" t="s">
        <v>119</v>
      </c>
      <c r="E13" s="87" t="s">
        <v>92</v>
      </c>
      <c r="F13" s="87" t="s">
        <v>4266</v>
      </c>
      <c r="G13" s="87" t="s">
        <v>4267</v>
      </c>
      <c r="H13" s="87" t="s">
        <v>4268</v>
      </c>
      <c r="I13" s="152">
        <v>65.0</v>
      </c>
      <c r="J13" s="152">
        <v>74.9</v>
      </c>
      <c r="K13" s="152">
        <v>4868.5</v>
      </c>
      <c r="L13" s="87" t="s">
        <v>4269</v>
      </c>
    </row>
    <row r="14">
      <c r="A14" s="149">
        <v>13.0</v>
      </c>
      <c r="B14" s="150">
        <v>46027.0</v>
      </c>
      <c r="C14" s="151">
        <v>0.40975694444444444</v>
      </c>
      <c r="D14" s="87" t="s">
        <v>120</v>
      </c>
      <c r="E14" s="87" t="s">
        <v>91</v>
      </c>
      <c r="F14" s="87" t="s">
        <v>4266</v>
      </c>
      <c r="G14" s="87" t="s">
        <v>4267</v>
      </c>
      <c r="H14" s="87" t="s">
        <v>4268</v>
      </c>
      <c r="I14" s="152">
        <v>65.0</v>
      </c>
      <c r="J14" s="152">
        <v>61.8</v>
      </c>
      <c r="K14" s="152">
        <v>4017.0</v>
      </c>
      <c r="L14" s="87" t="s">
        <v>4269</v>
      </c>
    </row>
    <row r="15">
      <c r="A15" s="149">
        <v>14.0</v>
      </c>
      <c r="B15" s="150">
        <v>46027.0</v>
      </c>
      <c r="C15" s="151">
        <v>0.41443287037037035</v>
      </c>
      <c r="D15" s="87" t="s">
        <v>120</v>
      </c>
      <c r="E15" s="87" t="s">
        <v>92</v>
      </c>
      <c r="F15" s="87" t="s">
        <v>4266</v>
      </c>
      <c r="G15" s="87" t="s">
        <v>4267</v>
      </c>
      <c r="H15" s="87" t="s">
        <v>4268</v>
      </c>
      <c r="I15" s="152">
        <v>65.0</v>
      </c>
      <c r="J15" s="152">
        <v>72.65</v>
      </c>
      <c r="K15" s="152">
        <v>4722.25</v>
      </c>
      <c r="L15" s="87" t="s">
        <v>4269</v>
      </c>
    </row>
    <row r="16">
      <c r="A16" s="149">
        <v>15.0</v>
      </c>
      <c r="B16" s="150">
        <v>46027.0</v>
      </c>
      <c r="C16" s="151">
        <v>0.4250115740740741</v>
      </c>
      <c r="D16" s="87" t="s">
        <v>119</v>
      </c>
      <c r="E16" s="87" t="s">
        <v>91</v>
      </c>
      <c r="F16" s="87" t="s">
        <v>4266</v>
      </c>
      <c r="G16" s="87" t="s">
        <v>4267</v>
      </c>
      <c r="H16" s="87" t="s">
        <v>4268</v>
      </c>
      <c r="I16" s="152">
        <v>65.0</v>
      </c>
      <c r="J16" s="152">
        <v>42.75</v>
      </c>
      <c r="K16" s="152">
        <v>2778.75</v>
      </c>
      <c r="L16" s="87" t="s">
        <v>4269</v>
      </c>
    </row>
    <row r="17">
      <c r="A17" s="149">
        <v>16.0</v>
      </c>
      <c r="B17" s="150">
        <v>46027.0</v>
      </c>
      <c r="C17" s="151">
        <v>0.4250347222222222</v>
      </c>
      <c r="D17" s="87" t="s">
        <v>119</v>
      </c>
      <c r="E17" s="87" t="s">
        <v>92</v>
      </c>
      <c r="F17" s="87" t="s">
        <v>4266</v>
      </c>
      <c r="G17" s="87" t="s">
        <v>4267</v>
      </c>
      <c r="H17" s="87" t="s">
        <v>4268</v>
      </c>
      <c r="I17" s="152">
        <v>65.0</v>
      </c>
      <c r="J17" s="152">
        <v>42.7</v>
      </c>
      <c r="K17" s="152">
        <v>2775.5</v>
      </c>
      <c r="L17" s="87" t="s">
        <v>4269</v>
      </c>
    </row>
    <row r="18">
      <c r="A18" s="149">
        <v>17.0</v>
      </c>
      <c r="B18" s="150">
        <v>46027.0</v>
      </c>
      <c r="C18" s="151">
        <v>0.44653935185185184</v>
      </c>
      <c r="D18" s="87" t="s">
        <v>121</v>
      </c>
      <c r="E18" s="87" t="s">
        <v>91</v>
      </c>
      <c r="F18" s="87" t="s">
        <v>4266</v>
      </c>
      <c r="G18" s="87" t="s">
        <v>4267</v>
      </c>
      <c r="H18" s="87" t="s">
        <v>4268</v>
      </c>
      <c r="I18" s="152">
        <v>65.0</v>
      </c>
      <c r="J18" s="152">
        <v>60.75</v>
      </c>
      <c r="K18" s="152">
        <v>3948.75</v>
      </c>
      <c r="L18" s="87" t="s">
        <v>4269</v>
      </c>
    </row>
    <row r="19">
      <c r="A19" s="149">
        <v>18.0</v>
      </c>
      <c r="B19" s="150">
        <v>46027.0</v>
      </c>
      <c r="C19" s="151">
        <v>0.44863425925925926</v>
      </c>
      <c r="D19" s="87" t="s">
        <v>121</v>
      </c>
      <c r="E19" s="87" t="s">
        <v>92</v>
      </c>
      <c r="F19" s="87" t="s">
        <v>4266</v>
      </c>
      <c r="G19" s="87" t="s">
        <v>4267</v>
      </c>
      <c r="H19" s="87" t="s">
        <v>4268</v>
      </c>
      <c r="I19" s="152">
        <v>65.0</v>
      </c>
      <c r="J19" s="152">
        <v>53.1</v>
      </c>
      <c r="K19" s="152">
        <v>3451.5</v>
      </c>
      <c r="L19" s="87" t="s">
        <v>4269</v>
      </c>
    </row>
    <row r="20">
      <c r="A20" s="149">
        <v>19.0</v>
      </c>
      <c r="B20" s="150">
        <v>46027.0</v>
      </c>
      <c r="C20" s="151">
        <v>0.45840277777777777</v>
      </c>
      <c r="D20" s="87" t="s">
        <v>121</v>
      </c>
      <c r="E20" s="87" t="s">
        <v>91</v>
      </c>
      <c r="F20" s="87" t="s">
        <v>4266</v>
      </c>
      <c r="G20" s="87" t="s">
        <v>4267</v>
      </c>
      <c r="H20" s="87" t="s">
        <v>4268</v>
      </c>
      <c r="I20" s="152">
        <v>65.0</v>
      </c>
      <c r="J20" s="152">
        <v>54.9</v>
      </c>
      <c r="K20" s="152">
        <v>3568.5</v>
      </c>
      <c r="L20" s="87" t="s">
        <v>4269</v>
      </c>
    </row>
    <row r="21">
      <c r="A21" s="149">
        <v>20.0</v>
      </c>
      <c r="B21" s="150">
        <v>46027.0</v>
      </c>
      <c r="C21" s="151">
        <v>0.46045138888888887</v>
      </c>
      <c r="D21" s="87" t="s">
        <v>121</v>
      </c>
      <c r="E21" s="87" t="s">
        <v>92</v>
      </c>
      <c r="F21" s="87" t="s">
        <v>4266</v>
      </c>
      <c r="G21" s="87" t="s">
        <v>4267</v>
      </c>
      <c r="H21" s="87" t="s">
        <v>4268</v>
      </c>
      <c r="I21" s="152">
        <v>65.0</v>
      </c>
      <c r="J21" s="152">
        <v>48.55</v>
      </c>
      <c r="K21" s="152">
        <v>3155.75</v>
      </c>
      <c r="L21" s="87" t="s">
        <v>4269</v>
      </c>
    </row>
    <row r="22">
      <c r="A22" s="149">
        <v>21.0</v>
      </c>
      <c r="B22" s="150">
        <v>46028.0</v>
      </c>
      <c r="C22" s="151">
        <v>0.4322916666666667</v>
      </c>
      <c r="D22" s="87" t="s">
        <v>122</v>
      </c>
      <c r="E22" s="87" t="s">
        <v>91</v>
      </c>
      <c r="F22" s="87" t="s">
        <v>4270</v>
      </c>
      <c r="G22" s="87" t="s">
        <v>4267</v>
      </c>
      <c r="H22" s="87" t="s">
        <v>4268</v>
      </c>
      <c r="I22" s="152">
        <v>65.0</v>
      </c>
      <c r="J22" s="152">
        <v>108.45</v>
      </c>
      <c r="K22" s="152">
        <v>7049.25</v>
      </c>
      <c r="L22" s="87" t="s">
        <v>4269</v>
      </c>
    </row>
    <row r="23">
      <c r="A23" s="149">
        <v>22.0</v>
      </c>
      <c r="B23" s="150">
        <v>46028.0</v>
      </c>
      <c r="C23" s="151">
        <v>0.4340625</v>
      </c>
      <c r="D23" s="87" t="s">
        <v>122</v>
      </c>
      <c r="E23" s="87" t="s">
        <v>91</v>
      </c>
      <c r="F23" s="87" t="s">
        <v>4266</v>
      </c>
      <c r="G23" s="87" t="s">
        <v>4267</v>
      </c>
      <c r="H23" s="87" t="s">
        <v>4268</v>
      </c>
      <c r="I23" s="152">
        <v>130.0</v>
      </c>
      <c r="J23" s="152">
        <v>112.85</v>
      </c>
      <c r="K23" s="152">
        <v>14670.5</v>
      </c>
      <c r="L23" s="87" t="s">
        <v>4269</v>
      </c>
    </row>
    <row r="24">
      <c r="A24" s="149">
        <v>23.0</v>
      </c>
      <c r="B24" s="150">
        <v>46028.0</v>
      </c>
      <c r="C24" s="151">
        <v>0.43930555555555556</v>
      </c>
      <c r="D24" s="87" t="s">
        <v>122</v>
      </c>
      <c r="E24" s="87" t="s">
        <v>92</v>
      </c>
      <c r="F24" s="87" t="s">
        <v>4270</v>
      </c>
      <c r="G24" s="87" t="s">
        <v>4267</v>
      </c>
      <c r="H24" s="87" t="s">
        <v>4268</v>
      </c>
      <c r="I24" s="152">
        <v>65.0</v>
      </c>
      <c r="J24" s="152">
        <v>105.65</v>
      </c>
      <c r="K24" s="152">
        <v>6867.25</v>
      </c>
      <c r="L24" s="87" t="s">
        <v>4269</v>
      </c>
    </row>
    <row r="25">
      <c r="A25" s="149">
        <v>24.0</v>
      </c>
      <c r="B25" s="150">
        <v>46028.0</v>
      </c>
      <c r="C25" s="151">
        <v>0.43930555555555556</v>
      </c>
      <c r="D25" s="87" t="s">
        <v>122</v>
      </c>
      <c r="E25" s="87" t="s">
        <v>92</v>
      </c>
      <c r="F25" s="87" t="s">
        <v>4266</v>
      </c>
      <c r="G25" s="87" t="s">
        <v>4267</v>
      </c>
      <c r="H25" s="87" t="s">
        <v>4268</v>
      </c>
      <c r="I25" s="152">
        <v>130.0</v>
      </c>
      <c r="J25" s="152">
        <v>105.65</v>
      </c>
      <c r="K25" s="152">
        <v>13734.5</v>
      </c>
      <c r="L25" s="87" t="s">
        <v>4269</v>
      </c>
    </row>
    <row r="26">
      <c r="A26" s="149">
        <v>25.0</v>
      </c>
      <c r="B26" s="150">
        <v>46028.0</v>
      </c>
      <c r="C26" s="151">
        <v>0.44200231481481483</v>
      </c>
      <c r="D26" s="87" t="s">
        <v>122</v>
      </c>
      <c r="E26" s="87" t="s">
        <v>91</v>
      </c>
      <c r="F26" s="87" t="s">
        <v>4270</v>
      </c>
      <c r="G26" s="87" t="s">
        <v>4267</v>
      </c>
      <c r="H26" s="87" t="s">
        <v>4268</v>
      </c>
      <c r="I26" s="152">
        <v>65.0</v>
      </c>
      <c r="J26" s="152">
        <v>113.05</v>
      </c>
      <c r="K26" s="152">
        <v>7348.25</v>
      </c>
      <c r="L26" s="87" t="s">
        <v>4269</v>
      </c>
    </row>
    <row r="27">
      <c r="A27" s="149">
        <v>26.0</v>
      </c>
      <c r="B27" s="150">
        <v>46028.0</v>
      </c>
      <c r="C27" s="151">
        <v>0.44592592592592595</v>
      </c>
      <c r="D27" s="87" t="s">
        <v>122</v>
      </c>
      <c r="E27" s="87" t="s">
        <v>92</v>
      </c>
      <c r="F27" s="87" t="s">
        <v>4270</v>
      </c>
      <c r="G27" s="87" t="s">
        <v>4267</v>
      </c>
      <c r="H27" s="87" t="s">
        <v>4268</v>
      </c>
      <c r="I27" s="152">
        <v>65.0</v>
      </c>
      <c r="J27" s="152">
        <v>114.95</v>
      </c>
      <c r="K27" s="152">
        <v>7471.75</v>
      </c>
      <c r="L27" s="87" t="s">
        <v>4269</v>
      </c>
    </row>
    <row r="28">
      <c r="A28" s="149">
        <v>27.0</v>
      </c>
      <c r="B28" s="150">
        <v>46028.0</v>
      </c>
      <c r="C28" s="151">
        <v>0.45488425925925924</v>
      </c>
      <c r="D28" s="87" t="s">
        <v>123</v>
      </c>
      <c r="E28" s="87" t="s">
        <v>91</v>
      </c>
      <c r="F28" s="87" t="s">
        <v>4266</v>
      </c>
      <c r="G28" s="87" t="s">
        <v>4267</v>
      </c>
      <c r="H28" s="87" t="s">
        <v>4268</v>
      </c>
      <c r="I28" s="152">
        <v>130.0</v>
      </c>
      <c r="J28" s="152">
        <v>127.5</v>
      </c>
      <c r="K28" s="152">
        <v>16575.0</v>
      </c>
      <c r="L28" s="87" t="s">
        <v>4269</v>
      </c>
    </row>
    <row r="29">
      <c r="A29" s="149">
        <v>28.0</v>
      </c>
      <c r="B29" s="150">
        <v>46028.0</v>
      </c>
      <c r="C29" s="151">
        <v>0.45818287037037037</v>
      </c>
      <c r="D29" s="87" t="s">
        <v>123</v>
      </c>
      <c r="E29" s="87" t="s">
        <v>92</v>
      </c>
      <c r="F29" s="87" t="s">
        <v>4266</v>
      </c>
      <c r="G29" s="87" t="s">
        <v>4267</v>
      </c>
      <c r="H29" s="87" t="s">
        <v>4268</v>
      </c>
      <c r="I29" s="152">
        <v>130.0</v>
      </c>
      <c r="J29" s="152">
        <v>119.65</v>
      </c>
      <c r="K29" s="152">
        <v>15554.5</v>
      </c>
      <c r="L29" s="87" t="s">
        <v>4269</v>
      </c>
    </row>
    <row r="30">
      <c r="A30" s="149">
        <v>29.0</v>
      </c>
      <c r="B30" s="150">
        <v>46029.0</v>
      </c>
      <c r="C30" s="151">
        <v>0.42010416666666667</v>
      </c>
      <c r="D30" s="87" t="s">
        <v>124</v>
      </c>
      <c r="E30" s="87" t="s">
        <v>91</v>
      </c>
      <c r="F30" s="87" t="s">
        <v>4270</v>
      </c>
      <c r="G30" s="87" t="s">
        <v>4267</v>
      </c>
      <c r="H30" s="87" t="s">
        <v>4268</v>
      </c>
      <c r="I30" s="152">
        <v>130.0</v>
      </c>
      <c r="J30" s="152">
        <v>93.45</v>
      </c>
      <c r="K30" s="152">
        <v>12148.5</v>
      </c>
      <c r="L30" s="87" t="s">
        <v>4269</v>
      </c>
    </row>
    <row r="31">
      <c r="A31" s="149">
        <v>30.0</v>
      </c>
      <c r="B31" s="150">
        <v>46029.0</v>
      </c>
      <c r="C31" s="151">
        <v>0.4272337962962963</v>
      </c>
      <c r="D31" s="87" t="s">
        <v>124</v>
      </c>
      <c r="E31" s="87" t="s">
        <v>92</v>
      </c>
      <c r="F31" s="87" t="s">
        <v>4270</v>
      </c>
      <c r="G31" s="87" t="s">
        <v>4267</v>
      </c>
      <c r="H31" s="87" t="s">
        <v>4268</v>
      </c>
      <c r="I31" s="152">
        <v>130.0</v>
      </c>
      <c r="J31" s="152">
        <v>77.7</v>
      </c>
      <c r="K31" s="152">
        <v>10101.0</v>
      </c>
      <c r="L31" s="87" t="s">
        <v>4269</v>
      </c>
    </row>
    <row r="32">
      <c r="A32" s="149">
        <v>31.0</v>
      </c>
      <c r="B32" s="150">
        <v>46029.0</v>
      </c>
      <c r="C32" s="151">
        <v>0.4437847222222222</v>
      </c>
      <c r="D32" s="87" t="s">
        <v>124</v>
      </c>
      <c r="E32" s="87" t="s">
        <v>91</v>
      </c>
      <c r="F32" s="87" t="s">
        <v>4266</v>
      </c>
      <c r="G32" s="87" t="s">
        <v>4267</v>
      </c>
      <c r="H32" s="87" t="s">
        <v>4268</v>
      </c>
      <c r="I32" s="152">
        <v>130.0</v>
      </c>
      <c r="J32" s="152">
        <v>96.2</v>
      </c>
      <c r="K32" s="152">
        <v>12506.0</v>
      </c>
      <c r="L32" s="87" t="s">
        <v>4269</v>
      </c>
    </row>
    <row r="33">
      <c r="A33" s="149">
        <v>32.0</v>
      </c>
      <c r="B33" s="150">
        <v>46029.0</v>
      </c>
      <c r="C33" s="151">
        <v>0.45210648148148147</v>
      </c>
      <c r="D33" s="87" t="s">
        <v>124</v>
      </c>
      <c r="E33" s="87" t="s">
        <v>92</v>
      </c>
      <c r="F33" s="87" t="s">
        <v>4266</v>
      </c>
      <c r="G33" s="87" t="s">
        <v>4267</v>
      </c>
      <c r="H33" s="87" t="s">
        <v>4268</v>
      </c>
      <c r="I33" s="152">
        <v>130.0</v>
      </c>
      <c r="J33" s="152">
        <v>88.75</v>
      </c>
      <c r="K33" s="152">
        <v>11537.5</v>
      </c>
      <c r="L33" s="87" t="s">
        <v>4269</v>
      </c>
    </row>
    <row r="34">
      <c r="A34" s="149">
        <v>33.0</v>
      </c>
      <c r="B34" s="150">
        <v>46030.0</v>
      </c>
      <c r="C34" s="151">
        <v>0.4618287037037037</v>
      </c>
      <c r="D34" s="87" t="s">
        <v>126</v>
      </c>
      <c r="E34" s="87" t="s">
        <v>91</v>
      </c>
      <c r="F34" s="87" t="s">
        <v>4266</v>
      </c>
      <c r="G34" s="87" t="s">
        <v>4267</v>
      </c>
      <c r="H34" s="87" t="s">
        <v>4268</v>
      </c>
      <c r="I34" s="152">
        <v>130.0</v>
      </c>
      <c r="J34" s="152">
        <v>36.95</v>
      </c>
      <c r="K34" s="152">
        <v>4803.5</v>
      </c>
      <c r="L34" s="87" t="s">
        <v>4269</v>
      </c>
    </row>
    <row r="35">
      <c r="A35" s="149">
        <v>34.0</v>
      </c>
      <c r="B35" s="150">
        <v>46030.0</v>
      </c>
      <c r="C35" s="151">
        <v>0.46194444444444444</v>
      </c>
      <c r="D35" s="87" t="s">
        <v>126</v>
      </c>
      <c r="E35" s="87" t="s">
        <v>92</v>
      </c>
      <c r="F35" s="87" t="s">
        <v>4266</v>
      </c>
      <c r="G35" s="87" t="s">
        <v>4267</v>
      </c>
      <c r="H35" s="87" t="s">
        <v>4268</v>
      </c>
      <c r="I35" s="152">
        <v>130.0</v>
      </c>
      <c r="J35" s="152">
        <v>36.55</v>
      </c>
      <c r="K35" s="152">
        <v>4751.5</v>
      </c>
      <c r="L35" s="87" t="s">
        <v>4269</v>
      </c>
    </row>
    <row r="36">
      <c r="A36" s="149">
        <v>35.0</v>
      </c>
      <c r="B36" s="150">
        <v>46030.0</v>
      </c>
      <c r="C36" s="151">
        <v>0.49724537037037037</v>
      </c>
      <c r="D36" s="87" t="s">
        <v>128</v>
      </c>
      <c r="E36" s="87" t="s">
        <v>91</v>
      </c>
      <c r="F36" s="87" t="s">
        <v>4266</v>
      </c>
      <c r="G36" s="87" t="s">
        <v>4267</v>
      </c>
      <c r="H36" s="87" t="s">
        <v>4268</v>
      </c>
      <c r="I36" s="152">
        <v>130.0</v>
      </c>
      <c r="J36" s="152">
        <v>321.5</v>
      </c>
      <c r="K36" s="152">
        <v>41795.0</v>
      </c>
      <c r="L36" s="87" t="s">
        <v>4269</v>
      </c>
    </row>
    <row r="37">
      <c r="A37" s="149">
        <v>36.0</v>
      </c>
      <c r="B37" s="150">
        <v>46030.0</v>
      </c>
      <c r="C37" s="151">
        <v>0.5028935185185185</v>
      </c>
      <c r="D37" s="87" t="s">
        <v>128</v>
      </c>
      <c r="E37" s="87" t="s">
        <v>92</v>
      </c>
      <c r="F37" s="87" t="s">
        <v>4266</v>
      </c>
      <c r="G37" s="87" t="s">
        <v>4267</v>
      </c>
      <c r="H37" s="87" t="s">
        <v>4268</v>
      </c>
      <c r="I37" s="152">
        <v>130.0</v>
      </c>
      <c r="J37" s="152">
        <v>361.25</v>
      </c>
      <c r="K37" s="152">
        <v>46962.5</v>
      </c>
      <c r="L37" s="87" t="s">
        <v>4269</v>
      </c>
    </row>
    <row r="38">
      <c r="A38" s="149">
        <v>37.0</v>
      </c>
      <c r="B38" s="150">
        <v>46031.0</v>
      </c>
      <c r="C38" s="151">
        <v>0.42961805555555554</v>
      </c>
      <c r="D38" s="87" t="s">
        <v>129</v>
      </c>
      <c r="E38" s="87" t="s">
        <v>91</v>
      </c>
      <c r="F38" s="87" t="s">
        <v>4270</v>
      </c>
      <c r="G38" s="87" t="s">
        <v>4267</v>
      </c>
      <c r="H38" s="87" t="s">
        <v>4268</v>
      </c>
      <c r="I38" s="152">
        <v>130.0</v>
      </c>
      <c r="J38" s="152">
        <v>73.95</v>
      </c>
      <c r="K38" s="152">
        <v>9613.5</v>
      </c>
      <c r="L38" s="87" t="s">
        <v>4269</v>
      </c>
    </row>
    <row r="39">
      <c r="A39" s="149">
        <v>38.0</v>
      </c>
      <c r="B39" s="150">
        <v>46031.0</v>
      </c>
      <c r="C39" s="151">
        <v>0.4331365740740741</v>
      </c>
      <c r="D39" s="87" t="s">
        <v>129</v>
      </c>
      <c r="E39" s="87" t="s">
        <v>92</v>
      </c>
      <c r="F39" s="87" t="s">
        <v>4270</v>
      </c>
      <c r="G39" s="87" t="s">
        <v>4267</v>
      </c>
      <c r="H39" s="87" t="s">
        <v>4268</v>
      </c>
      <c r="I39" s="152">
        <v>130.0</v>
      </c>
      <c r="J39" s="152">
        <v>63.9</v>
      </c>
      <c r="K39" s="152">
        <v>8307.0</v>
      </c>
      <c r="L39" s="87" t="s">
        <v>4269</v>
      </c>
    </row>
    <row r="40">
      <c r="A40" s="149">
        <v>39.0</v>
      </c>
      <c r="B40" s="150">
        <v>46031.0</v>
      </c>
      <c r="C40" s="151">
        <v>0.4354398148148148</v>
      </c>
      <c r="D40" s="87" t="s">
        <v>130</v>
      </c>
      <c r="E40" s="87" t="s">
        <v>91</v>
      </c>
      <c r="F40" s="87" t="s">
        <v>4266</v>
      </c>
      <c r="G40" s="87" t="s">
        <v>4267</v>
      </c>
      <c r="H40" s="87" t="s">
        <v>4268</v>
      </c>
      <c r="I40" s="152">
        <v>130.0</v>
      </c>
      <c r="J40" s="152">
        <v>97.75</v>
      </c>
      <c r="K40" s="152">
        <v>12707.5</v>
      </c>
      <c r="L40" s="87" t="s">
        <v>4269</v>
      </c>
    </row>
    <row r="41">
      <c r="A41" s="149">
        <v>40.0</v>
      </c>
      <c r="B41" s="150">
        <v>46031.0</v>
      </c>
      <c r="C41" s="151">
        <v>0.44168981481481484</v>
      </c>
      <c r="D41" s="87" t="s">
        <v>130</v>
      </c>
      <c r="E41" s="87" t="s">
        <v>92</v>
      </c>
      <c r="F41" s="87" t="s">
        <v>4266</v>
      </c>
      <c r="G41" s="87" t="s">
        <v>4267</v>
      </c>
      <c r="H41" s="87" t="s">
        <v>4268</v>
      </c>
      <c r="I41" s="152">
        <v>130.0</v>
      </c>
      <c r="J41" s="152">
        <v>89.2</v>
      </c>
      <c r="K41" s="152">
        <v>11596.0</v>
      </c>
      <c r="L41" s="87" t="s">
        <v>4269</v>
      </c>
    </row>
    <row r="42">
      <c r="A42" s="149">
        <v>41.0</v>
      </c>
      <c r="B42" s="150">
        <v>46031.0</v>
      </c>
      <c r="C42" s="151">
        <v>0.44253472222222223</v>
      </c>
      <c r="D42" s="87" t="s">
        <v>129</v>
      </c>
      <c r="E42" s="87" t="s">
        <v>91</v>
      </c>
      <c r="F42" s="87" t="s">
        <v>4270</v>
      </c>
      <c r="G42" s="87" t="s">
        <v>4267</v>
      </c>
      <c r="H42" s="87" t="s">
        <v>4268</v>
      </c>
      <c r="I42" s="152">
        <v>65.0</v>
      </c>
      <c r="J42" s="152">
        <v>75.4</v>
      </c>
      <c r="K42" s="152">
        <v>4901.0</v>
      </c>
      <c r="L42" s="87" t="s">
        <v>4269</v>
      </c>
    </row>
    <row r="43">
      <c r="A43" s="149">
        <v>42.0</v>
      </c>
      <c r="B43" s="150">
        <v>46031.0</v>
      </c>
      <c r="C43" s="151">
        <v>0.48538194444444444</v>
      </c>
      <c r="D43" s="87" t="s">
        <v>129</v>
      </c>
      <c r="E43" s="87" t="s">
        <v>92</v>
      </c>
      <c r="F43" s="87" t="s">
        <v>4270</v>
      </c>
      <c r="G43" s="87" t="s">
        <v>4267</v>
      </c>
      <c r="H43" s="87" t="s">
        <v>4268</v>
      </c>
      <c r="I43" s="152">
        <v>65.0</v>
      </c>
      <c r="J43" s="152">
        <v>115.8</v>
      </c>
      <c r="K43" s="152">
        <v>7527.0</v>
      </c>
      <c r="L43" s="87" t="s">
        <v>4269</v>
      </c>
    </row>
    <row r="44">
      <c r="A44" s="149">
        <v>43.0</v>
      </c>
      <c r="B44" s="150">
        <v>46034.0</v>
      </c>
      <c r="C44" s="151">
        <v>0.42712962962962964</v>
      </c>
      <c r="D44" s="87" t="s">
        <v>132</v>
      </c>
      <c r="E44" s="87" t="s">
        <v>91</v>
      </c>
      <c r="F44" s="87" t="s">
        <v>4266</v>
      </c>
      <c r="G44" s="87" t="s">
        <v>4267</v>
      </c>
      <c r="H44" s="87" t="s">
        <v>4268</v>
      </c>
      <c r="I44" s="152">
        <v>130.0</v>
      </c>
      <c r="J44" s="152">
        <v>119.2</v>
      </c>
      <c r="K44" s="152">
        <v>15496.0</v>
      </c>
      <c r="L44" s="87" t="s">
        <v>4269</v>
      </c>
    </row>
    <row r="45">
      <c r="A45" s="149">
        <v>44.0</v>
      </c>
      <c r="B45" s="150">
        <v>46034.0</v>
      </c>
      <c r="C45" s="151">
        <v>0.43127314814814816</v>
      </c>
      <c r="D45" s="87" t="s">
        <v>132</v>
      </c>
      <c r="E45" s="87" t="s">
        <v>92</v>
      </c>
      <c r="F45" s="87" t="s">
        <v>4266</v>
      </c>
      <c r="G45" s="87" t="s">
        <v>4267</v>
      </c>
      <c r="H45" s="87" t="s">
        <v>4268</v>
      </c>
      <c r="I45" s="152">
        <v>130.0</v>
      </c>
      <c r="J45" s="152">
        <v>108.0</v>
      </c>
      <c r="K45" s="152">
        <v>14040.0</v>
      </c>
      <c r="L45" s="87" t="s">
        <v>4269</v>
      </c>
    </row>
    <row r="46">
      <c r="A46" s="149">
        <v>45.0</v>
      </c>
      <c r="B46" s="150">
        <v>46034.0</v>
      </c>
      <c r="C46" s="151">
        <v>0.4687962962962963</v>
      </c>
      <c r="D46" s="87" t="s">
        <v>133</v>
      </c>
      <c r="E46" s="87" t="s">
        <v>91</v>
      </c>
      <c r="F46" s="87" t="s">
        <v>4266</v>
      </c>
      <c r="G46" s="87" t="s">
        <v>4267</v>
      </c>
      <c r="H46" s="87" t="s">
        <v>4268</v>
      </c>
      <c r="I46" s="152">
        <v>130.0</v>
      </c>
      <c r="J46" s="152">
        <v>100.5</v>
      </c>
      <c r="K46" s="152">
        <v>13065.0</v>
      </c>
      <c r="L46" s="87" t="s">
        <v>4269</v>
      </c>
    </row>
    <row r="47">
      <c r="A47" s="149">
        <v>46.0</v>
      </c>
      <c r="B47" s="150">
        <v>46034.0</v>
      </c>
      <c r="C47" s="151">
        <v>0.48650462962962965</v>
      </c>
      <c r="D47" s="87" t="s">
        <v>133</v>
      </c>
      <c r="E47" s="87" t="s">
        <v>92</v>
      </c>
      <c r="F47" s="87" t="s">
        <v>4266</v>
      </c>
      <c r="G47" s="87" t="s">
        <v>4267</v>
      </c>
      <c r="H47" s="87" t="s">
        <v>4268</v>
      </c>
      <c r="I47" s="152">
        <v>65.0</v>
      </c>
      <c r="J47" s="152">
        <v>130.35</v>
      </c>
      <c r="K47" s="152">
        <v>8472.75</v>
      </c>
      <c r="L47" s="87" t="s">
        <v>4269</v>
      </c>
    </row>
    <row r="48">
      <c r="A48" s="149">
        <v>47.0</v>
      </c>
      <c r="B48" s="150">
        <v>46034.0</v>
      </c>
      <c r="C48" s="151">
        <v>0.502662037037037</v>
      </c>
      <c r="D48" s="87" t="s">
        <v>133</v>
      </c>
      <c r="E48" s="87" t="s">
        <v>92</v>
      </c>
      <c r="F48" s="87" t="s">
        <v>4266</v>
      </c>
      <c r="G48" s="87" t="s">
        <v>4267</v>
      </c>
      <c r="H48" s="87" t="s">
        <v>4268</v>
      </c>
      <c r="I48" s="152">
        <v>65.0</v>
      </c>
      <c r="J48" s="152">
        <v>126.25</v>
      </c>
      <c r="K48" s="152">
        <v>8206.25</v>
      </c>
      <c r="L48" s="87" t="s">
        <v>4269</v>
      </c>
    </row>
    <row r="49">
      <c r="A49" s="149">
        <v>48.0</v>
      </c>
      <c r="B49" s="150">
        <v>46035.0</v>
      </c>
      <c r="C49" s="151">
        <v>0.40003472222222225</v>
      </c>
      <c r="D49" s="87" t="s">
        <v>134</v>
      </c>
      <c r="E49" s="87" t="s">
        <v>91</v>
      </c>
      <c r="F49" s="87" t="s">
        <v>4266</v>
      </c>
      <c r="G49" s="87" t="s">
        <v>4267</v>
      </c>
      <c r="H49" s="87" t="s">
        <v>4268</v>
      </c>
      <c r="I49" s="152">
        <v>130.0</v>
      </c>
      <c r="J49" s="152">
        <v>208.63</v>
      </c>
      <c r="K49" s="152">
        <v>27121.25</v>
      </c>
      <c r="L49" s="87" t="s">
        <v>4269</v>
      </c>
    </row>
    <row r="50">
      <c r="A50" s="149">
        <v>49.0</v>
      </c>
      <c r="B50" s="150">
        <v>46035.0</v>
      </c>
      <c r="C50" s="151">
        <v>0.40012731481481484</v>
      </c>
      <c r="D50" s="87" t="s">
        <v>134</v>
      </c>
      <c r="E50" s="87" t="s">
        <v>92</v>
      </c>
      <c r="F50" s="87" t="s">
        <v>4266</v>
      </c>
      <c r="G50" s="87" t="s">
        <v>4267</v>
      </c>
      <c r="H50" s="87" t="s">
        <v>4268</v>
      </c>
      <c r="I50" s="152">
        <v>130.0</v>
      </c>
      <c r="J50" s="152">
        <v>209.85</v>
      </c>
      <c r="K50" s="152">
        <v>27280.5</v>
      </c>
      <c r="L50" s="87" t="s">
        <v>4269</v>
      </c>
    </row>
    <row r="51">
      <c r="A51" s="149">
        <v>50.0</v>
      </c>
      <c r="B51" s="150">
        <v>46035.0</v>
      </c>
      <c r="C51" s="151">
        <v>0.4146064814814815</v>
      </c>
      <c r="D51" s="87" t="s">
        <v>135</v>
      </c>
      <c r="E51" s="87" t="s">
        <v>91</v>
      </c>
      <c r="F51" s="87" t="s">
        <v>4266</v>
      </c>
      <c r="G51" s="87" t="s">
        <v>4267</v>
      </c>
      <c r="H51" s="87" t="s">
        <v>4268</v>
      </c>
      <c r="I51" s="152">
        <v>130.0</v>
      </c>
      <c r="J51" s="152">
        <v>164.58</v>
      </c>
      <c r="K51" s="152">
        <v>21394.75</v>
      </c>
      <c r="L51" s="87" t="s">
        <v>4269</v>
      </c>
    </row>
    <row r="52">
      <c r="A52" s="149">
        <v>51.0</v>
      </c>
      <c r="B52" s="150">
        <v>46035.0</v>
      </c>
      <c r="C52" s="151">
        <v>0.4229398148148148</v>
      </c>
      <c r="D52" s="87" t="s">
        <v>135</v>
      </c>
      <c r="E52" s="87" t="s">
        <v>92</v>
      </c>
      <c r="F52" s="87" t="s">
        <v>4266</v>
      </c>
      <c r="G52" s="87" t="s">
        <v>4267</v>
      </c>
      <c r="H52" s="87" t="s">
        <v>4268</v>
      </c>
      <c r="I52" s="152">
        <v>130.0</v>
      </c>
      <c r="J52" s="152">
        <v>142.85</v>
      </c>
      <c r="K52" s="152">
        <v>18570.5</v>
      </c>
      <c r="L52" s="87" t="s">
        <v>4269</v>
      </c>
    </row>
    <row r="53">
      <c r="A53" s="149">
        <v>52.0</v>
      </c>
      <c r="B53" s="150">
        <v>46035.0</v>
      </c>
      <c r="C53" s="151">
        <v>0.47850694444444447</v>
      </c>
      <c r="D53" s="87" t="s">
        <v>136</v>
      </c>
      <c r="E53" s="87" t="s">
        <v>91</v>
      </c>
      <c r="F53" s="87" t="s">
        <v>4266</v>
      </c>
      <c r="G53" s="87" t="s">
        <v>4267</v>
      </c>
      <c r="H53" s="87" t="s">
        <v>4268</v>
      </c>
      <c r="I53" s="152">
        <v>130.0</v>
      </c>
      <c r="J53" s="152">
        <v>198.6</v>
      </c>
      <c r="K53" s="152">
        <v>25818.0</v>
      </c>
      <c r="L53" s="87" t="s">
        <v>4269</v>
      </c>
    </row>
    <row r="54">
      <c r="A54" s="149">
        <v>53.0</v>
      </c>
      <c r="B54" s="150">
        <v>46035.0</v>
      </c>
      <c r="C54" s="151">
        <v>0.4923958333333333</v>
      </c>
      <c r="D54" s="87" t="s">
        <v>136</v>
      </c>
      <c r="E54" s="87" t="s">
        <v>92</v>
      </c>
      <c r="F54" s="87" t="s">
        <v>4266</v>
      </c>
      <c r="G54" s="87" t="s">
        <v>4267</v>
      </c>
      <c r="H54" s="87" t="s">
        <v>4268</v>
      </c>
      <c r="I54" s="152">
        <v>130.0</v>
      </c>
      <c r="J54" s="152">
        <v>185.75</v>
      </c>
      <c r="K54" s="152">
        <v>24147.5</v>
      </c>
      <c r="L54" s="87" t="s">
        <v>4269</v>
      </c>
    </row>
    <row r="55">
      <c r="A55" s="149">
        <v>54.0</v>
      </c>
      <c r="B55" s="150">
        <v>46035.0</v>
      </c>
      <c r="C55" s="151">
        <v>0.5243402777777778</v>
      </c>
      <c r="D55" s="87" t="s">
        <v>135</v>
      </c>
      <c r="E55" s="87" t="s">
        <v>91</v>
      </c>
      <c r="F55" s="87" t="s">
        <v>4266</v>
      </c>
      <c r="G55" s="87" t="s">
        <v>4267</v>
      </c>
      <c r="H55" s="87" t="s">
        <v>4268</v>
      </c>
      <c r="I55" s="152">
        <v>130.0</v>
      </c>
      <c r="J55" s="152">
        <v>156.5</v>
      </c>
      <c r="K55" s="152">
        <v>20345.0</v>
      </c>
      <c r="L55" s="87" t="s">
        <v>4269</v>
      </c>
    </row>
    <row r="56">
      <c r="A56" s="149">
        <v>55.0</v>
      </c>
      <c r="B56" s="150">
        <v>46035.0</v>
      </c>
      <c r="C56" s="151">
        <v>0.5432870370370371</v>
      </c>
      <c r="D56" s="87" t="s">
        <v>135</v>
      </c>
      <c r="E56" s="87" t="s">
        <v>92</v>
      </c>
      <c r="F56" s="87" t="s">
        <v>4266</v>
      </c>
      <c r="G56" s="87" t="s">
        <v>4267</v>
      </c>
      <c r="H56" s="87" t="s">
        <v>4268</v>
      </c>
      <c r="I56" s="152">
        <v>130.0</v>
      </c>
      <c r="J56" s="152">
        <v>204.15</v>
      </c>
      <c r="K56" s="152">
        <v>26539.5</v>
      </c>
      <c r="L56" s="87" t="s">
        <v>4269</v>
      </c>
    </row>
    <row r="57">
      <c r="A57" s="149">
        <v>56.0</v>
      </c>
      <c r="B57" s="150">
        <v>46036.0</v>
      </c>
      <c r="C57" s="151">
        <v>0.4243287037037037</v>
      </c>
      <c r="D57" s="87" t="s">
        <v>135</v>
      </c>
      <c r="E57" s="87" t="s">
        <v>91</v>
      </c>
      <c r="F57" s="87" t="s">
        <v>4266</v>
      </c>
      <c r="G57" s="87" t="s">
        <v>4267</v>
      </c>
      <c r="H57" s="87" t="s">
        <v>4268</v>
      </c>
      <c r="I57" s="152">
        <v>130.0</v>
      </c>
      <c r="J57" s="152">
        <v>144.45</v>
      </c>
      <c r="K57" s="152">
        <v>18778.5</v>
      </c>
      <c r="L57" s="87" t="s">
        <v>4269</v>
      </c>
    </row>
    <row r="58">
      <c r="A58" s="149">
        <v>57.0</v>
      </c>
      <c r="B58" s="150">
        <v>46036.0</v>
      </c>
      <c r="C58" s="151">
        <v>0.43666666666666665</v>
      </c>
      <c r="D58" s="87" t="s">
        <v>135</v>
      </c>
      <c r="E58" s="87" t="s">
        <v>92</v>
      </c>
      <c r="F58" s="87" t="s">
        <v>4266</v>
      </c>
      <c r="G58" s="87" t="s">
        <v>4267</v>
      </c>
      <c r="H58" s="87" t="s">
        <v>4268</v>
      </c>
      <c r="I58" s="152">
        <v>130.0</v>
      </c>
      <c r="J58" s="152">
        <v>152.65</v>
      </c>
      <c r="K58" s="152">
        <v>19844.5</v>
      </c>
      <c r="L58" s="87" t="s">
        <v>4269</v>
      </c>
    </row>
    <row r="59">
      <c r="A59" s="149">
        <v>58.0</v>
      </c>
      <c r="B59" s="150">
        <v>46036.0</v>
      </c>
      <c r="C59" s="151">
        <v>0.45210648148148147</v>
      </c>
      <c r="D59" s="87" t="s">
        <v>136</v>
      </c>
      <c r="E59" s="87" t="s">
        <v>91</v>
      </c>
      <c r="F59" s="87" t="s">
        <v>4266</v>
      </c>
      <c r="G59" s="87" t="s">
        <v>4267</v>
      </c>
      <c r="H59" s="87" t="s">
        <v>4268</v>
      </c>
      <c r="I59" s="152">
        <v>130.0</v>
      </c>
      <c r="J59" s="152">
        <v>110.4</v>
      </c>
      <c r="K59" s="152">
        <v>14352.0</v>
      </c>
      <c r="L59" s="87" t="s">
        <v>4269</v>
      </c>
    </row>
    <row r="60">
      <c r="A60" s="149">
        <v>59.0</v>
      </c>
      <c r="B60" s="150">
        <v>46036.0</v>
      </c>
      <c r="C60" s="151">
        <v>0.48018518518518516</v>
      </c>
      <c r="D60" s="87" t="s">
        <v>136</v>
      </c>
      <c r="E60" s="87" t="s">
        <v>92</v>
      </c>
      <c r="F60" s="87" t="s">
        <v>4266</v>
      </c>
      <c r="G60" s="87" t="s">
        <v>4267</v>
      </c>
      <c r="H60" s="87" t="s">
        <v>4268</v>
      </c>
      <c r="I60" s="152">
        <v>130.0</v>
      </c>
      <c r="J60" s="152">
        <v>150.4</v>
      </c>
      <c r="K60" s="152">
        <v>19552.0</v>
      </c>
      <c r="L60" s="87" t="s">
        <v>4269</v>
      </c>
    </row>
    <row r="61">
      <c r="A61" s="149">
        <v>60.0</v>
      </c>
      <c r="B61" s="150">
        <v>46038.0</v>
      </c>
      <c r="C61" s="151">
        <v>0.4062962962962963</v>
      </c>
      <c r="D61" s="87" t="s">
        <v>136</v>
      </c>
      <c r="E61" s="87" t="s">
        <v>91</v>
      </c>
      <c r="F61" s="87" t="s">
        <v>4266</v>
      </c>
      <c r="G61" s="87" t="s">
        <v>4267</v>
      </c>
      <c r="H61" s="87" t="s">
        <v>4268</v>
      </c>
      <c r="I61" s="152">
        <v>130.0</v>
      </c>
      <c r="J61" s="152">
        <v>111.95</v>
      </c>
      <c r="K61" s="152">
        <v>14553.5</v>
      </c>
      <c r="L61" s="87" t="s">
        <v>4269</v>
      </c>
    </row>
    <row r="62">
      <c r="A62" s="149">
        <v>61.0</v>
      </c>
      <c r="B62" s="150">
        <v>46038.0</v>
      </c>
      <c r="C62" s="151">
        <v>0.4268865740740741</v>
      </c>
      <c r="D62" s="87" t="s">
        <v>136</v>
      </c>
      <c r="E62" s="87" t="s">
        <v>92</v>
      </c>
      <c r="F62" s="87" t="s">
        <v>4266</v>
      </c>
      <c r="G62" s="87" t="s">
        <v>4267</v>
      </c>
      <c r="H62" s="87" t="s">
        <v>4268</v>
      </c>
      <c r="I62" s="152">
        <v>130.0</v>
      </c>
      <c r="J62" s="152">
        <v>145.85</v>
      </c>
      <c r="K62" s="152">
        <v>18960.5</v>
      </c>
      <c r="L62" s="87" t="s">
        <v>4269</v>
      </c>
    </row>
    <row r="63">
      <c r="A63" s="149">
        <v>62.0</v>
      </c>
      <c r="B63" s="150">
        <v>46041.0</v>
      </c>
      <c r="C63" s="151">
        <v>0.40630787037037036</v>
      </c>
      <c r="D63" s="87" t="s">
        <v>138</v>
      </c>
      <c r="E63" s="87" t="s">
        <v>91</v>
      </c>
      <c r="F63" s="87" t="s">
        <v>4266</v>
      </c>
      <c r="G63" s="87" t="s">
        <v>4267</v>
      </c>
      <c r="H63" s="87" t="s">
        <v>4268</v>
      </c>
      <c r="I63" s="152">
        <v>195.0</v>
      </c>
      <c r="J63" s="152">
        <v>66.85</v>
      </c>
      <c r="K63" s="152">
        <v>13035.75</v>
      </c>
      <c r="L63" s="87" t="s">
        <v>4269</v>
      </c>
    </row>
    <row r="64">
      <c r="A64" s="149">
        <v>63.0</v>
      </c>
      <c r="B64" s="150">
        <v>46041.0</v>
      </c>
      <c r="C64" s="151">
        <v>0.4155671296296296</v>
      </c>
      <c r="D64" s="87" t="s">
        <v>138</v>
      </c>
      <c r="E64" s="87" t="s">
        <v>92</v>
      </c>
      <c r="F64" s="87" t="s">
        <v>4266</v>
      </c>
      <c r="G64" s="87" t="s">
        <v>4267</v>
      </c>
      <c r="H64" s="87" t="s">
        <v>4268</v>
      </c>
      <c r="I64" s="152">
        <v>195.0</v>
      </c>
      <c r="J64" s="152">
        <v>58.9</v>
      </c>
      <c r="K64" s="152">
        <v>11485.5</v>
      </c>
      <c r="L64" s="87" t="s">
        <v>4269</v>
      </c>
    </row>
    <row r="65">
      <c r="A65" s="149">
        <v>64.0</v>
      </c>
      <c r="B65" s="150">
        <v>46041.0</v>
      </c>
      <c r="C65" s="151">
        <v>0.4368287037037037</v>
      </c>
      <c r="D65" s="87" t="s">
        <v>139</v>
      </c>
      <c r="E65" s="87" t="s">
        <v>91</v>
      </c>
      <c r="F65" s="87" t="s">
        <v>4266</v>
      </c>
      <c r="G65" s="87" t="s">
        <v>4267</v>
      </c>
      <c r="H65" s="87" t="s">
        <v>4268</v>
      </c>
      <c r="I65" s="152">
        <v>195.0</v>
      </c>
      <c r="J65" s="152">
        <v>111.8</v>
      </c>
      <c r="K65" s="152">
        <v>21801.0</v>
      </c>
      <c r="L65" s="87" t="s">
        <v>4269</v>
      </c>
    </row>
    <row r="66">
      <c r="A66" s="149">
        <v>65.0</v>
      </c>
      <c r="B66" s="150">
        <v>46041.0</v>
      </c>
      <c r="C66" s="151">
        <v>0.448125</v>
      </c>
      <c r="D66" s="87" t="s">
        <v>139</v>
      </c>
      <c r="E66" s="87" t="s">
        <v>92</v>
      </c>
      <c r="F66" s="87" t="s">
        <v>4266</v>
      </c>
      <c r="G66" s="87" t="s">
        <v>4267</v>
      </c>
      <c r="H66" s="87" t="s">
        <v>4268</v>
      </c>
      <c r="I66" s="152">
        <v>195.0</v>
      </c>
      <c r="J66" s="152">
        <v>96.4</v>
      </c>
      <c r="K66" s="152">
        <v>18798.0</v>
      </c>
      <c r="L66" s="87" t="s">
        <v>4269</v>
      </c>
    </row>
    <row r="67">
      <c r="A67" s="149">
        <v>66.0</v>
      </c>
      <c r="B67" s="150">
        <v>46041.0</v>
      </c>
      <c r="C67" s="151">
        <v>0.4576736111111111</v>
      </c>
      <c r="D67" s="87" t="s">
        <v>140</v>
      </c>
      <c r="E67" s="87" t="s">
        <v>91</v>
      </c>
      <c r="F67" s="87" t="s">
        <v>4266</v>
      </c>
      <c r="G67" s="87" t="s">
        <v>4267</v>
      </c>
      <c r="H67" s="87" t="s">
        <v>4268</v>
      </c>
      <c r="I67" s="152">
        <v>195.0</v>
      </c>
      <c r="J67" s="152">
        <v>76.55</v>
      </c>
      <c r="K67" s="152">
        <v>14927.25</v>
      </c>
      <c r="L67" s="87" t="s">
        <v>4269</v>
      </c>
    </row>
    <row r="68">
      <c r="A68" s="149">
        <v>67.0</v>
      </c>
      <c r="B68" s="150">
        <v>46041.0</v>
      </c>
      <c r="C68" s="151">
        <v>0.4715625</v>
      </c>
      <c r="D68" s="87" t="s">
        <v>140</v>
      </c>
      <c r="E68" s="87" t="s">
        <v>92</v>
      </c>
      <c r="F68" s="87" t="s">
        <v>4266</v>
      </c>
      <c r="G68" s="87" t="s">
        <v>4267</v>
      </c>
      <c r="H68" s="87" t="s">
        <v>4268</v>
      </c>
      <c r="I68" s="152">
        <v>195.0</v>
      </c>
      <c r="J68" s="152">
        <v>67.17</v>
      </c>
      <c r="K68" s="152">
        <v>13097.51</v>
      </c>
      <c r="L68" s="87" t="s">
        <v>4269</v>
      </c>
    </row>
    <row r="69">
      <c r="A69" s="149">
        <v>68.0</v>
      </c>
      <c r="B69" s="150">
        <v>46041.0</v>
      </c>
      <c r="C69" s="151">
        <v>0.4965625</v>
      </c>
      <c r="D69" s="87" t="s">
        <v>141</v>
      </c>
      <c r="E69" s="87" t="s">
        <v>91</v>
      </c>
      <c r="F69" s="87" t="s">
        <v>4266</v>
      </c>
      <c r="G69" s="87" t="s">
        <v>4267</v>
      </c>
      <c r="H69" s="87" t="s">
        <v>4268</v>
      </c>
      <c r="I69" s="152">
        <v>195.0</v>
      </c>
      <c r="J69" s="152">
        <v>102.87</v>
      </c>
      <c r="K69" s="152">
        <v>20059.01</v>
      </c>
      <c r="L69" s="87" t="s">
        <v>4269</v>
      </c>
    </row>
    <row r="70">
      <c r="A70" s="149">
        <v>69.0</v>
      </c>
      <c r="B70" s="150">
        <v>46041.0</v>
      </c>
      <c r="C70" s="151">
        <v>0.4993402777777778</v>
      </c>
      <c r="D70" s="87" t="s">
        <v>141</v>
      </c>
      <c r="E70" s="87" t="s">
        <v>92</v>
      </c>
      <c r="F70" s="87" t="s">
        <v>4266</v>
      </c>
      <c r="G70" s="87" t="s">
        <v>4267</v>
      </c>
      <c r="H70" s="87" t="s">
        <v>4268</v>
      </c>
      <c r="I70" s="152">
        <v>195.0</v>
      </c>
      <c r="J70" s="152">
        <v>93.1</v>
      </c>
      <c r="K70" s="152">
        <v>18154.5</v>
      </c>
      <c r="L70" s="87" t="s">
        <v>4269</v>
      </c>
    </row>
    <row r="71">
      <c r="A71" s="149">
        <v>70.0</v>
      </c>
      <c r="B71" s="150">
        <v>46042.0</v>
      </c>
      <c r="C71" s="151">
        <v>0.4284953703703704</v>
      </c>
      <c r="D71" s="87" t="s">
        <v>142</v>
      </c>
      <c r="E71" s="87" t="s">
        <v>91</v>
      </c>
      <c r="F71" s="87" t="s">
        <v>4266</v>
      </c>
      <c r="G71" s="87" t="s">
        <v>4267</v>
      </c>
      <c r="H71" s="87" t="s">
        <v>4268</v>
      </c>
      <c r="I71" s="152">
        <v>65.0</v>
      </c>
      <c r="J71" s="152">
        <v>136.2</v>
      </c>
      <c r="K71" s="152">
        <v>8853.0</v>
      </c>
      <c r="L71" s="87" t="s">
        <v>4269</v>
      </c>
    </row>
    <row r="72">
      <c r="A72" s="149">
        <v>71.0</v>
      </c>
      <c r="B72" s="150">
        <v>46042.0</v>
      </c>
      <c r="C72" s="151">
        <v>0.4298958333333333</v>
      </c>
      <c r="D72" s="87" t="s">
        <v>142</v>
      </c>
      <c r="E72" s="87" t="s">
        <v>92</v>
      </c>
      <c r="F72" s="87" t="s">
        <v>4266</v>
      </c>
      <c r="G72" s="87" t="s">
        <v>4267</v>
      </c>
      <c r="H72" s="87" t="s">
        <v>4268</v>
      </c>
      <c r="I72" s="152">
        <v>65.0</v>
      </c>
      <c r="J72" s="152">
        <v>125.0</v>
      </c>
      <c r="K72" s="152">
        <v>8125.0</v>
      </c>
      <c r="L72" s="87" t="s">
        <v>4269</v>
      </c>
    </row>
    <row r="73">
      <c r="A73" s="149">
        <v>72.0</v>
      </c>
      <c r="B73" s="150">
        <v>46042.0</v>
      </c>
      <c r="C73" s="151">
        <v>0.45351851851851854</v>
      </c>
      <c r="D73" s="87" t="s">
        <v>143</v>
      </c>
      <c r="E73" s="87" t="s">
        <v>91</v>
      </c>
      <c r="F73" s="87" t="s">
        <v>4266</v>
      </c>
      <c r="G73" s="87" t="s">
        <v>4267</v>
      </c>
      <c r="H73" s="87" t="s">
        <v>4268</v>
      </c>
      <c r="I73" s="152">
        <v>195.0</v>
      </c>
      <c r="J73" s="152">
        <v>156.03</v>
      </c>
      <c r="K73" s="152">
        <v>30426.49</v>
      </c>
      <c r="L73" s="87" t="s">
        <v>4269</v>
      </c>
    </row>
    <row r="74">
      <c r="A74" s="149">
        <v>73.0</v>
      </c>
      <c r="B74" s="150">
        <v>46042.0</v>
      </c>
      <c r="C74" s="151">
        <v>0.4769212962962963</v>
      </c>
      <c r="D74" s="87" t="s">
        <v>143</v>
      </c>
      <c r="E74" s="87" t="s">
        <v>92</v>
      </c>
      <c r="F74" s="87" t="s">
        <v>4266</v>
      </c>
      <c r="G74" s="87" t="s">
        <v>4267</v>
      </c>
      <c r="H74" s="87" t="s">
        <v>4268</v>
      </c>
      <c r="I74" s="152">
        <v>195.0</v>
      </c>
      <c r="J74" s="152">
        <v>157.2</v>
      </c>
      <c r="K74" s="152">
        <v>30654.0</v>
      </c>
      <c r="L74" s="87" t="s">
        <v>4269</v>
      </c>
    </row>
    <row r="75">
      <c r="A75" s="149">
        <v>74.0</v>
      </c>
      <c r="B75" s="150">
        <v>46043.0</v>
      </c>
      <c r="C75" s="151">
        <v>0.4771064814814815</v>
      </c>
      <c r="D75" s="87" t="s">
        <v>144</v>
      </c>
      <c r="E75" s="87" t="s">
        <v>91</v>
      </c>
      <c r="F75" s="87" t="s">
        <v>4266</v>
      </c>
      <c r="G75" s="87" t="s">
        <v>4267</v>
      </c>
      <c r="H75" s="87" t="s">
        <v>4268</v>
      </c>
      <c r="I75" s="152">
        <v>65.0</v>
      </c>
      <c r="J75" s="152">
        <v>145.15</v>
      </c>
      <c r="K75" s="152">
        <v>9434.75</v>
      </c>
      <c r="L75" s="87" t="s">
        <v>4269</v>
      </c>
    </row>
    <row r="76">
      <c r="A76" s="149">
        <v>75.0</v>
      </c>
      <c r="B76" s="150">
        <v>46043.0</v>
      </c>
      <c r="C76" s="151">
        <v>0.48364583333333333</v>
      </c>
      <c r="D76" s="87" t="s">
        <v>144</v>
      </c>
      <c r="E76" s="87" t="s">
        <v>92</v>
      </c>
      <c r="F76" s="87" t="s">
        <v>4266</v>
      </c>
      <c r="G76" s="87" t="s">
        <v>4267</v>
      </c>
      <c r="H76" s="87" t="s">
        <v>4268</v>
      </c>
      <c r="I76" s="152">
        <v>65.0</v>
      </c>
      <c r="J76" s="152">
        <v>144.25</v>
      </c>
      <c r="K76" s="152">
        <v>9376.25</v>
      </c>
      <c r="L76" s="87" t="s">
        <v>4269</v>
      </c>
    </row>
    <row r="77">
      <c r="A77" s="149">
        <v>76.0</v>
      </c>
      <c r="B77" s="150">
        <v>46043.0</v>
      </c>
      <c r="C77" s="151">
        <v>0.5743287037037037</v>
      </c>
      <c r="D77" s="87" t="s">
        <v>145</v>
      </c>
      <c r="E77" s="87" t="s">
        <v>91</v>
      </c>
      <c r="F77" s="87" t="s">
        <v>4266</v>
      </c>
      <c r="G77" s="87" t="s">
        <v>4267</v>
      </c>
      <c r="H77" s="87" t="s">
        <v>4268</v>
      </c>
      <c r="I77" s="152">
        <v>130.0</v>
      </c>
      <c r="J77" s="152">
        <v>183.9</v>
      </c>
      <c r="K77" s="152">
        <v>23907.0</v>
      </c>
      <c r="L77" s="87" t="s">
        <v>4269</v>
      </c>
    </row>
    <row r="78">
      <c r="A78" s="149">
        <v>77.0</v>
      </c>
      <c r="B78" s="150">
        <v>46043.0</v>
      </c>
      <c r="C78" s="151">
        <v>0.5772106481481482</v>
      </c>
      <c r="D78" s="87" t="s">
        <v>145</v>
      </c>
      <c r="E78" s="87" t="s">
        <v>92</v>
      </c>
      <c r="F78" s="87" t="s">
        <v>4266</v>
      </c>
      <c r="G78" s="87" t="s">
        <v>4267</v>
      </c>
      <c r="H78" s="87" t="s">
        <v>4268</v>
      </c>
      <c r="I78" s="152">
        <v>130.0</v>
      </c>
      <c r="J78" s="152">
        <v>168.75</v>
      </c>
      <c r="K78" s="152">
        <v>21937.5</v>
      </c>
      <c r="L78" s="87" t="s">
        <v>4269</v>
      </c>
    </row>
    <row r="79">
      <c r="A79" s="149">
        <v>78.0</v>
      </c>
      <c r="B79" s="150">
        <v>46043.0</v>
      </c>
      <c r="C79" s="151">
        <v>0.5798958333333334</v>
      </c>
      <c r="D79" s="87" t="s">
        <v>146</v>
      </c>
      <c r="E79" s="87" t="s">
        <v>91</v>
      </c>
      <c r="F79" s="87" t="s">
        <v>4266</v>
      </c>
      <c r="G79" s="87" t="s">
        <v>4267</v>
      </c>
      <c r="H79" s="87" t="s">
        <v>4268</v>
      </c>
      <c r="I79" s="152">
        <v>130.0</v>
      </c>
      <c r="J79" s="152">
        <v>147.1</v>
      </c>
      <c r="K79" s="152">
        <v>19123.0</v>
      </c>
      <c r="L79" s="87" t="s">
        <v>4269</v>
      </c>
    </row>
    <row r="80">
      <c r="A80" s="149">
        <v>79.0</v>
      </c>
      <c r="B80" s="150">
        <v>46043.0</v>
      </c>
      <c r="C80" s="151">
        <v>0.5846296296296296</v>
      </c>
      <c r="D80" s="87" t="s">
        <v>146</v>
      </c>
      <c r="E80" s="87" t="s">
        <v>92</v>
      </c>
      <c r="F80" s="87" t="s">
        <v>4266</v>
      </c>
      <c r="G80" s="87" t="s">
        <v>4267</v>
      </c>
      <c r="H80" s="87" t="s">
        <v>4268</v>
      </c>
      <c r="I80" s="152">
        <v>130.0</v>
      </c>
      <c r="J80" s="152">
        <v>154.4</v>
      </c>
      <c r="K80" s="152">
        <v>20072.0</v>
      </c>
      <c r="L80" s="87" t="s">
        <v>4269</v>
      </c>
    </row>
    <row r="81">
      <c r="A81" s="149">
        <v>80.0</v>
      </c>
      <c r="B81" s="150">
        <v>46044.0</v>
      </c>
      <c r="C81" s="151">
        <v>0.4154861111111111</v>
      </c>
      <c r="D81" s="87" t="s">
        <v>146</v>
      </c>
      <c r="E81" s="87" t="s">
        <v>91</v>
      </c>
      <c r="F81" s="87" t="s">
        <v>4270</v>
      </c>
      <c r="G81" s="87" t="s">
        <v>4267</v>
      </c>
      <c r="H81" s="87" t="s">
        <v>4268</v>
      </c>
      <c r="I81" s="152">
        <v>65.0</v>
      </c>
      <c r="J81" s="152">
        <v>52.8</v>
      </c>
      <c r="K81" s="152">
        <v>3432.0</v>
      </c>
      <c r="L81" s="87" t="s">
        <v>4269</v>
      </c>
    </row>
    <row r="82">
      <c r="A82" s="149">
        <v>81.0</v>
      </c>
      <c r="B82" s="150">
        <v>46044.0</v>
      </c>
      <c r="C82" s="151">
        <v>0.43947916666666664</v>
      </c>
      <c r="D82" s="87" t="s">
        <v>146</v>
      </c>
      <c r="E82" s="87" t="s">
        <v>92</v>
      </c>
      <c r="F82" s="87" t="s">
        <v>4270</v>
      </c>
      <c r="G82" s="87" t="s">
        <v>4267</v>
      </c>
      <c r="H82" s="87" t="s">
        <v>4268</v>
      </c>
      <c r="I82" s="152">
        <v>65.0</v>
      </c>
      <c r="J82" s="152">
        <v>89.9</v>
      </c>
      <c r="K82" s="152">
        <v>5843.5</v>
      </c>
      <c r="L82" s="87" t="s">
        <v>4269</v>
      </c>
    </row>
    <row r="83">
      <c r="A83" s="149">
        <v>82.0</v>
      </c>
      <c r="B83" s="150">
        <v>46045.0</v>
      </c>
      <c r="C83" s="151">
        <v>0.4562962962962963</v>
      </c>
      <c r="D83" s="87" t="s">
        <v>147</v>
      </c>
      <c r="E83" s="87" t="s">
        <v>91</v>
      </c>
      <c r="F83" s="87" t="s">
        <v>4266</v>
      </c>
      <c r="G83" s="87" t="s">
        <v>4267</v>
      </c>
      <c r="H83" s="87" t="s">
        <v>4268</v>
      </c>
      <c r="I83" s="152">
        <v>130.0</v>
      </c>
      <c r="J83" s="152">
        <v>83.0</v>
      </c>
      <c r="K83" s="152">
        <v>10790.0</v>
      </c>
      <c r="L83" s="87" t="s">
        <v>4269</v>
      </c>
    </row>
    <row r="84">
      <c r="A84" s="149">
        <v>83.0</v>
      </c>
      <c r="B84" s="150">
        <v>46045.0</v>
      </c>
      <c r="C84" s="151">
        <v>0.49017361111111113</v>
      </c>
      <c r="D84" s="87" t="s">
        <v>147</v>
      </c>
      <c r="E84" s="87" t="s">
        <v>92</v>
      </c>
      <c r="F84" s="87" t="s">
        <v>4266</v>
      </c>
      <c r="G84" s="87" t="s">
        <v>4267</v>
      </c>
      <c r="H84" s="87" t="s">
        <v>4268</v>
      </c>
      <c r="I84" s="152">
        <v>130.0</v>
      </c>
      <c r="J84" s="152">
        <v>110.1</v>
      </c>
      <c r="K84" s="152">
        <v>14313.0</v>
      </c>
      <c r="L84" s="87" t="s">
        <v>4269</v>
      </c>
    </row>
    <row r="85">
      <c r="A85" s="149">
        <v>84.0</v>
      </c>
      <c r="B85" s="150">
        <v>46049.0</v>
      </c>
      <c r="C85" s="151">
        <v>0.5042013888888889</v>
      </c>
      <c r="D85" s="87" t="s">
        <v>148</v>
      </c>
      <c r="E85" s="87" t="s">
        <v>91</v>
      </c>
      <c r="F85" s="87" t="s">
        <v>4266</v>
      </c>
      <c r="G85" s="87" t="s">
        <v>4267</v>
      </c>
      <c r="H85" s="87" t="s">
        <v>4268</v>
      </c>
      <c r="I85" s="152">
        <v>130.0</v>
      </c>
      <c r="J85" s="152">
        <v>90.3</v>
      </c>
      <c r="K85" s="152">
        <v>11739.0</v>
      </c>
      <c r="L85" s="87" t="s">
        <v>4269</v>
      </c>
    </row>
    <row r="86">
      <c r="A86" s="149">
        <v>85.0</v>
      </c>
      <c r="B86" s="150">
        <v>46049.0</v>
      </c>
      <c r="C86" s="151">
        <v>0.5210763888888889</v>
      </c>
      <c r="D86" s="87" t="s">
        <v>148</v>
      </c>
      <c r="E86" s="87" t="s">
        <v>92</v>
      </c>
      <c r="F86" s="87" t="s">
        <v>4266</v>
      </c>
      <c r="G86" s="87" t="s">
        <v>4267</v>
      </c>
      <c r="H86" s="87" t="s">
        <v>4268</v>
      </c>
      <c r="I86" s="152">
        <v>130.0</v>
      </c>
      <c r="J86" s="152">
        <v>65.5</v>
      </c>
      <c r="K86" s="152">
        <v>8515.0</v>
      </c>
      <c r="L86" s="87" t="s">
        <v>4269</v>
      </c>
    </row>
    <row r="87">
      <c r="A87" s="149">
        <v>86.0</v>
      </c>
      <c r="B87" s="150">
        <v>46050.0</v>
      </c>
      <c r="C87" s="151">
        <v>0.4541898148148148</v>
      </c>
      <c r="D87" s="87" t="s">
        <v>149</v>
      </c>
      <c r="E87" s="87" t="s">
        <v>91</v>
      </c>
      <c r="F87" s="87" t="s">
        <v>4266</v>
      </c>
      <c r="G87" s="87" t="s">
        <v>4267</v>
      </c>
      <c r="H87" s="87" t="s">
        <v>4268</v>
      </c>
      <c r="I87" s="152">
        <v>130.0</v>
      </c>
      <c r="J87" s="152">
        <v>243.9</v>
      </c>
      <c r="K87" s="152">
        <v>31707.0</v>
      </c>
      <c r="L87" s="87" t="s">
        <v>4269</v>
      </c>
    </row>
    <row r="88">
      <c r="A88" s="149">
        <v>87.0</v>
      </c>
      <c r="B88" s="150">
        <v>46050.0</v>
      </c>
      <c r="C88" s="151">
        <v>0.48878472222222225</v>
      </c>
      <c r="D88" s="87" t="s">
        <v>149</v>
      </c>
      <c r="E88" s="87" t="s">
        <v>92</v>
      </c>
      <c r="F88" s="87" t="s">
        <v>4266</v>
      </c>
      <c r="G88" s="87" t="s">
        <v>4267</v>
      </c>
      <c r="H88" s="87" t="s">
        <v>4268</v>
      </c>
      <c r="I88" s="152">
        <v>130.0</v>
      </c>
      <c r="J88" s="152">
        <v>241.3</v>
      </c>
      <c r="K88" s="152">
        <v>31369.0</v>
      </c>
      <c r="L88" s="87" t="s">
        <v>4269</v>
      </c>
    </row>
    <row r="89">
      <c r="A89" s="149">
        <v>88.0</v>
      </c>
      <c r="B89" s="150">
        <v>46051.0</v>
      </c>
      <c r="C89" s="151">
        <v>0.4185763888888889</v>
      </c>
      <c r="D89" s="87" t="s">
        <v>150</v>
      </c>
      <c r="E89" s="87" t="s">
        <v>91</v>
      </c>
      <c r="F89" s="87" t="s">
        <v>4266</v>
      </c>
      <c r="G89" s="87" t="s">
        <v>4267</v>
      </c>
      <c r="H89" s="87" t="s">
        <v>4268</v>
      </c>
      <c r="I89" s="152">
        <v>65.0</v>
      </c>
      <c r="J89" s="152">
        <v>291.35</v>
      </c>
      <c r="K89" s="152">
        <v>18937.75</v>
      </c>
      <c r="L89" s="87" t="s">
        <v>4269</v>
      </c>
    </row>
    <row r="90">
      <c r="A90" s="149">
        <v>89.0</v>
      </c>
      <c r="B90" s="150">
        <v>46051.0</v>
      </c>
      <c r="C90" s="151">
        <v>0.4210185185185185</v>
      </c>
      <c r="D90" s="87" t="s">
        <v>150</v>
      </c>
      <c r="E90" s="87" t="s">
        <v>92</v>
      </c>
      <c r="F90" s="87" t="s">
        <v>4266</v>
      </c>
      <c r="G90" s="87" t="s">
        <v>4267</v>
      </c>
      <c r="H90" s="87" t="s">
        <v>4268</v>
      </c>
      <c r="I90" s="152">
        <v>65.0</v>
      </c>
      <c r="J90" s="152">
        <v>293.2</v>
      </c>
      <c r="K90" s="152">
        <v>19058.0</v>
      </c>
      <c r="L90" s="87" t="s">
        <v>4269</v>
      </c>
    </row>
    <row r="91">
      <c r="A91" s="149">
        <v>90.0</v>
      </c>
      <c r="B91" s="150">
        <v>46051.0</v>
      </c>
      <c r="C91" s="151">
        <v>0.4215509259259259</v>
      </c>
      <c r="D91" s="87" t="s">
        <v>151</v>
      </c>
      <c r="E91" s="87" t="s">
        <v>91</v>
      </c>
      <c r="F91" s="87" t="s">
        <v>4266</v>
      </c>
      <c r="G91" s="87" t="s">
        <v>4267</v>
      </c>
      <c r="H91" s="87" t="s">
        <v>4268</v>
      </c>
      <c r="I91" s="152">
        <v>195.0</v>
      </c>
      <c r="J91" s="152">
        <v>207.6</v>
      </c>
      <c r="K91" s="152">
        <v>40482.0</v>
      </c>
      <c r="L91" s="87" t="s">
        <v>4269</v>
      </c>
    </row>
    <row r="92">
      <c r="A92" s="149">
        <v>91.0</v>
      </c>
      <c r="B92" s="150">
        <v>46051.0</v>
      </c>
      <c r="C92" s="151">
        <v>0.4222916666666667</v>
      </c>
      <c r="D92" s="87" t="s">
        <v>151</v>
      </c>
      <c r="E92" s="87" t="s">
        <v>92</v>
      </c>
      <c r="F92" s="87" t="s">
        <v>4266</v>
      </c>
      <c r="G92" s="87" t="s">
        <v>4267</v>
      </c>
      <c r="H92" s="87" t="s">
        <v>4268</v>
      </c>
      <c r="I92" s="152">
        <v>195.0</v>
      </c>
      <c r="J92" s="152">
        <v>205.2</v>
      </c>
      <c r="K92" s="152">
        <v>40014.0</v>
      </c>
      <c r="L92" s="87" t="s">
        <v>4269</v>
      </c>
    </row>
    <row r="93">
      <c r="A93" s="149">
        <v>92.0</v>
      </c>
      <c r="B93" s="150">
        <v>46051.0</v>
      </c>
      <c r="C93" s="151">
        <v>0.4757986111111111</v>
      </c>
      <c r="D93" s="87" t="s">
        <v>152</v>
      </c>
      <c r="E93" s="87" t="s">
        <v>91</v>
      </c>
      <c r="F93" s="87" t="s">
        <v>4266</v>
      </c>
      <c r="G93" s="87" t="s">
        <v>4267</v>
      </c>
      <c r="H93" s="87" t="s">
        <v>4268</v>
      </c>
      <c r="I93" s="152">
        <v>65.0</v>
      </c>
      <c r="J93" s="152">
        <v>273.1</v>
      </c>
      <c r="K93" s="152">
        <v>17751.5</v>
      </c>
      <c r="L93" s="87" t="s">
        <v>4269</v>
      </c>
    </row>
    <row r="94">
      <c r="A94" s="149">
        <v>93.0</v>
      </c>
      <c r="B94" s="150">
        <v>46051.0</v>
      </c>
      <c r="C94" s="151">
        <v>0.47672453703703704</v>
      </c>
      <c r="D94" s="87" t="s">
        <v>152</v>
      </c>
      <c r="E94" s="87" t="s">
        <v>92</v>
      </c>
      <c r="F94" s="87" t="s">
        <v>4266</v>
      </c>
      <c r="G94" s="87" t="s">
        <v>4267</v>
      </c>
      <c r="H94" s="87" t="s">
        <v>4268</v>
      </c>
      <c r="I94" s="152">
        <v>65.0</v>
      </c>
      <c r="J94" s="152">
        <v>282.4</v>
      </c>
      <c r="K94" s="152">
        <v>18356.0</v>
      </c>
      <c r="L94" s="87" t="s">
        <v>4269</v>
      </c>
    </row>
    <row r="95">
      <c r="A95" s="149">
        <v>94.0</v>
      </c>
      <c r="B95" s="150">
        <v>46051.0</v>
      </c>
      <c r="C95" s="151">
        <v>0.4847106481481481</v>
      </c>
      <c r="D95" s="87" t="s">
        <v>152</v>
      </c>
      <c r="E95" s="87" t="s">
        <v>91</v>
      </c>
      <c r="F95" s="87" t="s">
        <v>4266</v>
      </c>
      <c r="G95" s="87" t="s">
        <v>4267</v>
      </c>
      <c r="H95" s="87" t="s">
        <v>4268</v>
      </c>
      <c r="I95" s="152">
        <v>65.0</v>
      </c>
      <c r="J95" s="152">
        <v>290.65</v>
      </c>
      <c r="K95" s="152">
        <v>18892.25</v>
      </c>
      <c r="L95" s="87" t="s">
        <v>4269</v>
      </c>
    </row>
    <row r="96">
      <c r="A96" s="149">
        <v>95.0</v>
      </c>
      <c r="B96" s="150">
        <v>46051.0</v>
      </c>
      <c r="C96" s="151">
        <v>0.48747685185185186</v>
      </c>
      <c r="D96" s="87" t="s">
        <v>152</v>
      </c>
      <c r="E96" s="87" t="s">
        <v>92</v>
      </c>
      <c r="F96" s="87" t="s">
        <v>4266</v>
      </c>
      <c r="G96" s="87" t="s">
        <v>4267</v>
      </c>
      <c r="H96" s="87" t="s">
        <v>4268</v>
      </c>
      <c r="I96" s="152">
        <v>65.0</v>
      </c>
      <c r="J96" s="152">
        <v>286.85</v>
      </c>
      <c r="K96" s="152">
        <v>18645.25</v>
      </c>
      <c r="L96" s="87" t="s">
        <v>4269</v>
      </c>
    </row>
    <row r="97">
      <c r="A97" s="149">
        <v>96.0</v>
      </c>
      <c r="B97" s="150">
        <v>46051.0</v>
      </c>
      <c r="C97" s="151">
        <v>0.48993055555555554</v>
      </c>
      <c r="D97" s="87" t="s">
        <v>152</v>
      </c>
      <c r="E97" s="87" t="s">
        <v>91</v>
      </c>
      <c r="F97" s="87" t="s">
        <v>4266</v>
      </c>
      <c r="G97" s="87" t="s">
        <v>4267</v>
      </c>
      <c r="H97" s="87" t="s">
        <v>4268</v>
      </c>
      <c r="I97" s="152">
        <v>65.0</v>
      </c>
      <c r="J97" s="152">
        <v>289.1</v>
      </c>
      <c r="K97" s="152">
        <v>18791.5</v>
      </c>
      <c r="L97" s="87" t="s">
        <v>4269</v>
      </c>
    </row>
    <row r="98">
      <c r="A98" s="149">
        <v>97.0</v>
      </c>
      <c r="B98" s="150">
        <v>46051.0</v>
      </c>
      <c r="C98" s="151">
        <v>0.49181712962962965</v>
      </c>
      <c r="D98" s="87" t="s">
        <v>152</v>
      </c>
      <c r="E98" s="87" t="s">
        <v>92</v>
      </c>
      <c r="F98" s="87" t="s">
        <v>4266</v>
      </c>
      <c r="G98" s="87" t="s">
        <v>4267</v>
      </c>
      <c r="H98" s="87" t="s">
        <v>4268</v>
      </c>
      <c r="I98" s="152">
        <v>65.0</v>
      </c>
      <c r="J98" s="152">
        <v>284.65</v>
      </c>
      <c r="K98" s="152">
        <v>18502.25</v>
      </c>
      <c r="L98" s="87" t="s">
        <v>4269</v>
      </c>
    </row>
    <row r="99">
      <c r="A99" s="149">
        <v>98.0</v>
      </c>
      <c r="B99" s="150">
        <v>46051.0</v>
      </c>
      <c r="C99" s="151">
        <v>0.4921990740740741</v>
      </c>
      <c r="D99" s="87" t="s">
        <v>152</v>
      </c>
      <c r="E99" s="87" t="s">
        <v>91</v>
      </c>
      <c r="F99" s="87" t="s">
        <v>4266</v>
      </c>
      <c r="G99" s="87" t="s">
        <v>4267</v>
      </c>
      <c r="H99" s="87" t="s">
        <v>4268</v>
      </c>
      <c r="I99" s="152">
        <v>65.0</v>
      </c>
      <c r="J99" s="152">
        <v>291.05</v>
      </c>
      <c r="K99" s="152">
        <v>18918.25</v>
      </c>
      <c r="L99" s="87" t="s">
        <v>4269</v>
      </c>
    </row>
    <row r="100">
      <c r="A100" s="149">
        <v>99.0</v>
      </c>
      <c r="B100" s="150">
        <v>46051.0</v>
      </c>
      <c r="C100" s="151">
        <v>0.4933101851851852</v>
      </c>
      <c r="D100" s="87" t="s">
        <v>152</v>
      </c>
      <c r="E100" s="87" t="s">
        <v>92</v>
      </c>
      <c r="F100" s="87" t="s">
        <v>4266</v>
      </c>
      <c r="G100" s="87" t="s">
        <v>4267</v>
      </c>
      <c r="H100" s="87" t="s">
        <v>4268</v>
      </c>
      <c r="I100" s="152">
        <v>65.0</v>
      </c>
      <c r="J100" s="152">
        <v>282.0</v>
      </c>
      <c r="K100" s="152">
        <v>18330.0</v>
      </c>
      <c r="L100" s="87" t="s">
        <v>4269</v>
      </c>
    </row>
    <row r="101">
      <c r="A101" s="149">
        <v>100.0</v>
      </c>
      <c r="B101" s="150">
        <v>46051.0</v>
      </c>
      <c r="C101" s="151">
        <v>0.4945949074074074</v>
      </c>
      <c r="D101" s="87" t="s">
        <v>153</v>
      </c>
      <c r="E101" s="87" t="s">
        <v>91</v>
      </c>
      <c r="F101" s="87" t="s">
        <v>4266</v>
      </c>
      <c r="G101" s="87" t="s">
        <v>4267</v>
      </c>
      <c r="H101" s="87" t="s">
        <v>4268</v>
      </c>
      <c r="I101" s="152">
        <v>65.0</v>
      </c>
      <c r="J101" s="152">
        <v>257.1</v>
      </c>
      <c r="K101" s="152">
        <v>16711.5</v>
      </c>
      <c r="L101" s="87" t="s">
        <v>4269</v>
      </c>
    </row>
    <row r="102">
      <c r="A102" s="149">
        <v>101.0</v>
      </c>
      <c r="B102" s="150">
        <v>46051.0</v>
      </c>
      <c r="C102" s="151">
        <v>0.5023148148148148</v>
      </c>
      <c r="D102" s="87" t="s">
        <v>153</v>
      </c>
      <c r="E102" s="87" t="s">
        <v>92</v>
      </c>
      <c r="F102" s="87" t="s">
        <v>4266</v>
      </c>
      <c r="G102" s="87" t="s">
        <v>4267</v>
      </c>
      <c r="H102" s="87" t="s">
        <v>4268</v>
      </c>
      <c r="I102" s="152">
        <v>65.0</v>
      </c>
      <c r="J102" s="152">
        <v>247.1</v>
      </c>
      <c r="K102" s="152">
        <v>16061.5</v>
      </c>
      <c r="L102" s="87" t="s">
        <v>4269</v>
      </c>
    </row>
    <row r="103">
      <c r="A103" s="149">
        <v>102.0</v>
      </c>
      <c r="B103" s="150">
        <v>46051.0</v>
      </c>
      <c r="C103" s="151">
        <v>0.5083680555555555</v>
      </c>
      <c r="D103" s="87" t="s">
        <v>149</v>
      </c>
      <c r="E103" s="87" t="s">
        <v>91</v>
      </c>
      <c r="F103" s="87" t="s">
        <v>4266</v>
      </c>
      <c r="G103" s="87" t="s">
        <v>4267</v>
      </c>
      <c r="H103" s="87" t="s">
        <v>4268</v>
      </c>
      <c r="I103" s="152">
        <v>130.0</v>
      </c>
      <c r="J103" s="152">
        <v>186.6</v>
      </c>
      <c r="K103" s="152">
        <v>24258.0</v>
      </c>
      <c r="L103" s="87" t="s">
        <v>4269</v>
      </c>
    </row>
    <row r="104">
      <c r="A104" s="149">
        <v>103.0</v>
      </c>
      <c r="B104" s="150">
        <v>46051.0</v>
      </c>
      <c r="C104" s="151">
        <v>0.5200578703703703</v>
      </c>
      <c r="D104" s="87" t="s">
        <v>149</v>
      </c>
      <c r="E104" s="87" t="s">
        <v>92</v>
      </c>
      <c r="F104" s="87" t="s">
        <v>4266</v>
      </c>
      <c r="G104" s="87" t="s">
        <v>4267</v>
      </c>
      <c r="H104" s="87" t="s">
        <v>4268</v>
      </c>
      <c r="I104" s="152">
        <v>130.0</v>
      </c>
      <c r="J104" s="152">
        <v>186.5</v>
      </c>
      <c r="K104" s="152">
        <v>24245.0</v>
      </c>
      <c r="L104" s="87" t="s">
        <v>4269</v>
      </c>
    </row>
    <row r="105">
      <c r="A105" s="149">
        <v>104.0</v>
      </c>
      <c r="B105" s="150">
        <v>46051.0</v>
      </c>
      <c r="C105" s="151">
        <v>0.5354513888888889</v>
      </c>
      <c r="D105" s="87" t="s">
        <v>154</v>
      </c>
      <c r="E105" s="87" t="s">
        <v>91</v>
      </c>
      <c r="F105" s="87" t="s">
        <v>4266</v>
      </c>
      <c r="G105" s="87" t="s">
        <v>4267</v>
      </c>
      <c r="H105" s="87" t="s">
        <v>4268</v>
      </c>
      <c r="I105" s="152">
        <v>65.0</v>
      </c>
      <c r="J105" s="152">
        <v>161.85</v>
      </c>
      <c r="K105" s="152">
        <v>10520.25</v>
      </c>
      <c r="L105" s="87" t="s">
        <v>4269</v>
      </c>
    </row>
    <row r="106">
      <c r="A106" s="149">
        <v>105.0</v>
      </c>
      <c r="B106" s="150">
        <v>46051.0</v>
      </c>
      <c r="C106" s="151">
        <v>0.547511574074074</v>
      </c>
      <c r="D106" s="87" t="s">
        <v>154</v>
      </c>
      <c r="E106" s="87" t="s">
        <v>92</v>
      </c>
      <c r="F106" s="87" t="s">
        <v>4266</v>
      </c>
      <c r="G106" s="87" t="s">
        <v>4267</v>
      </c>
      <c r="H106" s="87" t="s">
        <v>4268</v>
      </c>
      <c r="I106" s="152">
        <v>65.0</v>
      </c>
      <c r="J106" s="152">
        <v>186.3</v>
      </c>
      <c r="K106" s="152">
        <v>12109.5</v>
      </c>
      <c r="L106" s="87" t="s">
        <v>4269</v>
      </c>
    </row>
    <row r="107">
      <c r="A107" s="149">
        <v>106.0</v>
      </c>
      <c r="B107" s="150">
        <v>46052.0</v>
      </c>
      <c r="C107" s="151">
        <v>0.4646180555555556</v>
      </c>
      <c r="D107" s="87" t="s">
        <v>155</v>
      </c>
      <c r="E107" s="87" t="s">
        <v>91</v>
      </c>
      <c r="F107" s="87" t="s">
        <v>4266</v>
      </c>
      <c r="G107" s="87" t="s">
        <v>4267</v>
      </c>
      <c r="H107" s="87" t="s">
        <v>4268</v>
      </c>
      <c r="I107" s="149">
        <v>65.0</v>
      </c>
      <c r="J107" s="152">
        <v>204.6</v>
      </c>
      <c r="K107" s="152">
        <v>26598.0</v>
      </c>
      <c r="L107" s="87" t="s">
        <v>4269</v>
      </c>
    </row>
    <row r="108">
      <c r="A108" s="149">
        <v>107.0</v>
      </c>
      <c r="B108" s="150">
        <v>46052.0</v>
      </c>
      <c r="C108" s="151">
        <v>0.4706828703703704</v>
      </c>
      <c r="D108" s="87" t="s">
        <v>155</v>
      </c>
      <c r="E108" s="87" t="s">
        <v>92</v>
      </c>
      <c r="F108" s="87" t="s">
        <v>4266</v>
      </c>
      <c r="G108" s="87" t="s">
        <v>4267</v>
      </c>
      <c r="H108" s="87" t="s">
        <v>4268</v>
      </c>
      <c r="I108" s="152">
        <v>65.0</v>
      </c>
      <c r="J108" s="152">
        <v>220.5</v>
      </c>
      <c r="K108" s="152">
        <v>14332.5</v>
      </c>
      <c r="L108" s="87" t="s">
        <v>4269</v>
      </c>
    </row>
    <row r="109">
      <c r="A109" s="149">
        <v>106.0</v>
      </c>
      <c r="B109" s="150">
        <v>46052.0</v>
      </c>
      <c r="C109" s="151">
        <v>0.4646180555555556</v>
      </c>
      <c r="D109" s="87" t="s">
        <v>155</v>
      </c>
      <c r="E109" s="87" t="s">
        <v>91</v>
      </c>
      <c r="F109" s="87" t="s">
        <v>4266</v>
      </c>
      <c r="G109" s="87" t="s">
        <v>4267</v>
      </c>
      <c r="H109" s="87" t="s">
        <v>4268</v>
      </c>
      <c r="I109" s="149">
        <v>65.0</v>
      </c>
      <c r="J109" s="152">
        <v>204.6</v>
      </c>
      <c r="K109" s="152">
        <v>26598.0</v>
      </c>
      <c r="L109" s="87" t="s">
        <v>4269</v>
      </c>
    </row>
    <row r="110">
      <c r="A110" s="149">
        <v>108.0</v>
      </c>
      <c r="B110" s="150">
        <v>46052.0</v>
      </c>
      <c r="C110" s="151">
        <v>0.4774421296296296</v>
      </c>
      <c r="D110" s="87" t="s">
        <v>155</v>
      </c>
      <c r="E110" s="87" t="s">
        <v>92</v>
      </c>
      <c r="F110" s="87" t="s">
        <v>4266</v>
      </c>
      <c r="G110" s="87" t="s">
        <v>4267</v>
      </c>
      <c r="H110" s="87" t="s">
        <v>4268</v>
      </c>
      <c r="I110" s="152">
        <v>65.0</v>
      </c>
      <c r="J110" s="152">
        <v>201.1</v>
      </c>
      <c r="K110" s="152">
        <v>13071.5</v>
      </c>
      <c r="L110" s="87" t="s">
        <v>4269</v>
      </c>
    </row>
    <row r="111">
      <c r="A111" s="149">
        <v>109.0</v>
      </c>
      <c r="B111" s="150">
        <v>46052.0</v>
      </c>
      <c r="C111" s="151">
        <v>0.49247685185185186</v>
      </c>
      <c r="D111" s="87" t="s">
        <v>152</v>
      </c>
      <c r="E111" s="87" t="s">
        <v>91</v>
      </c>
      <c r="F111" s="87" t="s">
        <v>4266</v>
      </c>
      <c r="G111" s="87" t="s">
        <v>4267</v>
      </c>
      <c r="H111" s="87" t="s">
        <v>4268</v>
      </c>
      <c r="I111" s="152">
        <v>65.0</v>
      </c>
      <c r="J111" s="152">
        <v>307.3</v>
      </c>
      <c r="K111" s="152">
        <v>19974.5</v>
      </c>
      <c r="L111" s="87" t="s">
        <v>4269</v>
      </c>
    </row>
    <row r="112">
      <c r="A112" s="149">
        <v>110.0</v>
      </c>
      <c r="B112" s="150">
        <v>46052.0</v>
      </c>
      <c r="C112" s="151">
        <v>0.4938425925925926</v>
      </c>
      <c r="D112" s="87" t="s">
        <v>152</v>
      </c>
      <c r="E112" s="87" t="s">
        <v>92</v>
      </c>
      <c r="F112" s="87" t="s">
        <v>4266</v>
      </c>
      <c r="G112" s="87" t="s">
        <v>4267</v>
      </c>
      <c r="H112" s="87" t="s">
        <v>4268</v>
      </c>
      <c r="I112" s="152">
        <v>65.0</v>
      </c>
      <c r="J112" s="152">
        <v>299.05</v>
      </c>
      <c r="K112" s="152">
        <v>19438.25</v>
      </c>
      <c r="L112" s="87" t="s">
        <v>4269</v>
      </c>
    </row>
    <row r="113">
      <c r="A113" s="149">
        <v>111.0</v>
      </c>
      <c r="B113" s="150">
        <v>46052.0</v>
      </c>
      <c r="C113" s="151">
        <v>0.5666898148148148</v>
      </c>
      <c r="D113" s="87" t="s">
        <v>156</v>
      </c>
      <c r="E113" s="87" t="s">
        <v>91</v>
      </c>
      <c r="F113" s="87" t="s">
        <v>4266</v>
      </c>
      <c r="G113" s="87" t="s">
        <v>4267</v>
      </c>
      <c r="H113" s="87" t="s">
        <v>4268</v>
      </c>
      <c r="I113" s="152">
        <v>65.0</v>
      </c>
      <c r="J113" s="152">
        <v>166.5</v>
      </c>
      <c r="K113" s="152">
        <v>10822.5</v>
      </c>
      <c r="L113" s="87" t="s">
        <v>4269</v>
      </c>
    </row>
    <row r="114">
      <c r="A114" s="149">
        <v>112.0</v>
      </c>
      <c r="B114" s="150">
        <v>46052.0</v>
      </c>
      <c r="C114" s="151">
        <v>0.5840972222222223</v>
      </c>
      <c r="D114" s="87" t="s">
        <v>156</v>
      </c>
      <c r="E114" s="87" t="s">
        <v>92</v>
      </c>
      <c r="F114" s="87" t="s">
        <v>4266</v>
      </c>
      <c r="G114" s="87" t="s">
        <v>4267</v>
      </c>
      <c r="H114" s="87" t="s">
        <v>4268</v>
      </c>
      <c r="I114" s="152">
        <v>65.0</v>
      </c>
      <c r="J114" s="152">
        <v>202.1</v>
      </c>
      <c r="K114" s="152">
        <v>13136.5</v>
      </c>
      <c r="L114" s="87" t="s">
        <v>4269</v>
      </c>
    </row>
    <row r="115">
      <c r="A115" s="46">
        <v>113.0</v>
      </c>
      <c r="B115" s="150">
        <v>46055.0</v>
      </c>
      <c r="C115" s="151">
        <v>0.5834259259259259</v>
      </c>
      <c r="D115" s="87" t="s">
        <v>158</v>
      </c>
      <c r="E115" s="87" t="s">
        <v>91</v>
      </c>
      <c r="F115" s="87" t="s">
        <v>4266</v>
      </c>
      <c r="G115" s="87" t="s">
        <v>4267</v>
      </c>
      <c r="H115" s="87" t="s">
        <v>4268</v>
      </c>
      <c r="I115" s="149">
        <v>65.0</v>
      </c>
      <c r="J115" s="152">
        <v>68.2</v>
      </c>
      <c r="K115" s="152">
        <v>8866.0</v>
      </c>
      <c r="L115" s="87" t="s">
        <v>4269</v>
      </c>
    </row>
    <row r="116">
      <c r="A116" s="46">
        <v>114.0</v>
      </c>
      <c r="B116" s="150">
        <v>46055.0</v>
      </c>
      <c r="C116" s="151">
        <v>0.5834259259259259</v>
      </c>
      <c r="D116" s="87" t="s">
        <v>158</v>
      </c>
      <c r="E116" s="87" t="s">
        <v>91</v>
      </c>
      <c r="F116" s="87" t="s">
        <v>4266</v>
      </c>
      <c r="G116" s="87" t="s">
        <v>4267</v>
      </c>
      <c r="H116" s="87" t="s">
        <v>4268</v>
      </c>
      <c r="I116" s="149">
        <v>65.0</v>
      </c>
      <c r="J116" s="152">
        <v>68.2</v>
      </c>
      <c r="K116" s="152">
        <v>8866.0</v>
      </c>
      <c r="L116" s="87" t="s">
        <v>4269</v>
      </c>
    </row>
    <row r="117">
      <c r="A117" s="46">
        <v>115.0</v>
      </c>
      <c r="B117" s="150">
        <v>46055.0</v>
      </c>
      <c r="C117" s="151">
        <v>0.5979629629629629</v>
      </c>
      <c r="D117" s="87" t="s">
        <v>158</v>
      </c>
      <c r="E117" s="87" t="s">
        <v>92</v>
      </c>
      <c r="F117" s="87" t="s">
        <v>4266</v>
      </c>
      <c r="G117" s="87" t="s">
        <v>4267</v>
      </c>
      <c r="H117" s="87" t="s">
        <v>4268</v>
      </c>
      <c r="I117" s="152">
        <v>65.0</v>
      </c>
      <c r="J117" s="152">
        <v>66.4</v>
      </c>
      <c r="K117" s="152">
        <v>4316.0</v>
      </c>
      <c r="L117" s="87" t="s">
        <v>4269</v>
      </c>
    </row>
    <row r="118">
      <c r="A118" s="46">
        <v>116.0</v>
      </c>
      <c r="B118" s="150">
        <v>46055.0</v>
      </c>
      <c r="C118" s="151">
        <v>0.61625</v>
      </c>
      <c r="D118" s="87" t="s">
        <v>158</v>
      </c>
      <c r="E118" s="87" t="s">
        <v>92</v>
      </c>
      <c r="F118" s="87" t="s">
        <v>4266</v>
      </c>
      <c r="G118" s="87" t="s">
        <v>4267</v>
      </c>
      <c r="H118" s="87" t="s">
        <v>4268</v>
      </c>
      <c r="I118" s="152">
        <v>65.0</v>
      </c>
      <c r="J118" s="152">
        <v>59.55</v>
      </c>
      <c r="K118" s="152">
        <v>3870.75</v>
      </c>
      <c r="L118" s="87" t="s">
        <v>4269</v>
      </c>
    </row>
    <row r="119">
      <c r="A119" s="46">
        <v>117.0</v>
      </c>
      <c r="B119" s="150">
        <v>46056.0</v>
      </c>
      <c r="C119" s="151">
        <v>0.4516898148148148</v>
      </c>
      <c r="D119" s="87" t="s">
        <v>159</v>
      </c>
      <c r="E119" s="87" t="s">
        <v>91</v>
      </c>
      <c r="F119" s="87" t="s">
        <v>4270</v>
      </c>
      <c r="G119" s="87" t="s">
        <v>4267</v>
      </c>
      <c r="H119" s="87" t="s">
        <v>4268</v>
      </c>
      <c r="I119" s="152">
        <v>65.0</v>
      </c>
      <c r="J119" s="152">
        <v>237.2</v>
      </c>
      <c r="K119" s="152">
        <v>15418.0</v>
      </c>
      <c r="L119" s="87" t="s">
        <v>4269</v>
      </c>
    </row>
    <row r="120">
      <c r="A120" s="46">
        <v>118.0</v>
      </c>
      <c r="B120" s="150">
        <v>46056.0</v>
      </c>
      <c r="C120" s="151">
        <v>0.4542476851851852</v>
      </c>
      <c r="D120" s="87" t="s">
        <v>159</v>
      </c>
      <c r="E120" s="87" t="s">
        <v>92</v>
      </c>
      <c r="F120" s="87" t="s">
        <v>4270</v>
      </c>
      <c r="G120" s="87" t="s">
        <v>4267</v>
      </c>
      <c r="H120" s="87" t="s">
        <v>4268</v>
      </c>
      <c r="I120" s="152">
        <v>65.0</v>
      </c>
      <c r="J120" s="152">
        <v>236.1</v>
      </c>
      <c r="K120" s="152">
        <v>15346.5</v>
      </c>
      <c r="L120" s="87" t="s">
        <v>4269</v>
      </c>
    </row>
    <row r="121">
      <c r="A121" s="46">
        <v>119.0</v>
      </c>
      <c r="B121" s="150">
        <v>46056.0</v>
      </c>
      <c r="C121" s="151">
        <v>0.4654050925925926</v>
      </c>
      <c r="D121" s="87" t="s">
        <v>159</v>
      </c>
      <c r="E121" s="87" t="s">
        <v>91</v>
      </c>
      <c r="F121" s="87" t="s">
        <v>4270</v>
      </c>
      <c r="G121" s="87" t="s">
        <v>4267</v>
      </c>
      <c r="H121" s="87" t="s">
        <v>4268</v>
      </c>
      <c r="I121" s="152">
        <v>65.0</v>
      </c>
      <c r="J121" s="152">
        <v>225.0</v>
      </c>
      <c r="K121" s="152">
        <v>14625.0</v>
      </c>
      <c r="L121" s="87" t="s">
        <v>4269</v>
      </c>
    </row>
    <row r="122">
      <c r="A122" s="46">
        <v>120.0</v>
      </c>
      <c r="B122" s="150">
        <v>46056.0</v>
      </c>
      <c r="C122" s="151">
        <v>0.4675462962962963</v>
      </c>
      <c r="D122" s="87" t="s">
        <v>159</v>
      </c>
      <c r="E122" s="87" t="s">
        <v>92</v>
      </c>
      <c r="F122" s="87" t="s">
        <v>4270</v>
      </c>
      <c r="G122" s="87" t="s">
        <v>4267</v>
      </c>
      <c r="H122" s="87" t="s">
        <v>4268</v>
      </c>
      <c r="I122" s="152">
        <v>65.0</v>
      </c>
      <c r="J122" s="152">
        <v>220.95</v>
      </c>
      <c r="K122" s="152">
        <v>14361.75</v>
      </c>
      <c r="L122" s="87" t="s">
        <v>4269</v>
      </c>
    </row>
    <row r="123">
      <c r="A123" s="46">
        <v>121.0</v>
      </c>
      <c r="B123" s="150">
        <v>46056.0</v>
      </c>
      <c r="C123" s="151">
        <v>0.4771064814814815</v>
      </c>
      <c r="D123" s="87" t="s">
        <v>160</v>
      </c>
      <c r="E123" s="87" t="s">
        <v>91</v>
      </c>
      <c r="F123" s="87" t="s">
        <v>4266</v>
      </c>
      <c r="G123" s="87" t="s">
        <v>4267</v>
      </c>
      <c r="H123" s="87" t="s">
        <v>4268</v>
      </c>
      <c r="I123" s="149">
        <v>65.0</v>
      </c>
      <c r="J123" s="152">
        <v>228.2</v>
      </c>
      <c r="K123" s="152">
        <v>29666.0</v>
      </c>
      <c r="L123" s="87" t="s">
        <v>4269</v>
      </c>
    </row>
    <row r="124">
      <c r="A124" s="46">
        <v>122.0</v>
      </c>
      <c r="B124" s="150">
        <v>46056.0</v>
      </c>
      <c r="C124" s="151">
        <v>0.4771064814814815</v>
      </c>
      <c r="D124" s="87" t="s">
        <v>160</v>
      </c>
      <c r="E124" s="87" t="s">
        <v>91</v>
      </c>
      <c r="F124" s="87" t="s">
        <v>4266</v>
      </c>
      <c r="G124" s="87" t="s">
        <v>4267</v>
      </c>
      <c r="H124" s="87" t="s">
        <v>4268</v>
      </c>
      <c r="I124" s="149">
        <v>65.0</v>
      </c>
      <c r="J124" s="152">
        <v>228.2</v>
      </c>
      <c r="K124" s="152">
        <v>29666.0</v>
      </c>
      <c r="L124" s="87" t="s">
        <v>4269</v>
      </c>
    </row>
    <row r="125">
      <c r="A125" s="46">
        <v>123.0</v>
      </c>
      <c r="B125" s="150">
        <v>46056.0</v>
      </c>
      <c r="C125" s="151">
        <v>0.48171296296296295</v>
      </c>
      <c r="D125" s="87" t="s">
        <v>160</v>
      </c>
      <c r="E125" s="87" t="s">
        <v>92</v>
      </c>
      <c r="F125" s="87" t="s">
        <v>4266</v>
      </c>
      <c r="G125" s="87" t="s">
        <v>4267</v>
      </c>
      <c r="H125" s="87" t="s">
        <v>4268</v>
      </c>
      <c r="I125" s="152">
        <v>65.0</v>
      </c>
      <c r="J125" s="152">
        <v>251.85</v>
      </c>
      <c r="K125" s="152">
        <v>16370.25</v>
      </c>
      <c r="L125" s="87" t="s">
        <v>4269</v>
      </c>
    </row>
    <row r="126">
      <c r="A126" s="46">
        <v>124.0</v>
      </c>
      <c r="B126" s="150">
        <v>46056.0</v>
      </c>
      <c r="C126" s="151">
        <v>0.48493055555555553</v>
      </c>
      <c r="D126" s="87" t="s">
        <v>160</v>
      </c>
      <c r="E126" s="87" t="s">
        <v>92</v>
      </c>
      <c r="F126" s="87" t="s">
        <v>4266</v>
      </c>
      <c r="G126" s="87" t="s">
        <v>4267</v>
      </c>
      <c r="H126" s="87" t="s">
        <v>4268</v>
      </c>
      <c r="I126" s="152">
        <v>65.0</v>
      </c>
      <c r="J126" s="152">
        <v>242.15</v>
      </c>
      <c r="K126" s="152">
        <v>15739.75</v>
      </c>
      <c r="L126" s="87" t="s">
        <v>4269</v>
      </c>
    </row>
    <row r="127">
      <c r="A127" s="46">
        <v>125.0</v>
      </c>
      <c r="B127" s="150">
        <v>46057.0</v>
      </c>
      <c r="C127" s="151">
        <v>0.42712962962962964</v>
      </c>
      <c r="D127" s="87" t="s">
        <v>161</v>
      </c>
      <c r="E127" s="87" t="s">
        <v>91</v>
      </c>
      <c r="F127" s="87" t="s">
        <v>4266</v>
      </c>
      <c r="G127" s="87" t="s">
        <v>4267</v>
      </c>
      <c r="H127" s="87" t="s">
        <v>4268</v>
      </c>
      <c r="I127" s="149">
        <v>65.0</v>
      </c>
      <c r="J127" s="152">
        <v>131.15</v>
      </c>
      <c r="K127" s="152">
        <v>17049.5</v>
      </c>
      <c r="L127" s="87" t="s">
        <v>4269</v>
      </c>
    </row>
    <row r="128">
      <c r="A128" s="46">
        <v>126.0</v>
      </c>
      <c r="B128" s="150">
        <v>46057.0</v>
      </c>
      <c r="C128" s="151">
        <v>0.42712962962962964</v>
      </c>
      <c r="D128" s="87" t="s">
        <v>161</v>
      </c>
      <c r="E128" s="87" t="s">
        <v>91</v>
      </c>
      <c r="F128" s="87" t="s">
        <v>4266</v>
      </c>
      <c r="G128" s="87" t="s">
        <v>4267</v>
      </c>
      <c r="H128" s="87" t="s">
        <v>4268</v>
      </c>
      <c r="I128" s="149">
        <v>65.0</v>
      </c>
      <c r="J128" s="152">
        <v>131.15</v>
      </c>
      <c r="K128" s="152">
        <v>17049.5</v>
      </c>
      <c r="L128" s="87" t="s">
        <v>4269</v>
      </c>
    </row>
    <row r="129">
      <c r="A129" s="46">
        <v>127.0</v>
      </c>
      <c r="B129" s="150">
        <v>46057.0</v>
      </c>
      <c r="C129" s="151">
        <v>0.4424884259259259</v>
      </c>
      <c r="D129" s="87" t="s">
        <v>161</v>
      </c>
      <c r="E129" s="87" t="s">
        <v>92</v>
      </c>
      <c r="F129" s="87" t="s">
        <v>4266</v>
      </c>
      <c r="G129" s="87" t="s">
        <v>4267</v>
      </c>
      <c r="H129" s="87" t="s">
        <v>4268</v>
      </c>
      <c r="I129" s="152">
        <v>65.0</v>
      </c>
      <c r="J129" s="152">
        <v>152.1</v>
      </c>
      <c r="K129" s="152">
        <v>9886.5</v>
      </c>
      <c r="L129" s="87" t="s">
        <v>4269</v>
      </c>
    </row>
    <row r="130">
      <c r="A130" s="46">
        <v>128.0</v>
      </c>
      <c r="B130" s="150">
        <v>46057.0</v>
      </c>
      <c r="C130" s="151">
        <v>0.45038194444444446</v>
      </c>
      <c r="D130" s="87" t="s">
        <v>161</v>
      </c>
      <c r="E130" s="87" t="s">
        <v>92</v>
      </c>
      <c r="F130" s="87" t="s">
        <v>4266</v>
      </c>
      <c r="G130" s="87" t="s">
        <v>4267</v>
      </c>
      <c r="H130" s="87" t="s">
        <v>4268</v>
      </c>
      <c r="I130" s="152">
        <v>65.0</v>
      </c>
      <c r="J130" s="152">
        <v>140.0</v>
      </c>
      <c r="K130" s="152">
        <v>9100.0</v>
      </c>
      <c r="L130" s="87" t="s">
        <v>4269</v>
      </c>
    </row>
    <row r="131">
      <c r="A131" s="46">
        <v>129.0</v>
      </c>
      <c r="B131" s="150">
        <v>46057.0</v>
      </c>
      <c r="C131" s="151">
        <v>0.5333564814814815</v>
      </c>
      <c r="D131" s="87" t="s">
        <v>162</v>
      </c>
      <c r="E131" s="87" t="s">
        <v>91</v>
      </c>
      <c r="F131" s="87" t="s">
        <v>4266</v>
      </c>
      <c r="G131" s="87" t="s">
        <v>4267</v>
      </c>
      <c r="H131" s="87" t="s">
        <v>4268</v>
      </c>
      <c r="I131" s="152">
        <v>65.0</v>
      </c>
      <c r="J131" s="152">
        <v>112.85</v>
      </c>
      <c r="K131" s="152">
        <v>7335.25</v>
      </c>
      <c r="L131" s="87" t="s">
        <v>4269</v>
      </c>
    </row>
    <row r="132">
      <c r="A132" s="46">
        <v>130.0</v>
      </c>
      <c r="B132" s="150">
        <v>46057.0</v>
      </c>
      <c r="C132" s="151">
        <v>0.5479976851851852</v>
      </c>
      <c r="D132" s="87" t="s">
        <v>162</v>
      </c>
      <c r="E132" s="87" t="s">
        <v>92</v>
      </c>
      <c r="F132" s="87" t="s">
        <v>4266</v>
      </c>
      <c r="G132" s="87" t="s">
        <v>4267</v>
      </c>
      <c r="H132" s="87" t="s">
        <v>4268</v>
      </c>
      <c r="I132" s="152">
        <v>65.0</v>
      </c>
      <c r="J132" s="152">
        <v>108.0</v>
      </c>
      <c r="K132" s="152">
        <v>7020.0</v>
      </c>
      <c r="L132" s="87" t="s">
        <v>4269</v>
      </c>
    </row>
    <row r="133">
      <c r="A133" s="46">
        <v>131.0</v>
      </c>
      <c r="B133" s="150">
        <v>46058.0</v>
      </c>
      <c r="C133" s="151">
        <v>0.4333564814814815</v>
      </c>
      <c r="D133" s="87" t="s">
        <v>163</v>
      </c>
      <c r="E133" s="87" t="s">
        <v>91</v>
      </c>
      <c r="F133" s="87" t="s">
        <v>4266</v>
      </c>
      <c r="G133" s="87" t="s">
        <v>4267</v>
      </c>
      <c r="H133" s="87" t="s">
        <v>4268</v>
      </c>
      <c r="I133" s="152">
        <v>65.0</v>
      </c>
      <c r="J133" s="152">
        <v>148.7</v>
      </c>
      <c r="K133" s="152">
        <v>9665.5</v>
      </c>
      <c r="L133" s="87" t="s">
        <v>4269</v>
      </c>
    </row>
    <row r="134">
      <c r="A134" s="46">
        <v>132.0</v>
      </c>
      <c r="B134" s="150">
        <v>46058.0</v>
      </c>
      <c r="C134" s="151">
        <v>0.4357638888888889</v>
      </c>
      <c r="D134" s="87" t="s">
        <v>163</v>
      </c>
      <c r="E134" s="87" t="s">
        <v>92</v>
      </c>
      <c r="F134" s="87" t="s">
        <v>4266</v>
      </c>
      <c r="G134" s="87" t="s">
        <v>4267</v>
      </c>
      <c r="H134" s="87" t="s">
        <v>4268</v>
      </c>
      <c r="I134" s="152">
        <v>65.0</v>
      </c>
      <c r="J134" s="152">
        <v>148.0</v>
      </c>
      <c r="K134" s="152">
        <v>9620.0</v>
      </c>
      <c r="L134" s="87" t="s">
        <v>4269</v>
      </c>
    </row>
    <row r="135">
      <c r="A135" s="46">
        <v>133.0</v>
      </c>
      <c r="B135" s="150">
        <v>46058.0</v>
      </c>
      <c r="C135" s="151">
        <v>0.456724537037037</v>
      </c>
      <c r="D135" s="87" t="s">
        <v>162</v>
      </c>
      <c r="E135" s="87" t="s">
        <v>91</v>
      </c>
      <c r="F135" s="87" t="s">
        <v>4266</v>
      </c>
      <c r="G135" s="87" t="s">
        <v>4267</v>
      </c>
      <c r="H135" s="87" t="s">
        <v>4268</v>
      </c>
      <c r="I135" s="152">
        <v>130.0</v>
      </c>
      <c r="J135" s="152">
        <v>143.85</v>
      </c>
      <c r="K135" s="152">
        <v>18700.5</v>
      </c>
      <c r="L135" s="87" t="s">
        <v>4269</v>
      </c>
    </row>
    <row r="136">
      <c r="A136" s="46">
        <v>134.0</v>
      </c>
      <c r="B136" s="150">
        <v>46058.0</v>
      </c>
      <c r="C136" s="151">
        <v>0.46270833333333333</v>
      </c>
      <c r="D136" s="87" t="s">
        <v>162</v>
      </c>
      <c r="E136" s="87" t="s">
        <v>92</v>
      </c>
      <c r="F136" s="87" t="s">
        <v>4266</v>
      </c>
      <c r="G136" s="87" t="s">
        <v>4267</v>
      </c>
      <c r="H136" s="87" t="s">
        <v>4268</v>
      </c>
      <c r="I136" s="152">
        <v>130.0</v>
      </c>
      <c r="J136" s="152">
        <v>134.45</v>
      </c>
      <c r="K136" s="152">
        <v>17478.5</v>
      </c>
      <c r="L136" s="87" t="s">
        <v>4269</v>
      </c>
    </row>
    <row r="137">
      <c r="A137" s="46">
        <v>135.0</v>
      </c>
      <c r="B137" s="150">
        <v>46058.0</v>
      </c>
      <c r="C137" s="151">
        <v>0.6243402777777778</v>
      </c>
      <c r="D137" s="87" t="s">
        <v>164</v>
      </c>
      <c r="E137" s="87" t="s">
        <v>91</v>
      </c>
      <c r="F137" s="87" t="s">
        <v>4266</v>
      </c>
      <c r="G137" s="87" t="s">
        <v>4267</v>
      </c>
      <c r="H137" s="87" t="s">
        <v>4268</v>
      </c>
      <c r="I137" s="152">
        <v>130.0</v>
      </c>
      <c r="J137" s="152">
        <v>142.45</v>
      </c>
      <c r="K137" s="152">
        <v>18518.5</v>
      </c>
      <c r="L137" s="87" t="s">
        <v>4269</v>
      </c>
    </row>
    <row r="138">
      <c r="A138" s="46">
        <v>136.0</v>
      </c>
      <c r="B138" s="150">
        <v>46058.0</v>
      </c>
      <c r="C138" s="151">
        <v>0.6295023148148148</v>
      </c>
      <c r="D138" s="87" t="s">
        <v>164</v>
      </c>
      <c r="E138" s="87" t="s">
        <v>92</v>
      </c>
      <c r="F138" s="87" t="s">
        <v>4266</v>
      </c>
      <c r="G138" s="87" t="s">
        <v>4267</v>
      </c>
      <c r="H138" s="87" t="s">
        <v>4268</v>
      </c>
      <c r="I138" s="152">
        <v>130.0</v>
      </c>
      <c r="J138" s="152">
        <v>145.3</v>
      </c>
      <c r="K138" s="152">
        <v>18889.0</v>
      </c>
      <c r="L138" s="87" t="s">
        <v>4269</v>
      </c>
    </row>
    <row r="139">
      <c r="A139" s="46">
        <v>137.0</v>
      </c>
      <c r="B139" s="150">
        <v>46059.0</v>
      </c>
      <c r="C139" s="151">
        <v>0.4479976851851852</v>
      </c>
      <c r="D139" s="87" t="s">
        <v>165</v>
      </c>
      <c r="E139" s="87" t="s">
        <v>91</v>
      </c>
      <c r="F139" s="87" t="s">
        <v>4266</v>
      </c>
      <c r="G139" s="87" t="s">
        <v>4267</v>
      </c>
      <c r="H139" s="87" t="s">
        <v>4268</v>
      </c>
      <c r="I139" s="149">
        <v>65.0</v>
      </c>
      <c r="J139" s="152">
        <v>108.8</v>
      </c>
      <c r="K139" s="152">
        <v>14144.0</v>
      </c>
      <c r="L139" s="87" t="s">
        <v>4269</v>
      </c>
    </row>
    <row r="140">
      <c r="A140" s="46">
        <v>138.0</v>
      </c>
      <c r="B140" s="150">
        <v>46059.0</v>
      </c>
      <c r="C140" s="151">
        <v>0.4479976851851852</v>
      </c>
      <c r="D140" s="87" t="s">
        <v>165</v>
      </c>
      <c r="E140" s="87" t="s">
        <v>91</v>
      </c>
      <c r="F140" s="87" t="s">
        <v>4266</v>
      </c>
      <c r="G140" s="87" t="s">
        <v>4267</v>
      </c>
      <c r="H140" s="87" t="s">
        <v>4268</v>
      </c>
      <c r="I140" s="149">
        <v>65.0</v>
      </c>
      <c r="J140" s="152">
        <v>108.8</v>
      </c>
      <c r="K140" s="152">
        <v>14144.0</v>
      </c>
      <c r="L140" s="87" t="s">
        <v>4269</v>
      </c>
    </row>
    <row r="141">
      <c r="A141" s="46">
        <v>139.0</v>
      </c>
      <c r="B141" s="150">
        <v>46059.0</v>
      </c>
      <c r="C141" s="151">
        <v>0.457037037037037</v>
      </c>
      <c r="D141" s="87" t="s">
        <v>165</v>
      </c>
      <c r="E141" s="87" t="s">
        <v>92</v>
      </c>
      <c r="F141" s="87" t="s">
        <v>4266</v>
      </c>
      <c r="G141" s="87" t="s">
        <v>4267</v>
      </c>
      <c r="H141" s="87" t="s">
        <v>4268</v>
      </c>
      <c r="I141" s="152">
        <v>65.0</v>
      </c>
      <c r="J141" s="152">
        <v>99.65</v>
      </c>
      <c r="K141" s="152">
        <v>6477.25</v>
      </c>
      <c r="L141" s="87" t="s">
        <v>4269</v>
      </c>
    </row>
    <row r="142">
      <c r="A142" s="46">
        <v>140.0</v>
      </c>
      <c r="B142" s="150">
        <v>46059.0</v>
      </c>
      <c r="C142" s="151">
        <v>0.45839120370370373</v>
      </c>
      <c r="D142" s="87" t="s">
        <v>165</v>
      </c>
      <c r="E142" s="87" t="s">
        <v>92</v>
      </c>
      <c r="F142" s="87" t="s">
        <v>4266</v>
      </c>
      <c r="G142" s="87" t="s">
        <v>4267</v>
      </c>
      <c r="H142" s="87" t="s">
        <v>4268</v>
      </c>
      <c r="I142" s="152">
        <v>65.0</v>
      </c>
      <c r="J142" s="152">
        <v>96.75</v>
      </c>
      <c r="K142" s="152">
        <v>6288.75</v>
      </c>
      <c r="L142" s="87" t="s">
        <v>4269</v>
      </c>
    </row>
    <row r="143">
      <c r="A143" s="46">
        <v>141.0</v>
      </c>
      <c r="B143" s="150">
        <v>46059.0</v>
      </c>
      <c r="C143" s="151">
        <v>0.5812731481481481</v>
      </c>
      <c r="D143" s="87" t="s">
        <v>166</v>
      </c>
      <c r="E143" s="87" t="s">
        <v>91</v>
      </c>
      <c r="F143" s="87" t="s">
        <v>4266</v>
      </c>
      <c r="G143" s="87" t="s">
        <v>4267</v>
      </c>
      <c r="H143" s="87" t="s">
        <v>4268</v>
      </c>
      <c r="I143" s="149">
        <v>65.0</v>
      </c>
      <c r="J143" s="152">
        <v>122.95</v>
      </c>
      <c r="K143" s="152">
        <v>15983.5</v>
      </c>
      <c r="L143" s="87" t="s">
        <v>4269</v>
      </c>
    </row>
    <row r="144">
      <c r="A144" s="46">
        <v>142.0</v>
      </c>
      <c r="B144" s="150">
        <v>46059.0</v>
      </c>
      <c r="C144" s="151">
        <v>0.5812731481481481</v>
      </c>
      <c r="D144" s="87" t="s">
        <v>166</v>
      </c>
      <c r="E144" s="87" t="s">
        <v>91</v>
      </c>
      <c r="F144" s="87" t="s">
        <v>4266</v>
      </c>
      <c r="G144" s="87" t="s">
        <v>4267</v>
      </c>
      <c r="H144" s="87" t="s">
        <v>4268</v>
      </c>
      <c r="I144" s="149">
        <v>65.0</v>
      </c>
      <c r="J144" s="152">
        <v>122.95</v>
      </c>
      <c r="K144" s="152">
        <v>15983.5</v>
      </c>
      <c r="L144" s="87" t="s">
        <v>4269</v>
      </c>
    </row>
    <row r="145">
      <c r="A145" s="46">
        <v>143.0</v>
      </c>
      <c r="B145" s="150">
        <v>46059.0</v>
      </c>
      <c r="C145" s="151">
        <v>0.5879976851851851</v>
      </c>
      <c r="D145" s="87" t="s">
        <v>166</v>
      </c>
      <c r="E145" s="87" t="s">
        <v>92</v>
      </c>
      <c r="F145" s="87" t="s">
        <v>4266</v>
      </c>
      <c r="G145" s="87" t="s">
        <v>4267</v>
      </c>
      <c r="H145" s="87" t="s">
        <v>4268</v>
      </c>
      <c r="I145" s="152">
        <v>65.0</v>
      </c>
      <c r="J145" s="152">
        <v>118.5</v>
      </c>
      <c r="K145" s="152">
        <v>7702.5</v>
      </c>
      <c r="L145" s="87" t="s">
        <v>4269</v>
      </c>
    </row>
    <row r="146">
      <c r="A146" s="46">
        <v>144.0</v>
      </c>
      <c r="B146" s="150">
        <v>46059.0</v>
      </c>
      <c r="C146" s="151">
        <v>0.5880671296296296</v>
      </c>
      <c r="D146" s="87" t="s">
        <v>166</v>
      </c>
      <c r="E146" s="87" t="s">
        <v>92</v>
      </c>
      <c r="F146" s="87" t="s">
        <v>4266</v>
      </c>
      <c r="G146" s="87" t="s">
        <v>4267</v>
      </c>
      <c r="H146" s="87" t="s">
        <v>4268</v>
      </c>
      <c r="I146" s="152">
        <v>65.0</v>
      </c>
      <c r="J146" s="152">
        <v>118.65</v>
      </c>
      <c r="K146" s="152">
        <v>7712.25</v>
      </c>
      <c r="L146" s="87" t="s">
        <v>4269</v>
      </c>
    </row>
  </sheetData>
  <autoFilter ref="$A$1:$L$921"/>
  <conditionalFormatting sqref="E1:E921">
    <cfRule type="containsText" dxfId="1" priority="1" operator="containsText" text="buy">
      <formula>NOT(ISERROR(SEARCH(("buy"),(E1))))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57.63"/>
    <col collapsed="1" customWidth="1" min="2" max="2" width="17.13"/>
    <col customWidth="1" hidden="1" min="3" max="3" width="31.63" outlineLevel="1"/>
    <col customWidth="1" hidden="1" min="4" max="4" width="15.5" outlineLevel="1"/>
    <col customWidth="1" hidden="1" min="5" max="5" width="55.0" outlineLevel="1"/>
  </cols>
  <sheetData>
    <row r="1">
      <c r="A1" s="153" t="s">
        <v>4271</v>
      </c>
      <c r="B1" s="154" t="s">
        <v>4272</v>
      </c>
      <c r="C1" s="154" t="s">
        <v>4273</v>
      </c>
      <c r="D1" s="154" t="s">
        <v>4274</v>
      </c>
      <c r="E1" s="154" t="s">
        <v>4275</v>
      </c>
    </row>
    <row r="2">
      <c r="A2" s="155" t="s">
        <v>4276</v>
      </c>
      <c r="B2" s="156">
        <v>45973.0</v>
      </c>
      <c r="C2" s="157" t="s">
        <v>4277</v>
      </c>
      <c r="D2" s="158"/>
      <c r="E2" s="158"/>
    </row>
    <row r="3">
      <c r="A3" s="155" t="s">
        <v>4278</v>
      </c>
      <c r="B3" s="159">
        <v>45978.0</v>
      </c>
      <c r="C3" s="157" t="s">
        <v>4279</v>
      </c>
      <c r="D3" s="158"/>
      <c r="E3" s="158"/>
    </row>
    <row r="4">
      <c r="A4" s="155" t="s">
        <v>4280</v>
      </c>
      <c r="B4" s="159">
        <v>45978.0</v>
      </c>
      <c r="C4" s="157" t="s">
        <v>4281</v>
      </c>
      <c r="D4" s="158"/>
      <c r="E4" s="160" t="s">
        <v>4282</v>
      </c>
    </row>
    <row r="5">
      <c r="A5" s="155" t="s">
        <v>4283</v>
      </c>
      <c r="B5" s="156">
        <v>45984.0</v>
      </c>
      <c r="C5" s="157" t="s">
        <v>4284</v>
      </c>
      <c r="D5" s="158"/>
      <c r="E5" s="157" t="s">
        <v>4285</v>
      </c>
    </row>
    <row r="6">
      <c r="A6" s="155" t="s">
        <v>4286</v>
      </c>
      <c r="B6" s="159">
        <v>45985.0</v>
      </c>
      <c r="C6" s="157" t="s">
        <v>4287</v>
      </c>
      <c r="D6" s="158"/>
      <c r="E6" s="161" t="s">
        <v>4288</v>
      </c>
    </row>
    <row r="7">
      <c r="A7" s="155" t="s">
        <v>4289</v>
      </c>
      <c r="B7" s="159">
        <v>45985.0</v>
      </c>
      <c r="C7" s="162" t="s">
        <v>4290</v>
      </c>
      <c r="D7" s="158"/>
      <c r="E7" s="157" t="s">
        <v>4291</v>
      </c>
    </row>
    <row r="8">
      <c r="A8" s="155" t="s">
        <v>4292</v>
      </c>
      <c r="B8" s="159">
        <v>45985.0</v>
      </c>
      <c r="C8" s="160" t="s">
        <v>4293</v>
      </c>
      <c r="D8" s="158"/>
      <c r="E8" s="157" t="s">
        <v>4294</v>
      </c>
    </row>
    <row r="9">
      <c r="A9" s="155" t="s">
        <v>4295</v>
      </c>
      <c r="B9" s="159">
        <v>45985.0</v>
      </c>
      <c r="C9" s="161" t="s">
        <v>4296</v>
      </c>
      <c r="D9" s="158"/>
      <c r="E9" s="162" t="s">
        <v>4297</v>
      </c>
    </row>
    <row r="10">
      <c r="A10" s="155" t="s">
        <v>4298</v>
      </c>
      <c r="B10" s="156">
        <v>45993.0</v>
      </c>
      <c r="C10" s="160" t="s">
        <v>4299</v>
      </c>
      <c r="D10" s="158"/>
      <c r="E10" s="157" t="s">
        <v>4300</v>
      </c>
    </row>
    <row r="11">
      <c r="A11" s="155" t="s">
        <v>4301</v>
      </c>
      <c r="B11" s="156">
        <v>45993.0</v>
      </c>
      <c r="C11" s="163" t="s">
        <v>4302</v>
      </c>
      <c r="D11" s="158"/>
      <c r="E11" s="157" t="s">
        <v>4303</v>
      </c>
    </row>
    <row r="12">
      <c r="A12" s="155" t="s">
        <v>4304</v>
      </c>
      <c r="B12" s="156">
        <v>45993.0</v>
      </c>
      <c r="C12" s="164" t="s">
        <v>4305</v>
      </c>
      <c r="D12" s="158"/>
      <c r="E12" s="165" t="s">
        <v>4306</v>
      </c>
    </row>
    <row r="13">
      <c r="A13" s="155" t="s">
        <v>4307</v>
      </c>
      <c r="B13" s="156">
        <v>45993.0</v>
      </c>
      <c r="C13" s="157" t="s">
        <v>4308</v>
      </c>
      <c r="D13" s="158"/>
      <c r="E13" s="162" t="s">
        <v>4309</v>
      </c>
    </row>
    <row r="14">
      <c r="A14" s="166" t="s">
        <v>4310</v>
      </c>
      <c r="B14" s="156"/>
      <c r="C14" s="167" t="s">
        <v>4311</v>
      </c>
      <c r="D14" s="168"/>
      <c r="E14" s="169" t="s">
        <v>4312</v>
      </c>
    </row>
    <row r="15">
      <c r="A15" s="170" t="s">
        <v>4313</v>
      </c>
      <c r="B15" s="156">
        <v>45993.0</v>
      </c>
      <c r="C15" s="161" t="s">
        <v>4314</v>
      </c>
      <c r="D15" s="158"/>
      <c r="E15" s="160" t="s">
        <v>4315</v>
      </c>
    </row>
    <row r="16">
      <c r="A16" s="171" t="s">
        <v>4316</v>
      </c>
      <c r="B16" s="159">
        <v>45996.0</v>
      </c>
      <c r="C16" s="172" t="s">
        <v>4317</v>
      </c>
      <c r="D16" s="168"/>
      <c r="E16" s="167" t="s">
        <v>4318</v>
      </c>
    </row>
    <row r="17">
      <c r="A17" s="155" t="s">
        <v>4319</v>
      </c>
      <c r="B17" s="159">
        <v>45996.0</v>
      </c>
      <c r="C17" s="161" t="s">
        <v>4320</v>
      </c>
      <c r="D17" s="158"/>
      <c r="E17" s="160" t="s">
        <v>4321</v>
      </c>
    </row>
    <row r="18">
      <c r="A18" s="166" t="s">
        <v>4322</v>
      </c>
      <c r="B18" s="156">
        <v>45997.0</v>
      </c>
      <c r="C18" s="172" t="s">
        <v>4323</v>
      </c>
      <c r="D18" s="168"/>
      <c r="E18" s="173" t="s">
        <v>4324</v>
      </c>
    </row>
    <row r="19">
      <c r="A19" s="155" t="s">
        <v>4278</v>
      </c>
      <c r="B19" s="159">
        <v>46010.0</v>
      </c>
      <c r="C19" s="161" t="s">
        <v>4278</v>
      </c>
      <c r="D19" s="158"/>
      <c r="E19" s="160" t="s">
        <v>4325</v>
      </c>
    </row>
    <row r="20">
      <c r="A20" s="155" t="s">
        <v>4326</v>
      </c>
      <c r="B20" s="156">
        <v>46011.0</v>
      </c>
      <c r="C20" s="161" t="s">
        <v>4326</v>
      </c>
      <c r="D20" s="158"/>
      <c r="E20" s="160" t="s">
        <v>4327</v>
      </c>
    </row>
    <row r="21">
      <c r="A21" s="155" t="s">
        <v>4328</v>
      </c>
      <c r="B21" s="156">
        <v>46011.0</v>
      </c>
      <c r="C21" s="161" t="s">
        <v>4329</v>
      </c>
      <c r="D21" s="158"/>
      <c r="E21" s="174" t="s">
        <v>4330</v>
      </c>
    </row>
    <row r="22">
      <c r="A22" s="155" t="s">
        <v>4331</v>
      </c>
      <c r="B22" s="156">
        <v>46011.0</v>
      </c>
      <c r="C22" s="161" t="s">
        <v>4332</v>
      </c>
      <c r="D22" s="158"/>
      <c r="E22" s="174" t="s">
        <v>4333</v>
      </c>
    </row>
    <row r="23">
      <c r="A23" s="155" t="s">
        <v>4334</v>
      </c>
      <c r="B23" s="156">
        <v>46011.0</v>
      </c>
      <c r="C23" s="161" t="s">
        <v>4334</v>
      </c>
      <c r="D23" s="158"/>
      <c r="E23" s="174" t="s">
        <v>4335</v>
      </c>
    </row>
    <row r="24">
      <c r="A24" s="175" t="s">
        <v>4336</v>
      </c>
      <c r="B24" s="176">
        <v>46011.0</v>
      </c>
      <c r="C24" s="177" t="s">
        <v>4337</v>
      </c>
      <c r="D24" s="176">
        <v>46014.0</v>
      </c>
      <c r="E24" s="178" t="s">
        <v>4338</v>
      </c>
    </row>
    <row r="25">
      <c r="A25" s="175" t="s">
        <v>4339</v>
      </c>
      <c r="B25" s="176">
        <v>46011.0</v>
      </c>
      <c r="C25" s="177" t="s">
        <v>4340</v>
      </c>
      <c r="D25" s="158"/>
      <c r="E25" s="165" t="s">
        <v>4341</v>
      </c>
    </row>
    <row r="26">
      <c r="A26" s="175" t="s">
        <v>4342</v>
      </c>
      <c r="B26" s="176">
        <v>46011.0</v>
      </c>
      <c r="C26" s="177" t="s">
        <v>4343</v>
      </c>
      <c r="D26" s="158"/>
      <c r="E26" s="172" t="s">
        <v>4344</v>
      </c>
    </row>
    <row r="27">
      <c r="A27" s="155" t="s">
        <v>4345</v>
      </c>
      <c r="B27" s="159">
        <v>46014.0</v>
      </c>
      <c r="C27" s="161" t="s">
        <v>4346</v>
      </c>
      <c r="D27" s="158"/>
      <c r="E27" s="174" t="s">
        <v>4347</v>
      </c>
    </row>
    <row r="28">
      <c r="A28" s="155" t="s">
        <v>4348</v>
      </c>
      <c r="B28" s="159">
        <v>46014.0</v>
      </c>
      <c r="C28" s="161" t="s">
        <v>4349</v>
      </c>
      <c r="D28" s="158"/>
      <c r="E28" s="161" t="s">
        <v>4350</v>
      </c>
    </row>
    <row r="29">
      <c r="A29" s="155" t="s">
        <v>4351</v>
      </c>
      <c r="B29" s="159">
        <v>46014.0</v>
      </c>
      <c r="C29" s="161" t="s">
        <v>4351</v>
      </c>
      <c r="D29" s="158"/>
      <c r="E29" s="161" t="s">
        <v>4352</v>
      </c>
    </row>
    <row r="30">
      <c r="A30" s="155" t="s">
        <v>4353</v>
      </c>
      <c r="B30" s="159">
        <v>46014.0</v>
      </c>
      <c r="C30" s="161" t="s">
        <v>4353</v>
      </c>
      <c r="D30" s="158"/>
      <c r="E30" s="161" t="s">
        <v>4354</v>
      </c>
    </row>
    <row r="31">
      <c r="A31" s="155" t="s">
        <v>4355</v>
      </c>
      <c r="B31" s="159">
        <v>46014.0</v>
      </c>
      <c r="C31" s="158"/>
      <c r="D31" s="158"/>
      <c r="E31" s="158"/>
    </row>
    <row r="32">
      <c r="A32" s="155" t="s">
        <v>4356</v>
      </c>
      <c r="B32" s="159">
        <v>46014.0</v>
      </c>
      <c r="C32" s="158"/>
      <c r="D32" s="158"/>
      <c r="E32" s="161" t="s">
        <v>4357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3.5"/>
    <col customWidth="1" min="7" max="7" width="17.25"/>
  </cols>
  <sheetData>
    <row r="1" ht="24.0" customHeight="1">
      <c r="I1" s="1"/>
      <c r="J1" s="1"/>
      <c r="K1" s="1"/>
      <c r="L1" s="1"/>
    </row>
    <row r="2" ht="24.0" customHeight="1">
      <c r="A2" s="179" t="s">
        <v>4358</v>
      </c>
      <c r="B2" s="179" t="s">
        <v>4359</v>
      </c>
      <c r="C2" s="180" t="s">
        <v>4360</v>
      </c>
      <c r="D2" s="181" t="s">
        <v>4361</v>
      </c>
      <c r="E2" s="182" t="s">
        <v>39</v>
      </c>
      <c r="F2" s="183" t="s">
        <v>4362</v>
      </c>
      <c r="G2" s="183" t="s">
        <v>4363</v>
      </c>
      <c r="H2" s="183" t="s">
        <v>4364</v>
      </c>
      <c r="I2" s="184" t="s">
        <v>4365</v>
      </c>
      <c r="J2" s="184" t="s">
        <v>4366</v>
      </c>
      <c r="K2" s="184" t="s">
        <v>4367</v>
      </c>
      <c r="L2" s="184" t="s">
        <v>4368</v>
      </c>
    </row>
    <row r="3" ht="24.0" customHeight="1">
      <c r="A3" s="185"/>
      <c r="B3" s="186"/>
      <c r="C3" s="187"/>
      <c r="D3" s="186"/>
      <c r="E3" s="187"/>
      <c r="F3" s="187"/>
      <c r="G3" s="187"/>
      <c r="H3" s="187"/>
      <c r="I3" s="188"/>
      <c r="J3" s="188"/>
      <c r="K3" s="188"/>
      <c r="L3" s="188"/>
    </row>
    <row r="4" ht="24.0" customHeight="1">
      <c r="A4" s="185">
        <v>2023.0</v>
      </c>
      <c r="B4" s="186" t="s">
        <v>4369</v>
      </c>
      <c r="C4" s="187">
        <v>-8680.0</v>
      </c>
      <c r="D4" s="186">
        <v>-6350.0</v>
      </c>
      <c r="E4" s="187">
        <f>C4+D4</f>
        <v>-15030</v>
      </c>
      <c r="F4" s="187">
        <f>C4+F5</f>
        <v>-8799.22</v>
      </c>
      <c r="G4" s="187">
        <f>C4+G5</f>
        <v>-8799.22</v>
      </c>
      <c r="H4" s="187"/>
      <c r="I4" s="188"/>
      <c r="J4" s="188"/>
      <c r="K4" s="188"/>
      <c r="L4" s="188"/>
    </row>
    <row r="5" ht="24.0" customHeight="1">
      <c r="A5" s="185">
        <v>2023.0</v>
      </c>
      <c r="B5" s="186" t="s">
        <v>4369</v>
      </c>
      <c r="C5" s="187">
        <v>-119.22</v>
      </c>
      <c r="D5" s="187">
        <f t="shared" ref="D5:D8" si="1">E5-C5</f>
        <v>-168.76</v>
      </c>
      <c r="E5" s="187">
        <v>-287.98</v>
      </c>
      <c r="F5" s="187">
        <f>C5</f>
        <v>-119.22</v>
      </c>
      <c r="G5" s="187">
        <f>C5</f>
        <v>-119.22</v>
      </c>
      <c r="H5" s="187"/>
      <c r="I5" s="188"/>
      <c r="J5" s="188"/>
      <c r="K5" s="188"/>
      <c r="L5" s="188"/>
    </row>
    <row r="6" ht="24.0" customHeight="1">
      <c r="A6" s="185">
        <v>2023.0</v>
      </c>
      <c r="B6" s="186" t="s">
        <v>4370</v>
      </c>
      <c r="C6" s="187">
        <v>-1415.1</v>
      </c>
      <c r="D6" s="187">
        <f t="shared" si="1"/>
        <v>-2198</v>
      </c>
      <c r="E6" s="187">
        <v>-3613.1</v>
      </c>
      <c r="F6" s="187">
        <f>C6+F4</f>
        <v>-10214.32</v>
      </c>
      <c r="G6" s="187">
        <f>C6+G4</f>
        <v>-10214.32</v>
      </c>
      <c r="H6" s="187"/>
      <c r="I6" s="188"/>
      <c r="J6" s="188"/>
      <c r="K6" s="188"/>
      <c r="L6" s="188"/>
    </row>
    <row r="7" ht="24.0" customHeight="1">
      <c r="A7" s="185">
        <v>2023.0</v>
      </c>
      <c r="B7" s="186" t="s">
        <v>4371</v>
      </c>
      <c r="C7" s="187">
        <v>-5921.2</v>
      </c>
      <c r="D7" s="187">
        <f t="shared" si="1"/>
        <v>-6198.31</v>
      </c>
      <c r="E7" s="187">
        <v>-12119.51</v>
      </c>
      <c r="F7" s="187">
        <f t="shared" ref="F7:F8" si="2">C7+F6</f>
        <v>-16135.52</v>
      </c>
      <c r="G7" s="187">
        <f t="shared" ref="G7:G8" si="3">C7+G6</f>
        <v>-16135.52</v>
      </c>
      <c r="H7" s="187"/>
      <c r="I7" s="188"/>
      <c r="J7" s="188"/>
      <c r="K7" s="188"/>
      <c r="L7" s="188"/>
    </row>
    <row r="8" ht="24.0" customHeight="1">
      <c r="A8" s="185">
        <v>2023.0</v>
      </c>
      <c r="B8" s="186" t="s">
        <v>4372</v>
      </c>
      <c r="C8" s="187">
        <v>-71.25</v>
      </c>
      <c r="D8" s="187">
        <f t="shared" si="1"/>
        <v>-562.28</v>
      </c>
      <c r="E8" s="187">
        <v>-633.53</v>
      </c>
      <c r="F8" s="187">
        <f t="shared" si="2"/>
        <v>-16206.77</v>
      </c>
      <c r="G8" s="187">
        <f t="shared" si="3"/>
        <v>-16206.77</v>
      </c>
      <c r="H8" s="187"/>
      <c r="I8" s="188"/>
      <c r="J8" s="188"/>
      <c r="K8" s="188"/>
      <c r="L8" s="188"/>
    </row>
    <row r="9" ht="24.0" customHeight="1">
      <c r="A9" s="189">
        <v>2023.0</v>
      </c>
      <c r="B9" s="189" t="s">
        <v>4373</v>
      </c>
      <c r="C9" s="190">
        <f t="shared" ref="C9:E9" si="4">SUM(C3:C8)</f>
        <v>-16206.77</v>
      </c>
      <c r="D9" s="190">
        <f t="shared" si="4"/>
        <v>-15477.35</v>
      </c>
      <c r="E9" s="190">
        <f t="shared" si="4"/>
        <v>-31684.12</v>
      </c>
      <c r="F9" s="189"/>
      <c r="G9" s="189"/>
      <c r="H9" s="189"/>
      <c r="I9" s="188"/>
      <c r="J9" s="188"/>
      <c r="K9" s="188"/>
      <c r="L9" s="188"/>
    </row>
    <row r="10" ht="24.0" customHeight="1">
      <c r="A10" s="186">
        <v>2024.0</v>
      </c>
      <c r="B10" s="186" t="s">
        <v>4374</v>
      </c>
      <c r="C10" s="187">
        <v>-9517.6</v>
      </c>
      <c r="D10" s="187">
        <f t="shared" ref="D10:D11" si="5">E10-C10</f>
        <v>-12693.08</v>
      </c>
      <c r="E10" s="187">
        <v>-22210.68</v>
      </c>
      <c r="F10" s="187">
        <f t="shared" ref="F10:F11" si="6">C10+F9</f>
        <v>-9517.6</v>
      </c>
      <c r="G10" s="187">
        <f>C10+G8</f>
        <v>-25724.37</v>
      </c>
      <c r="H10" s="187"/>
      <c r="I10" s="188"/>
      <c r="J10" s="188"/>
      <c r="K10" s="188"/>
      <c r="L10" s="188"/>
    </row>
    <row r="11" ht="24.0" customHeight="1">
      <c r="A11" s="186">
        <v>2024.0</v>
      </c>
      <c r="B11" s="186" t="s">
        <v>4375</v>
      </c>
      <c r="C11" s="187">
        <v>-7348.15</v>
      </c>
      <c r="D11" s="187">
        <f t="shared" si="5"/>
        <v>-5177.34</v>
      </c>
      <c r="E11" s="187">
        <v>-12525.49</v>
      </c>
      <c r="F11" s="187">
        <f t="shared" si="6"/>
        <v>-16865.75</v>
      </c>
      <c r="G11" s="187">
        <f>C11+G10</f>
        <v>-33072.52</v>
      </c>
      <c r="H11" s="187"/>
      <c r="I11" s="188"/>
      <c r="J11" s="188"/>
      <c r="K11" s="188"/>
      <c r="L11" s="188"/>
    </row>
    <row r="12" ht="24.0" customHeight="1">
      <c r="A12" s="186">
        <v>2024.0</v>
      </c>
      <c r="B12" s="186" t="s">
        <v>4376</v>
      </c>
      <c r="C12" s="187" t="s">
        <v>65</v>
      </c>
      <c r="D12" s="187" t="s">
        <v>65</v>
      </c>
      <c r="E12" s="187" t="s">
        <v>65</v>
      </c>
      <c r="F12" s="187" t="s">
        <v>65</v>
      </c>
      <c r="G12" s="187" t="s">
        <v>65</v>
      </c>
      <c r="H12" s="187"/>
      <c r="I12" s="188"/>
      <c r="J12" s="188"/>
      <c r="K12" s="188"/>
      <c r="L12" s="188"/>
    </row>
    <row r="13" ht="24.0" customHeight="1">
      <c r="A13" s="186">
        <v>2024.0</v>
      </c>
      <c r="B13" s="186" t="s">
        <v>4377</v>
      </c>
      <c r="C13" s="187" t="s">
        <v>65</v>
      </c>
      <c r="D13" s="187" t="s">
        <v>65</v>
      </c>
      <c r="E13" s="187" t="s">
        <v>65</v>
      </c>
      <c r="F13" s="187" t="s">
        <v>65</v>
      </c>
      <c r="G13" s="187" t="s">
        <v>65</v>
      </c>
      <c r="H13" s="187"/>
      <c r="I13" s="188"/>
      <c r="J13" s="188"/>
      <c r="K13" s="188"/>
      <c r="L13" s="188"/>
    </row>
    <row r="14" ht="24.0" customHeight="1">
      <c r="A14" s="186">
        <v>2024.0</v>
      </c>
      <c r="B14" s="186" t="s">
        <v>4378</v>
      </c>
      <c r="C14" s="187" t="s">
        <v>65</v>
      </c>
      <c r="D14" s="187" t="s">
        <v>65</v>
      </c>
      <c r="E14" s="187" t="s">
        <v>65</v>
      </c>
      <c r="F14" s="187" t="s">
        <v>65</v>
      </c>
      <c r="G14" s="187" t="s">
        <v>65</v>
      </c>
      <c r="H14" s="187"/>
      <c r="I14" s="188"/>
      <c r="J14" s="188"/>
      <c r="K14" s="188"/>
      <c r="L14" s="188"/>
    </row>
    <row r="15" ht="24.0" customHeight="1">
      <c r="A15" s="186">
        <v>2024.0</v>
      </c>
      <c r="B15" s="186" t="s">
        <v>4379</v>
      </c>
      <c r="C15" s="187" t="s">
        <v>65</v>
      </c>
      <c r="D15" s="187" t="s">
        <v>65</v>
      </c>
      <c r="E15" s="187" t="s">
        <v>65</v>
      </c>
      <c r="F15" s="187" t="s">
        <v>65</v>
      </c>
      <c r="G15" s="187" t="s">
        <v>65</v>
      </c>
      <c r="H15" s="187"/>
      <c r="I15" s="188"/>
      <c r="J15" s="188"/>
      <c r="K15" s="188"/>
      <c r="L15" s="188"/>
    </row>
    <row r="16" ht="24.0" customHeight="1">
      <c r="A16" s="186">
        <v>2024.0</v>
      </c>
      <c r="B16" s="186" t="s">
        <v>4380</v>
      </c>
      <c r="C16" s="187" t="s">
        <v>65</v>
      </c>
      <c r="D16" s="187" t="s">
        <v>65</v>
      </c>
      <c r="E16" s="187" t="s">
        <v>65</v>
      </c>
      <c r="F16" s="187" t="s">
        <v>65</v>
      </c>
      <c r="G16" s="187" t="s">
        <v>65</v>
      </c>
      <c r="H16" s="187"/>
      <c r="I16" s="188"/>
      <c r="J16" s="188"/>
      <c r="K16" s="188"/>
      <c r="L16" s="188"/>
    </row>
    <row r="17" ht="24.0" customHeight="1">
      <c r="A17" s="186">
        <v>2024.0</v>
      </c>
      <c r="B17" s="186" t="s">
        <v>4381</v>
      </c>
      <c r="C17" s="187" t="s">
        <v>65</v>
      </c>
      <c r="D17" s="187" t="s">
        <v>65</v>
      </c>
      <c r="E17" s="187" t="s">
        <v>65</v>
      </c>
      <c r="F17" s="187" t="s">
        <v>65</v>
      </c>
      <c r="G17" s="187" t="s">
        <v>65</v>
      </c>
      <c r="H17" s="187"/>
      <c r="I17" s="188"/>
      <c r="J17" s="188"/>
      <c r="K17" s="188"/>
      <c r="L17" s="188"/>
    </row>
    <row r="18" ht="24.0" customHeight="1">
      <c r="A18" s="186">
        <v>2024.0</v>
      </c>
      <c r="B18" s="186" t="s">
        <v>4369</v>
      </c>
      <c r="C18" s="187">
        <v>6.65</v>
      </c>
      <c r="D18" s="187">
        <f t="shared" ref="D18:D19" si="7">E18-C18</f>
        <v>-147.8</v>
      </c>
      <c r="E18" s="187">
        <v>-141.15</v>
      </c>
      <c r="F18" s="187">
        <f>C18+F11</f>
        <v>-16859.1</v>
      </c>
      <c r="G18" s="187">
        <f>C18+G11</f>
        <v>-33065.87</v>
      </c>
      <c r="H18" s="187"/>
      <c r="I18" s="188"/>
      <c r="J18" s="188"/>
      <c r="K18" s="188"/>
      <c r="L18" s="188"/>
    </row>
    <row r="19" ht="24.0" customHeight="1">
      <c r="A19" s="186">
        <v>2024.0</v>
      </c>
      <c r="B19" s="186" t="s">
        <v>4370</v>
      </c>
      <c r="C19" s="187">
        <v>-6056.23</v>
      </c>
      <c r="D19" s="187">
        <f t="shared" si="7"/>
        <v>-3077.81</v>
      </c>
      <c r="E19" s="187">
        <v>-9134.04</v>
      </c>
      <c r="F19" s="187">
        <f t="shared" ref="F19:F20" si="8">C19+F18</f>
        <v>-22915.33</v>
      </c>
      <c r="G19" s="187">
        <f t="shared" ref="G19:G20" si="9">C19+G18</f>
        <v>-39122.1</v>
      </c>
      <c r="H19" s="187"/>
      <c r="I19" s="188"/>
      <c r="J19" s="188"/>
      <c r="K19" s="188"/>
      <c r="L19" s="188"/>
    </row>
    <row r="20" ht="24.0" customHeight="1">
      <c r="A20" s="186">
        <v>2024.0</v>
      </c>
      <c r="B20" s="186" t="s">
        <v>4371</v>
      </c>
      <c r="C20" s="191">
        <v>-1522.0</v>
      </c>
      <c r="D20" s="191">
        <v>-8725.0</v>
      </c>
      <c r="E20" s="191">
        <v>-11925.0</v>
      </c>
      <c r="F20" s="192">
        <f t="shared" si="8"/>
        <v>-24437.33</v>
      </c>
      <c r="G20" s="187">
        <f t="shared" si="9"/>
        <v>-40644.1</v>
      </c>
      <c r="H20" s="187"/>
      <c r="I20" s="188"/>
      <c r="J20" s="188"/>
      <c r="K20" s="188"/>
      <c r="L20" s="188"/>
    </row>
    <row r="21" ht="24.0" customHeight="1">
      <c r="A21" s="186">
        <v>2024.0</v>
      </c>
      <c r="B21" s="186" t="s">
        <v>4372</v>
      </c>
      <c r="C21" s="187">
        <v>2633.75</v>
      </c>
      <c r="D21" s="187">
        <f>E21-C21</f>
        <v>-2782.14</v>
      </c>
      <c r="E21" s="187">
        <v>-148.39</v>
      </c>
      <c r="F21" s="187" t="s">
        <v>65</v>
      </c>
      <c r="G21" s="187" t="s">
        <v>65</v>
      </c>
      <c r="H21" s="187"/>
      <c r="I21" s="188"/>
      <c r="J21" s="188"/>
      <c r="K21" s="188"/>
      <c r="L21" s="188"/>
    </row>
    <row r="22" ht="24.0" customHeight="1">
      <c r="A22" s="189">
        <v>2024.0</v>
      </c>
      <c r="B22" s="189" t="s">
        <v>4373</v>
      </c>
      <c r="C22" s="190">
        <f t="shared" ref="C22:E22" si="10">sum(C10:C21)</f>
        <v>-21803.58</v>
      </c>
      <c r="D22" s="190">
        <f t="shared" si="10"/>
        <v>-32603.17</v>
      </c>
      <c r="E22" s="190">
        <f t="shared" si="10"/>
        <v>-56084.75</v>
      </c>
      <c r="F22" s="193"/>
      <c r="G22" s="193"/>
      <c r="H22" s="193"/>
      <c r="I22" s="188"/>
      <c r="J22" s="188"/>
      <c r="K22" s="188"/>
      <c r="L22" s="188"/>
    </row>
    <row r="23" ht="24.0" customHeight="1">
      <c r="A23" s="186">
        <v>2025.0</v>
      </c>
      <c r="B23" s="186" t="s">
        <v>4374</v>
      </c>
      <c r="C23" s="187">
        <v>-1922.5</v>
      </c>
      <c r="D23" s="187">
        <f t="shared" ref="D23:D24" si="11">(E23-C23)</f>
        <v>-2206.94</v>
      </c>
      <c r="E23" s="187">
        <v>-4129.44</v>
      </c>
      <c r="F23" s="187" t="s">
        <v>65</v>
      </c>
      <c r="G23" s="187" t="s">
        <v>65</v>
      </c>
      <c r="H23" s="187"/>
      <c r="I23" s="188"/>
      <c r="J23" s="188"/>
      <c r="K23" s="188"/>
      <c r="L23" s="188"/>
    </row>
    <row r="24" ht="24.0" customHeight="1">
      <c r="A24" s="186">
        <v>2025.0</v>
      </c>
      <c r="B24" s="186" t="s">
        <v>4375</v>
      </c>
      <c r="C24" s="187">
        <v>-2823.25</v>
      </c>
      <c r="D24" s="187">
        <f t="shared" si="11"/>
        <v>-1766.67</v>
      </c>
      <c r="E24" s="187">
        <v>-4589.92</v>
      </c>
      <c r="F24" s="187" t="s">
        <v>65</v>
      </c>
      <c r="G24" s="187" t="s">
        <v>65</v>
      </c>
      <c r="H24" s="187"/>
      <c r="I24" s="188"/>
      <c r="J24" s="188"/>
      <c r="K24" s="188"/>
      <c r="L24" s="188"/>
    </row>
    <row r="25" ht="24.0" customHeight="1">
      <c r="A25" s="186">
        <v>2025.0</v>
      </c>
      <c r="B25" s="186" t="s">
        <v>4376</v>
      </c>
      <c r="C25" s="187">
        <v>-29842.75</v>
      </c>
      <c r="D25" s="187">
        <v>-4827.499999999996</v>
      </c>
      <c r="E25" s="187">
        <v>-34670.25</v>
      </c>
      <c r="F25" s="187" t="s">
        <v>65</v>
      </c>
      <c r="G25" s="187" t="s">
        <v>65</v>
      </c>
      <c r="H25" s="187"/>
      <c r="I25" s="188"/>
      <c r="J25" s="188"/>
      <c r="K25" s="188"/>
      <c r="L25" s="188"/>
    </row>
    <row r="26" ht="24.0" customHeight="1">
      <c r="A26" s="186">
        <v>2025.0</v>
      </c>
      <c r="B26" s="186" t="s">
        <v>4377</v>
      </c>
      <c r="C26" s="187">
        <v>-2255.0</v>
      </c>
      <c r="D26" s="187">
        <f>E26-C26</f>
        <v>-271.5</v>
      </c>
      <c r="E26" s="187">
        <v>-2526.4999999999973</v>
      </c>
      <c r="F26" s="187" t="s">
        <v>65</v>
      </c>
      <c r="G26" s="187" t="s">
        <v>65</v>
      </c>
      <c r="H26" s="187"/>
      <c r="I26" s="188"/>
      <c r="J26" s="188"/>
      <c r="K26" s="188"/>
      <c r="L26" s="188"/>
    </row>
    <row r="27" ht="24.0" customHeight="1">
      <c r="A27" s="186">
        <v>2025.0</v>
      </c>
      <c r="B27" s="186" t="s">
        <v>4378</v>
      </c>
      <c r="C27" s="187">
        <v>-8650.0</v>
      </c>
      <c r="D27" s="187">
        <v>-2710.0</v>
      </c>
      <c r="E27" s="187">
        <v>-11370.0</v>
      </c>
      <c r="F27" s="194"/>
      <c r="G27" s="194"/>
      <c r="H27" s="194"/>
      <c r="I27" s="188"/>
      <c r="J27" s="188"/>
      <c r="K27" s="188"/>
      <c r="L27" s="188"/>
    </row>
    <row r="28" ht="24.0" customHeight="1">
      <c r="A28" s="186">
        <v>2025.0</v>
      </c>
      <c r="B28" s="186" t="s">
        <v>4379</v>
      </c>
      <c r="C28" s="187">
        <v>6590.0</v>
      </c>
      <c r="D28" s="187">
        <v>-2780.0</v>
      </c>
      <c r="E28" s="187">
        <v>3800.0</v>
      </c>
      <c r="F28" s="194"/>
      <c r="G28" s="194"/>
      <c r="H28" s="194"/>
      <c r="I28" s="188"/>
      <c r="J28" s="188"/>
      <c r="K28" s="188"/>
      <c r="L28" s="188"/>
    </row>
    <row r="29" ht="24.0" customHeight="1">
      <c r="A29" s="186">
        <v>2025.0</v>
      </c>
      <c r="B29" s="186" t="s">
        <v>4380</v>
      </c>
      <c r="C29" s="187">
        <v>2870.0</v>
      </c>
      <c r="D29" s="187">
        <v>-4840.0</v>
      </c>
      <c r="E29" s="187">
        <v>-2090.0</v>
      </c>
      <c r="F29" s="194"/>
      <c r="G29" s="194"/>
      <c r="H29" s="194"/>
      <c r="I29" s="188"/>
      <c r="J29" s="188"/>
      <c r="K29" s="188"/>
      <c r="L29" s="188"/>
    </row>
    <row r="30" ht="24.0" customHeight="1">
      <c r="A30" s="186">
        <v>2025.0</v>
      </c>
      <c r="B30" s="186" t="s">
        <v>4381</v>
      </c>
      <c r="C30" s="187">
        <v>-2090.0</v>
      </c>
      <c r="D30" s="187">
        <v>-5500.0</v>
      </c>
      <c r="E30" s="187">
        <v>-8800.0</v>
      </c>
      <c r="F30" s="194"/>
      <c r="G30" s="194"/>
      <c r="H30" s="194"/>
      <c r="I30" s="188"/>
      <c r="J30" s="188"/>
      <c r="K30" s="188"/>
      <c r="L30" s="188"/>
    </row>
    <row r="31" ht="24.0" customHeight="1">
      <c r="A31" s="186">
        <v>2025.0</v>
      </c>
      <c r="B31" s="186" t="s">
        <v>4369</v>
      </c>
      <c r="C31" s="187">
        <v>-10877.0</v>
      </c>
      <c r="D31" s="187">
        <v>-2317.49</v>
      </c>
      <c r="E31" s="187">
        <f>-D31-C31</f>
        <v>13194.49</v>
      </c>
      <c r="F31" s="194"/>
      <c r="G31" s="194"/>
      <c r="H31" s="194"/>
      <c r="I31" s="188"/>
      <c r="J31" s="188"/>
      <c r="K31" s="188"/>
      <c r="L31" s="188"/>
    </row>
    <row r="32" ht="24.0" customHeight="1">
      <c r="A32" s="186">
        <v>2025.0</v>
      </c>
      <c r="B32" s="186" t="s">
        <v>4370</v>
      </c>
      <c r="C32" s="187">
        <v>832.5</v>
      </c>
      <c r="D32" s="187">
        <v>-2253.85</v>
      </c>
      <c r="E32" s="187">
        <v>-1421.35</v>
      </c>
      <c r="F32" s="194"/>
      <c r="G32" s="194"/>
      <c r="H32" s="194"/>
      <c r="I32" s="188"/>
      <c r="J32" s="188"/>
      <c r="K32" s="188"/>
      <c r="L32" s="188"/>
    </row>
    <row r="33" ht="24.0" customHeight="1">
      <c r="A33" s="186">
        <v>2025.0</v>
      </c>
      <c r="B33" s="186" t="s">
        <v>4371</v>
      </c>
      <c r="C33" s="187">
        <v>-5608.0</v>
      </c>
      <c r="D33" s="187">
        <v>-3773.0</v>
      </c>
      <c r="E33" s="187">
        <v>-9381.68</v>
      </c>
      <c r="F33" s="194"/>
      <c r="G33" s="194"/>
      <c r="H33" s="194"/>
      <c r="I33" s="188"/>
      <c r="J33" s="188"/>
      <c r="K33" s="188"/>
      <c r="L33" s="188"/>
    </row>
    <row r="34" ht="24.0" customHeight="1">
      <c r="A34" s="186">
        <v>2025.0</v>
      </c>
      <c r="B34" s="186" t="s">
        <v>4372</v>
      </c>
      <c r="C34" s="187">
        <v>-6178.3</v>
      </c>
      <c r="D34" s="187">
        <v>-3187.23</v>
      </c>
      <c r="E34" s="187">
        <v>-9365.55</v>
      </c>
      <c r="F34" s="194"/>
      <c r="G34" s="194"/>
      <c r="H34" s="194"/>
      <c r="I34" s="188"/>
      <c r="J34" s="188"/>
      <c r="K34" s="188"/>
      <c r="L34" s="188"/>
    </row>
    <row r="35" ht="24.0" customHeight="1">
      <c r="A35" s="189">
        <v>2025.0</v>
      </c>
      <c r="B35" s="189" t="s">
        <v>4373</v>
      </c>
      <c r="C35" s="190">
        <f t="shared" ref="C35:E35" si="12">sum(C23:C34)</f>
        <v>-59954.3</v>
      </c>
      <c r="D35" s="190">
        <f t="shared" si="12"/>
        <v>-36434.18</v>
      </c>
      <c r="E35" s="190">
        <f t="shared" si="12"/>
        <v>-71350.2</v>
      </c>
      <c r="F35" s="193"/>
      <c r="G35" s="193"/>
      <c r="H35" s="193"/>
      <c r="I35" s="188"/>
      <c r="J35" s="188"/>
      <c r="K35" s="188"/>
      <c r="L35" s="188"/>
    </row>
    <row r="36" ht="24.0" customHeight="1">
      <c r="A36" s="195" t="s">
        <v>4382</v>
      </c>
      <c r="B36" s="195" t="s">
        <v>4373</v>
      </c>
      <c r="C36" s="196">
        <f t="shared" ref="C36:E36" si="13">C35+C22+C9</f>
        <v>-97964.65</v>
      </c>
      <c r="D36" s="196">
        <f t="shared" si="13"/>
        <v>-84514.7</v>
      </c>
      <c r="E36" s="196">
        <f t="shared" si="13"/>
        <v>-159119.07</v>
      </c>
      <c r="F36" s="195"/>
      <c r="G36" s="195"/>
      <c r="H36" s="195"/>
      <c r="I36" s="188"/>
      <c r="J36" s="188"/>
      <c r="K36" s="188"/>
      <c r="L36" s="188"/>
    </row>
    <row r="37" ht="24.0" customHeight="1">
      <c r="A37" s="194"/>
      <c r="B37" s="194"/>
      <c r="C37" s="194"/>
      <c r="D37" s="194"/>
      <c r="E37" s="194"/>
      <c r="F37" s="194"/>
      <c r="G37" s="194"/>
      <c r="H37" s="194"/>
      <c r="I37" s="188"/>
      <c r="J37" s="188"/>
      <c r="K37" s="188"/>
      <c r="L37" s="188"/>
    </row>
    <row r="38" ht="24.0" customHeight="1">
      <c r="A38" s="197"/>
      <c r="B38" s="197"/>
      <c r="C38" s="197"/>
      <c r="D38" s="197"/>
      <c r="E38" s="197"/>
      <c r="F38" s="197"/>
      <c r="G38" s="197"/>
      <c r="H38" s="197"/>
      <c r="I38" s="1"/>
      <c r="J38" s="1"/>
      <c r="K38" s="1"/>
      <c r="L38" s="1"/>
    </row>
    <row r="39" ht="24.0" customHeight="1">
      <c r="A39" s="197"/>
      <c r="B39" s="197"/>
      <c r="C39" s="198"/>
      <c r="D39" s="199"/>
      <c r="E39" s="200"/>
      <c r="F39" s="201"/>
      <c r="G39" s="197"/>
      <c r="H39" s="197"/>
      <c r="I39" s="1"/>
      <c r="J39" s="1"/>
      <c r="K39" s="1"/>
      <c r="L39" s="1"/>
    </row>
    <row r="40" ht="24.0" customHeight="1">
      <c r="A40" s="197"/>
      <c r="B40" s="197"/>
      <c r="C40" s="198"/>
      <c r="D40" s="199"/>
      <c r="E40" s="200"/>
      <c r="F40" s="201"/>
      <c r="G40" s="197"/>
      <c r="H40" s="197"/>
      <c r="I40" s="1"/>
      <c r="J40" s="1"/>
      <c r="K40" s="1"/>
      <c r="L40" s="1"/>
    </row>
    <row r="41" ht="24.0" customHeight="1">
      <c r="A41" s="194" t="s">
        <v>4358</v>
      </c>
      <c r="B41" s="194" t="s">
        <v>4359</v>
      </c>
      <c r="C41" s="180" t="s">
        <v>4360</v>
      </c>
      <c r="D41" s="181" t="s">
        <v>4361</v>
      </c>
      <c r="E41" s="182" t="s">
        <v>39</v>
      </c>
      <c r="F41" s="184" t="s">
        <v>4383</v>
      </c>
      <c r="G41" s="197"/>
      <c r="H41" s="197"/>
      <c r="I41" s="1"/>
      <c r="J41" s="1"/>
      <c r="K41" s="1"/>
      <c r="L41" s="1"/>
    </row>
    <row r="42" ht="24.0" customHeight="1">
      <c r="A42" s="185">
        <v>2023.0</v>
      </c>
      <c r="B42" s="186" t="s">
        <v>4369</v>
      </c>
      <c r="C42" s="202">
        <v>-119.22</v>
      </c>
      <c r="D42" s="187">
        <f>E42-C42</f>
        <v>-168.76</v>
      </c>
      <c r="E42" s="202">
        <v>-287.98</v>
      </c>
      <c r="F42" s="186" t="s">
        <v>4384</v>
      </c>
      <c r="G42" s="197"/>
      <c r="H42" s="197"/>
      <c r="I42" s="1"/>
      <c r="J42" s="1"/>
      <c r="K42" s="1"/>
      <c r="L42" s="1"/>
    </row>
    <row r="43" ht="24.0" customHeight="1">
      <c r="A43" s="185">
        <v>2023.0</v>
      </c>
      <c r="B43" s="186" t="s">
        <v>4369</v>
      </c>
      <c r="C43" s="202">
        <v>-8680.0</v>
      </c>
      <c r="D43" s="186">
        <v>-6350.0</v>
      </c>
      <c r="E43" s="202">
        <f>C43+D43</f>
        <v>-15030</v>
      </c>
      <c r="F43" s="186" t="s">
        <v>4385</v>
      </c>
      <c r="G43" s="197"/>
      <c r="H43" s="197"/>
      <c r="I43" s="1"/>
      <c r="J43" s="1"/>
      <c r="K43" s="1"/>
      <c r="L43" s="1"/>
    </row>
    <row r="44" ht="24.0" customHeight="1">
      <c r="A44" s="185">
        <v>2023.0</v>
      </c>
      <c r="B44" s="203" t="s">
        <v>4373</v>
      </c>
      <c r="C44" s="204">
        <f t="shared" ref="C44:E44" si="14">SUM(C42:C43)</f>
        <v>-8799.22</v>
      </c>
      <c r="D44" s="205">
        <f t="shared" si="14"/>
        <v>-6518.76</v>
      </c>
      <c r="E44" s="204">
        <f t="shared" si="14"/>
        <v>-15317.98</v>
      </c>
      <c r="F44" s="206"/>
      <c r="G44" s="197"/>
      <c r="H44" s="197"/>
      <c r="I44" s="1"/>
      <c r="J44" s="1"/>
      <c r="K44" s="1"/>
      <c r="L44" s="1"/>
    </row>
    <row r="45" ht="24.0" customHeight="1">
      <c r="A45" s="186">
        <v>2024.0</v>
      </c>
      <c r="B45" s="186" t="s">
        <v>4371</v>
      </c>
      <c r="C45" s="202">
        <v>838.87</v>
      </c>
      <c r="D45" s="187">
        <f>E45+C45</f>
        <v>-3913.13</v>
      </c>
      <c r="E45" s="202">
        <v>-4752.0</v>
      </c>
      <c r="F45" s="186" t="s">
        <v>4384</v>
      </c>
      <c r="G45" s="197"/>
      <c r="H45" s="197"/>
      <c r="I45" s="1"/>
      <c r="J45" s="1"/>
      <c r="K45" s="1"/>
      <c r="L45" s="1"/>
    </row>
    <row r="46" ht="24.0" customHeight="1">
      <c r="A46" s="186">
        <v>2024.0</v>
      </c>
      <c r="B46" s="186" t="s">
        <v>4371</v>
      </c>
      <c r="C46" s="202">
        <v>-2361.0</v>
      </c>
      <c r="D46" s="187">
        <v>-4812.0</v>
      </c>
      <c r="E46" s="202">
        <v>-7173.0</v>
      </c>
      <c r="F46" s="186" t="s">
        <v>4386</v>
      </c>
      <c r="G46" s="197"/>
      <c r="H46" s="197"/>
      <c r="I46" s="1"/>
      <c r="J46" s="1"/>
      <c r="K46" s="1"/>
      <c r="L46" s="1"/>
    </row>
    <row r="47" ht="24.0" customHeight="1">
      <c r="A47" s="186">
        <v>2024.0</v>
      </c>
      <c r="B47" s="203" t="s">
        <v>4373</v>
      </c>
      <c r="C47" s="204">
        <f t="shared" ref="C47:E47" si="15">SUM(C45:C46)</f>
        <v>-1522.13</v>
      </c>
      <c r="D47" s="205">
        <f t="shared" si="15"/>
        <v>-8725.13</v>
      </c>
      <c r="E47" s="204">
        <f t="shared" si="15"/>
        <v>-11925</v>
      </c>
      <c r="F47" s="206"/>
      <c r="G47" s="197"/>
      <c r="H47" s="197"/>
      <c r="I47" s="1"/>
      <c r="J47" s="1"/>
      <c r="K47" s="1"/>
      <c r="L47" s="1"/>
    </row>
    <row r="48" ht="24.0" customHeight="1">
      <c r="A48" s="186">
        <v>2025.0</v>
      </c>
      <c r="B48" s="186" t="s">
        <v>4376</v>
      </c>
      <c r="C48" s="207">
        <v>-4518.75</v>
      </c>
      <c r="D48" s="187">
        <f>(E48-C48)</f>
        <v>-272</v>
      </c>
      <c r="E48" s="202">
        <v>-4790.75</v>
      </c>
      <c r="F48" s="186" t="s">
        <v>4387</v>
      </c>
      <c r="G48" s="197"/>
      <c r="H48" s="197"/>
      <c r="I48" s="1"/>
      <c r="J48" s="1"/>
      <c r="K48" s="1"/>
      <c r="L48" s="1"/>
    </row>
    <row r="49" ht="24.0" customHeight="1">
      <c r="A49" s="186">
        <v>2025.0</v>
      </c>
      <c r="B49" s="186" t="s">
        <v>4376</v>
      </c>
      <c r="C49" s="208">
        <v>-25324.0</v>
      </c>
      <c r="D49" s="187">
        <f>E49-C49</f>
        <v>-4555.5</v>
      </c>
      <c r="E49" s="202">
        <v>-29879.499999999996</v>
      </c>
      <c r="F49" s="186" t="s">
        <v>4385</v>
      </c>
      <c r="G49" s="197"/>
      <c r="H49" s="197"/>
      <c r="I49" s="1"/>
      <c r="J49" s="1"/>
      <c r="K49" s="1"/>
      <c r="L49" s="1"/>
    </row>
    <row r="50" ht="24.0" customHeight="1">
      <c r="A50" s="186">
        <v>2025.0</v>
      </c>
      <c r="B50" s="203" t="s">
        <v>4373</v>
      </c>
      <c r="C50" s="204">
        <f t="shared" ref="C50:E50" si="16">SUM(C48:C49)</f>
        <v>-29842.75</v>
      </c>
      <c r="D50" s="205">
        <f t="shared" si="16"/>
        <v>-4827.5</v>
      </c>
      <c r="E50" s="204">
        <f t="shared" si="16"/>
        <v>-34670.25</v>
      </c>
      <c r="F50" s="206"/>
      <c r="G50" s="197"/>
      <c r="H50" s="197"/>
      <c r="I50" s="1"/>
      <c r="J50" s="1"/>
      <c r="K50" s="1"/>
      <c r="L50" s="1"/>
    </row>
    <row r="51" ht="24.0" customHeight="1">
      <c r="A51" s="186">
        <v>2025.0</v>
      </c>
      <c r="B51" s="186" t="s">
        <v>4377</v>
      </c>
      <c r="C51" s="209"/>
      <c r="E51" s="209"/>
      <c r="F51" s="186" t="s">
        <v>4385</v>
      </c>
      <c r="G51" s="197"/>
      <c r="H51" s="197"/>
      <c r="I51" s="1"/>
      <c r="J51" s="1"/>
      <c r="K51" s="1"/>
      <c r="L51" s="1"/>
    </row>
    <row r="52" ht="24.0" customHeight="1">
      <c r="A52" s="210"/>
      <c r="B52" s="210"/>
      <c r="F52" s="210"/>
      <c r="G52" s="197"/>
      <c r="H52" s="197"/>
      <c r="I52" s="1"/>
      <c r="J52" s="1"/>
      <c r="K52" s="1"/>
      <c r="L52" s="1"/>
    </row>
    <row r="53" ht="24.0" customHeight="1">
      <c r="F53" s="210"/>
      <c r="G53" s="197"/>
      <c r="H53" s="197"/>
      <c r="I53" s="1"/>
      <c r="J53" s="1"/>
      <c r="K53" s="1"/>
      <c r="L53" s="1"/>
    </row>
    <row r="54" ht="24.0" customHeight="1">
      <c r="A54" s="46"/>
      <c r="B54" s="46"/>
      <c r="C54" s="46"/>
      <c r="D54" s="211"/>
      <c r="F54" s="210"/>
      <c r="G54" s="197"/>
      <c r="H54" s="197"/>
      <c r="I54" s="1"/>
      <c r="J54" s="1"/>
      <c r="K54" s="1"/>
      <c r="L54" s="1"/>
    </row>
    <row r="55" ht="24.0" customHeight="1">
      <c r="A55" s="212" t="s">
        <v>26</v>
      </c>
      <c r="B55" s="212" t="s">
        <v>4388</v>
      </c>
      <c r="C55" s="212" t="s">
        <v>4389</v>
      </c>
      <c r="D55" s="184" t="s">
        <v>4383</v>
      </c>
      <c r="E55" s="213" t="s">
        <v>4364</v>
      </c>
      <c r="F55" s="210"/>
      <c r="G55" s="197"/>
      <c r="H55" s="197" t="s">
        <v>4390</v>
      </c>
      <c r="I55" s="197" t="s">
        <v>4391</v>
      </c>
      <c r="J55" s="197" t="s">
        <v>4392</v>
      </c>
      <c r="K55" s="197" t="s">
        <v>4393</v>
      </c>
      <c r="L55" s="1"/>
    </row>
    <row r="56" ht="22.5" customHeight="1">
      <c r="A56" s="214">
        <v>45726.0</v>
      </c>
      <c r="B56" s="186" t="s">
        <v>4394</v>
      </c>
      <c r="C56" s="186">
        <v>132179.0</v>
      </c>
      <c r="D56" s="188"/>
      <c r="E56" s="215"/>
      <c r="F56" s="210"/>
      <c r="G56" s="197" t="s">
        <v>4377</v>
      </c>
      <c r="H56" s="64">
        <v>411.82</v>
      </c>
      <c r="I56" s="64">
        <v>1699.0</v>
      </c>
      <c r="J56" s="1"/>
      <c r="K56" s="216">
        <f t="shared" ref="K56:K67" si="17">sum(H56:J56)</f>
        <v>2110.82</v>
      </c>
      <c r="L56" s="1"/>
    </row>
    <row r="57" ht="24.0" customHeight="1">
      <c r="A57" s="214">
        <v>45732.0</v>
      </c>
      <c r="B57" s="186" t="s">
        <v>4395</v>
      </c>
      <c r="C57" s="186">
        <v>50000.0</v>
      </c>
      <c r="D57" s="212" t="s">
        <v>4385</v>
      </c>
      <c r="E57" s="217"/>
      <c r="F57" s="210"/>
      <c r="G57" s="197" t="s">
        <v>4378</v>
      </c>
      <c r="H57" s="64">
        <v>411.82</v>
      </c>
      <c r="I57" s="64">
        <v>1699.0</v>
      </c>
      <c r="J57" s="1"/>
      <c r="K57" s="216">
        <f t="shared" si="17"/>
        <v>2110.82</v>
      </c>
      <c r="L57" s="1"/>
    </row>
    <row r="58" ht="24.0" customHeight="1">
      <c r="A58" s="214">
        <v>45732.0</v>
      </c>
      <c r="B58" s="186" t="s">
        <v>4395</v>
      </c>
      <c r="C58" s="186">
        <v>50000.0</v>
      </c>
      <c r="D58" s="212" t="s">
        <v>4385</v>
      </c>
      <c r="E58" s="217"/>
      <c r="F58" s="210"/>
      <c r="G58" s="197" t="s">
        <v>4379</v>
      </c>
      <c r="H58" s="64">
        <v>411.82</v>
      </c>
      <c r="I58" s="64">
        <v>1699.0</v>
      </c>
      <c r="J58" s="1"/>
      <c r="K58" s="216">
        <f t="shared" si="17"/>
        <v>2110.82</v>
      </c>
      <c r="L58" s="1"/>
    </row>
    <row r="59" ht="24.0" customHeight="1">
      <c r="A59" s="214">
        <v>45732.0</v>
      </c>
      <c r="B59" s="186" t="s">
        <v>4395</v>
      </c>
      <c r="C59" s="186">
        <v>18000.0</v>
      </c>
      <c r="D59" s="212" t="s">
        <v>4385</v>
      </c>
      <c r="E59" s="217"/>
      <c r="F59" s="210"/>
      <c r="G59" s="197" t="s">
        <v>4380</v>
      </c>
      <c r="H59" s="64">
        <v>411.82</v>
      </c>
      <c r="I59" s="64">
        <v>1699.0</v>
      </c>
      <c r="J59" s="1"/>
      <c r="K59" s="216">
        <f t="shared" si="17"/>
        <v>2110.82</v>
      </c>
      <c r="L59" s="1"/>
    </row>
    <row r="60" ht="24.0" customHeight="1">
      <c r="A60" s="214">
        <v>45751.0</v>
      </c>
      <c r="B60" s="186" t="s">
        <v>4396</v>
      </c>
      <c r="C60" s="186">
        <v>-85449.09</v>
      </c>
      <c r="D60" s="212" t="s">
        <v>4385</v>
      </c>
      <c r="E60" s="217"/>
      <c r="F60" s="210"/>
      <c r="G60" s="197" t="s">
        <v>4381</v>
      </c>
      <c r="H60" s="64">
        <v>411.82</v>
      </c>
      <c r="I60" s="64">
        <v>1699.0</v>
      </c>
      <c r="J60" s="1"/>
      <c r="K60" s="216">
        <f t="shared" si="17"/>
        <v>2110.82</v>
      </c>
      <c r="L60" s="1"/>
    </row>
    <row r="61" ht="24.0" customHeight="1">
      <c r="A61" s="214">
        <v>45782.0</v>
      </c>
      <c r="B61" s="186" t="s">
        <v>4395</v>
      </c>
      <c r="C61" s="186">
        <v>40000.0</v>
      </c>
      <c r="D61" s="212" t="s">
        <v>4385</v>
      </c>
      <c r="E61" s="217"/>
      <c r="F61" s="210"/>
      <c r="G61" s="197" t="s">
        <v>4369</v>
      </c>
      <c r="H61" s="64">
        <v>411.82</v>
      </c>
      <c r="I61" s="64">
        <v>1699.0</v>
      </c>
      <c r="J61" s="1"/>
      <c r="K61" s="216">
        <f t="shared" si="17"/>
        <v>2110.82</v>
      </c>
      <c r="L61" s="1"/>
    </row>
    <row r="62" ht="24.0" customHeight="1">
      <c r="A62" s="214">
        <v>45782.0</v>
      </c>
      <c r="B62" s="186" t="s">
        <v>4395</v>
      </c>
      <c r="C62" s="186">
        <v>40000.0</v>
      </c>
      <c r="D62" s="212" t="s">
        <v>4385</v>
      </c>
      <c r="E62" s="217"/>
      <c r="F62" s="210"/>
      <c r="G62" s="197" t="s">
        <v>4370</v>
      </c>
      <c r="H62" s="64">
        <v>411.82</v>
      </c>
      <c r="I62" s="64">
        <v>1699.0</v>
      </c>
      <c r="J62" s="1"/>
      <c r="K62" s="216">
        <f t="shared" si="17"/>
        <v>2110.82</v>
      </c>
      <c r="L62" s="1"/>
    </row>
    <row r="63" ht="24.0" customHeight="1">
      <c r="A63" s="214">
        <v>45782.0</v>
      </c>
      <c r="B63" s="186" t="s">
        <v>4395</v>
      </c>
      <c r="C63" s="186">
        <v>30000.0</v>
      </c>
      <c r="D63" s="212" t="s">
        <v>4385</v>
      </c>
      <c r="E63" s="217"/>
      <c r="F63" s="210"/>
      <c r="G63" s="197" t="s">
        <v>4371</v>
      </c>
      <c r="H63" s="64">
        <v>411.82</v>
      </c>
      <c r="I63" s="64">
        <v>1699.0</v>
      </c>
      <c r="J63" s="1"/>
      <c r="K63" s="216">
        <f t="shared" si="17"/>
        <v>2110.82</v>
      </c>
      <c r="L63" s="1"/>
    </row>
    <row r="64" ht="24.0" customHeight="1">
      <c r="A64" s="214">
        <v>45808.0</v>
      </c>
      <c r="B64" s="186" t="s">
        <v>4395</v>
      </c>
      <c r="C64" s="186">
        <v>40000.0</v>
      </c>
      <c r="D64" s="212" t="s">
        <v>4384</v>
      </c>
      <c r="E64" s="217"/>
      <c r="F64" s="210"/>
      <c r="G64" s="197" t="s">
        <v>4372</v>
      </c>
      <c r="H64" s="64">
        <v>411.82</v>
      </c>
      <c r="I64" s="64">
        <v>1699.0</v>
      </c>
      <c r="J64" s="1"/>
      <c r="K64" s="216">
        <f t="shared" si="17"/>
        <v>2110.82</v>
      </c>
      <c r="L64" s="1"/>
    </row>
    <row r="65" ht="24.0" customHeight="1">
      <c r="A65" s="214">
        <v>45861.0</v>
      </c>
      <c r="B65" s="186" t="s">
        <v>4395</v>
      </c>
      <c r="C65" s="186">
        <v>7000.0</v>
      </c>
      <c r="D65" s="212" t="s">
        <v>4385</v>
      </c>
      <c r="E65" s="213" t="s">
        <v>4397</v>
      </c>
      <c r="F65" s="210"/>
      <c r="G65" s="197" t="s">
        <v>4374</v>
      </c>
      <c r="H65" s="64">
        <v>411.82</v>
      </c>
      <c r="I65" s="64">
        <v>1699.0</v>
      </c>
      <c r="J65" s="1"/>
      <c r="K65" s="216">
        <f t="shared" si="17"/>
        <v>2110.82</v>
      </c>
      <c r="L65" s="1"/>
    </row>
    <row r="66" ht="24.0" customHeight="1">
      <c r="A66" s="214">
        <v>45900.0</v>
      </c>
      <c r="B66" s="186" t="s">
        <v>4395</v>
      </c>
      <c r="C66" s="186">
        <v>100000.0</v>
      </c>
      <c r="D66" s="212" t="s">
        <v>4385</v>
      </c>
      <c r="E66" s="218"/>
      <c r="G66" s="197" t="s">
        <v>4375</v>
      </c>
      <c r="H66" s="64">
        <v>411.82</v>
      </c>
      <c r="I66" s="64">
        <v>1699.0</v>
      </c>
      <c r="J66" s="1"/>
      <c r="K66" s="216">
        <f t="shared" si="17"/>
        <v>2110.82</v>
      </c>
      <c r="L66" s="1"/>
    </row>
    <row r="67" ht="24.0" customHeight="1">
      <c r="A67" s="214">
        <v>45909.0</v>
      </c>
      <c r="B67" s="186" t="s">
        <v>4398</v>
      </c>
      <c r="C67" s="186">
        <v>150000.0</v>
      </c>
      <c r="D67" s="212" t="s">
        <v>4385</v>
      </c>
      <c r="E67" s="218"/>
      <c r="G67" s="197" t="s">
        <v>4376</v>
      </c>
      <c r="H67" s="64">
        <v>411.82</v>
      </c>
      <c r="I67" s="64">
        <v>1699.0</v>
      </c>
      <c r="J67" s="1"/>
      <c r="K67" s="216">
        <f t="shared" si="17"/>
        <v>2110.82</v>
      </c>
      <c r="L67" s="1"/>
    </row>
    <row r="68" ht="24.0" customHeight="1">
      <c r="A68" s="214">
        <v>45910.0</v>
      </c>
      <c r="B68" s="186" t="s">
        <v>4395</v>
      </c>
      <c r="C68" s="186">
        <v>75000.0</v>
      </c>
      <c r="D68" s="212" t="s">
        <v>4384</v>
      </c>
      <c r="E68" s="218"/>
      <c r="G68" s="197" t="s">
        <v>4399</v>
      </c>
      <c r="H68" s="64">
        <f t="shared" ref="H68:I68" si="18">SUM(H56:H67)</f>
        <v>4941.84</v>
      </c>
      <c r="I68" s="64">
        <f t="shared" si="18"/>
        <v>20388</v>
      </c>
      <c r="K68" s="216">
        <f>SUM(K56:K67)</f>
        <v>25329.84</v>
      </c>
      <c r="L68" s="1"/>
    </row>
    <row r="69" ht="24.0" customHeight="1">
      <c r="A69" s="214">
        <v>45916.0</v>
      </c>
      <c r="B69" s="186" t="s">
        <v>4398</v>
      </c>
      <c r="C69" s="186">
        <v>42000.0</v>
      </c>
      <c r="D69" s="212" t="s">
        <v>4385</v>
      </c>
      <c r="E69" s="218"/>
      <c r="G69" s="197"/>
      <c r="H69" s="64"/>
      <c r="I69" s="64"/>
      <c r="K69" s="216"/>
      <c r="L69" s="1"/>
    </row>
    <row r="70" ht="24.0" customHeight="1">
      <c r="A70" s="214">
        <v>45916.0</v>
      </c>
      <c r="B70" s="186" t="s">
        <v>4395</v>
      </c>
      <c r="C70" s="186">
        <v>42000.0</v>
      </c>
      <c r="D70" s="212" t="s">
        <v>4384</v>
      </c>
      <c r="E70" s="218"/>
      <c r="G70" s="197"/>
      <c r="H70" s="64"/>
      <c r="I70" s="64"/>
      <c r="K70" s="216"/>
      <c r="L70" s="1"/>
    </row>
    <row r="71" ht="24.0" customHeight="1">
      <c r="A71" s="214">
        <v>45916.0</v>
      </c>
      <c r="B71" s="186" t="s">
        <v>4398</v>
      </c>
      <c r="C71" s="186">
        <v>60000.0</v>
      </c>
      <c r="D71" s="212" t="s">
        <v>4384</v>
      </c>
      <c r="E71" s="218"/>
      <c r="G71" s="197"/>
      <c r="H71" s="64"/>
    </row>
    <row r="72" ht="24.0" customHeight="1">
      <c r="A72" s="214">
        <v>45916.0</v>
      </c>
      <c r="B72" s="186" t="s">
        <v>4398</v>
      </c>
      <c r="C72" s="186">
        <v>60000.0</v>
      </c>
      <c r="D72" s="212" t="s">
        <v>4385</v>
      </c>
      <c r="E72" s="218"/>
      <c r="G72" s="212" t="s">
        <v>4400</v>
      </c>
      <c r="H72" s="219" t="s">
        <v>51</v>
      </c>
      <c r="I72" s="220" t="s">
        <v>4401</v>
      </c>
      <c r="J72" s="212" t="s">
        <v>4402</v>
      </c>
    </row>
    <row r="73" ht="24.0" customHeight="1">
      <c r="A73" s="214">
        <v>45964.0</v>
      </c>
      <c r="B73" s="186" t="s">
        <v>4395</v>
      </c>
      <c r="C73" s="186">
        <v>30000.0</v>
      </c>
      <c r="D73" s="212" t="s">
        <v>4384</v>
      </c>
      <c r="E73" s="218"/>
      <c r="G73" s="212" t="s">
        <v>4372</v>
      </c>
      <c r="H73" s="221">
        <v>49317.54</v>
      </c>
      <c r="I73" s="212" t="s">
        <v>65</v>
      </c>
      <c r="J73" s="188"/>
    </row>
    <row r="74" ht="24.0" customHeight="1">
      <c r="G74" s="212" t="s">
        <v>4374</v>
      </c>
      <c r="H74" s="221">
        <v>57060.35</v>
      </c>
      <c r="I74" s="222">
        <f>H74-H73</f>
        <v>7742.81</v>
      </c>
      <c r="J74" s="223">
        <f>I74/H73</f>
        <v>0.1569991123</v>
      </c>
      <c r="K74" s="1"/>
      <c r="L74" s="1"/>
    </row>
    <row r="75" ht="24.0" customHeight="1">
      <c r="I75" s="188"/>
      <c r="J75" s="188"/>
      <c r="K75" s="1"/>
      <c r="L75" s="1"/>
    </row>
    <row r="76" ht="24.0" customHeight="1">
      <c r="A76" s="224" t="s">
        <v>26</v>
      </c>
      <c r="B76" s="225" t="s">
        <v>42</v>
      </c>
      <c r="C76" s="225" t="s">
        <v>51</v>
      </c>
      <c r="H76" s="226"/>
      <c r="I76" s="188"/>
      <c r="J76" s="188"/>
      <c r="K76" s="1"/>
      <c r="L76" s="1"/>
    </row>
    <row r="77" ht="24.0" customHeight="1">
      <c r="A77" s="227">
        <v>45835.0</v>
      </c>
      <c r="B77" s="228" t="s">
        <v>4403</v>
      </c>
      <c r="C77" s="228">
        <v>400.0</v>
      </c>
      <c r="I77" s="188"/>
      <c r="J77" s="188"/>
      <c r="K77" s="1"/>
      <c r="L77" s="1"/>
    </row>
    <row r="78" ht="24.0" customHeight="1">
      <c r="A78" s="227">
        <v>45842.0</v>
      </c>
      <c r="B78" s="228" t="s">
        <v>4404</v>
      </c>
      <c r="C78" s="228">
        <v>1700.0</v>
      </c>
      <c r="J78" s="188"/>
      <c r="K78" s="1"/>
      <c r="L78" s="1"/>
    </row>
    <row r="79" ht="24.0" customHeight="1">
      <c r="A79" s="227">
        <v>45844.0</v>
      </c>
      <c r="B79" s="229" t="s">
        <v>4405</v>
      </c>
      <c r="C79" s="229">
        <v>299.0</v>
      </c>
      <c r="H79" s="221"/>
      <c r="I79" s="221"/>
      <c r="J79" s="222"/>
      <c r="K79" s="230"/>
      <c r="L79" s="1"/>
    </row>
    <row r="80" ht="24.0" customHeight="1">
      <c r="A80" s="227">
        <v>45857.0</v>
      </c>
      <c r="B80" s="229" t="s">
        <v>4406</v>
      </c>
      <c r="C80" s="229">
        <v>600.0</v>
      </c>
      <c r="J80" s="1"/>
      <c r="K80" s="1"/>
      <c r="L80" s="1"/>
    </row>
    <row r="81" ht="24.0" customHeight="1">
      <c r="A81" s="227">
        <v>45859.0</v>
      </c>
      <c r="B81" s="229" t="s">
        <v>4407</v>
      </c>
      <c r="C81" s="229">
        <v>411.0</v>
      </c>
      <c r="I81" s="1"/>
      <c r="J81" s="1"/>
      <c r="K81" s="1"/>
      <c r="L81" s="1"/>
    </row>
    <row r="82" ht="24.0" customHeight="1">
      <c r="A82" s="227">
        <v>45864.0</v>
      </c>
      <c r="B82" s="229" t="s">
        <v>4408</v>
      </c>
      <c r="C82" s="229">
        <v>706.0</v>
      </c>
      <c r="I82" s="1"/>
      <c r="J82" s="1"/>
      <c r="K82" s="1"/>
      <c r="L82" s="1"/>
    </row>
  </sheetData>
  <dataValidations>
    <dataValidation type="custom" allowBlank="1" showDropDown="1" sqref="A56:A73 A77:A82">
      <formula1>OR(NOT(ISERROR(DATEVALUE(A56))), AND(ISNUMBER(A56), LEFT(CELL("format", A56))="D"))</formula1>
    </dataValidation>
    <dataValidation type="custom" allowBlank="1" showDropDown="1" sqref="C42:C51 E42:E51">
      <formula1>AND(ISNUMBER(C42),(NOT(OR(NOT(ISERROR(DATEVALUE(C42))), AND(ISNUMBER(C42), LEFT(CELL("format", C42))="D")))))</formula1>
    </dataValidation>
  </dataValidations>
  <drawing r:id="rId2"/>
  <legacyDrawing r:id="rId3"/>
  <tableParts count="5">
    <tablePart r:id="rId9"/>
    <tablePart r:id="rId10"/>
    <tablePart r:id="rId11"/>
    <tablePart r:id="rId12"/>
    <tablePart r:id="rId1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1" t="s">
        <v>4409</v>
      </c>
      <c r="C1" s="232"/>
      <c r="D1" s="233"/>
      <c r="E1" s="233"/>
      <c r="F1" s="234"/>
      <c r="G1" s="234"/>
      <c r="H1" s="235"/>
      <c r="I1" s="236"/>
      <c r="J1" s="237"/>
      <c r="K1" s="236"/>
      <c r="L1" s="238"/>
      <c r="M1" s="234"/>
      <c r="N1" s="234"/>
      <c r="O1" s="234"/>
      <c r="P1" s="239"/>
      <c r="Q1" s="234"/>
      <c r="R1" s="234"/>
      <c r="S1" s="240"/>
      <c r="T1" s="241"/>
      <c r="U1" s="242"/>
      <c r="V1" s="243"/>
      <c r="W1" s="236"/>
      <c r="X1" s="234"/>
      <c r="Y1" s="234"/>
      <c r="Z1" s="234"/>
      <c r="AA1" s="234"/>
      <c r="AB1" s="234"/>
      <c r="AC1" s="236"/>
      <c r="AD1" s="237"/>
      <c r="AE1" s="237"/>
      <c r="AF1" s="238"/>
      <c r="AG1" s="238"/>
      <c r="AH1" s="238"/>
      <c r="AI1" s="238"/>
      <c r="AJ1" s="238"/>
      <c r="AK1" s="238"/>
      <c r="AL1" s="238"/>
      <c r="AM1" s="238"/>
      <c r="AN1" s="238"/>
      <c r="AO1" s="238"/>
      <c r="AP1" s="238"/>
      <c r="AQ1" s="238"/>
      <c r="AR1" s="238"/>
      <c r="AS1" s="238"/>
      <c r="AT1" s="238"/>
      <c r="AU1" s="238"/>
      <c r="AV1" s="238"/>
      <c r="AW1" s="238"/>
      <c r="AX1" s="238"/>
      <c r="AY1" s="238"/>
      <c r="AZ1" s="238"/>
      <c r="BA1" s="238"/>
      <c r="BB1" s="238"/>
      <c r="BC1" s="238"/>
      <c r="BD1" s="238"/>
      <c r="BE1" s="238"/>
      <c r="BF1" s="238"/>
      <c r="BG1" s="238"/>
      <c r="BH1" s="238"/>
      <c r="BI1" s="238"/>
      <c r="BJ1" s="238"/>
      <c r="BK1" s="238"/>
      <c r="BL1" s="238"/>
      <c r="BM1" s="238"/>
      <c r="BN1" s="238"/>
      <c r="BO1" s="238"/>
      <c r="BP1" s="238"/>
      <c r="BQ1" s="238"/>
    </row>
    <row r="2">
      <c r="A2" s="244" t="s">
        <v>4410</v>
      </c>
      <c r="C2" s="245" t="s">
        <v>4411</v>
      </c>
      <c r="D2" s="233"/>
      <c r="E2" s="233"/>
      <c r="F2" s="234"/>
      <c r="G2" s="234"/>
      <c r="H2" s="235"/>
      <c r="I2" s="236"/>
      <c r="J2" s="237"/>
      <c r="K2" s="236"/>
      <c r="L2" s="238"/>
      <c r="M2" s="234"/>
      <c r="N2" s="234"/>
      <c r="O2" s="234"/>
      <c r="P2" s="239"/>
      <c r="Q2" s="234"/>
      <c r="R2" s="234"/>
      <c r="S2" s="240"/>
      <c r="T2" s="241"/>
      <c r="U2" s="242"/>
      <c r="V2" s="243"/>
      <c r="W2" s="236"/>
      <c r="X2" s="234"/>
      <c r="Y2" s="234"/>
      <c r="Z2" s="234"/>
      <c r="AA2" s="234"/>
      <c r="AB2" s="234"/>
      <c r="AC2" s="236"/>
      <c r="AD2" s="237"/>
      <c r="AE2" s="237"/>
      <c r="AF2" s="238"/>
      <c r="AG2" s="238"/>
      <c r="AH2" s="238"/>
      <c r="AI2" s="238"/>
      <c r="AJ2" s="238"/>
      <c r="AK2" s="238"/>
      <c r="AL2" s="238"/>
      <c r="AM2" s="238"/>
      <c r="AN2" s="238"/>
      <c r="AO2" s="238"/>
      <c r="AP2" s="238"/>
      <c r="AQ2" s="238"/>
      <c r="AR2" s="238"/>
      <c r="AS2" s="238"/>
      <c r="AT2" s="238"/>
      <c r="AU2" s="238"/>
      <c r="AV2" s="238"/>
      <c r="AW2" s="238"/>
      <c r="AX2" s="238"/>
      <c r="AY2" s="238"/>
      <c r="AZ2" s="238"/>
      <c r="BA2" s="238"/>
      <c r="BB2" s="238"/>
      <c r="BC2" s="238"/>
      <c r="BD2" s="238"/>
      <c r="BE2" s="238"/>
      <c r="BF2" s="238"/>
      <c r="BG2" s="238"/>
      <c r="BH2" s="238"/>
      <c r="BI2" s="238"/>
      <c r="BJ2" s="238"/>
      <c r="BK2" s="238"/>
      <c r="BL2" s="238"/>
      <c r="BM2" s="238"/>
      <c r="BN2" s="238"/>
      <c r="BO2" s="238"/>
      <c r="BP2" s="238"/>
      <c r="BQ2" s="238"/>
    </row>
    <row r="3">
      <c r="A3" s="246" t="s">
        <v>4412</v>
      </c>
      <c r="B3" s="247" t="s">
        <v>4413</v>
      </c>
      <c r="C3" s="232"/>
      <c r="D3" s="233"/>
      <c r="E3" s="233"/>
      <c r="F3" s="234"/>
      <c r="G3" s="234"/>
      <c r="H3" s="235"/>
      <c r="I3" s="236"/>
      <c r="J3" s="237"/>
      <c r="K3" s="236"/>
      <c r="L3" s="238"/>
      <c r="M3" s="234"/>
      <c r="N3" s="234"/>
      <c r="O3" s="234"/>
      <c r="P3" s="239"/>
      <c r="Q3" s="234"/>
      <c r="R3" s="234"/>
      <c r="S3" s="240"/>
      <c r="T3" s="241"/>
      <c r="U3" s="242"/>
      <c r="V3" s="243"/>
      <c r="W3" s="236"/>
      <c r="X3" s="234"/>
      <c r="Y3" s="234"/>
      <c r="Z3" s="234"/>
      <c r="AA3" s="234"/>
      <c r="AB3" s="234"/>
      <c r="AC3" s="236"/>
      <c r="AD3" s="237"/>
      <c r="AE3" s="237"/>
      <c r="AF3" s="238"/>
      <c r="AG3" s="238"/>
      <c r="AH3" s="238"/>
      <c r="AI3" s="238"/>
      <c r="AJ3" s="238"/>
      <c r="AK3" s="238"/>
      <c r="AL3" s="238"/>
      <c r="AM3" s="238"/>
      <c r="AN3" s="238"/>
      <c r="AO3" s="238"/>
      <c r="AP3" s="238"/>
      <c r="AQ3" s="238"/>
      <c r="AR3" s="238"/>
      <c r="AS3" s="238"/>
      <c r="AT3" s="238"/>
      <c r="AU3" s="238"/>
      <c r="AV3" s="238"/>
      <c r="AW3" s="238"/>
      <c r="AX3" s="238"/>
      <c r="AY3" s="238"/>
      <c r="AZ3" s="238"/>
      <c r="BA3" s="238"/>
      <c r="BB3" s="238"/>
      <c r="BC3" s="238"/>
      <c r="BD3" s="238"/>
      <c r="BE3" s="238"/>
      <c r="BF3" s="238"/>
      <c r="BG3" s="238"/>
      <c r="BH3" s="238"/>
      <c r="BI3" s="238"/>
      <c r="BJ3" s="238"/>
      <c r="BK3" s="238"/>
      <c r="BL3" s="238"/>
      <c r="BM3" s="238"/>
      <c r="BN3" s="238"/>
      <c r="BO3" s="238"/>
      <c r="BP3" s="238"/>
      <c r="BQ3" s="238"/>
    </row>
    <row r="4">
      <c r="A4" s="246" t="s">
        <v>4414</v>
      </c>
      <c r="B4" s="245" t="s">
        <v>4415</v>
      </c>
      <c r="C4" s="232"/>
      <c r="D4" s="233"/>
      <c r="E4" s="233"/>
      <c r="F4" s="234"/>
      <c r="G4" s="234"/>
      <c r="H4" s="235"/>
      <c r="I4" s="236"/>
      <c r="J4" s="237"/>
      <c r="K4" s="236"/>
      <c r="L4" s="238"/>
      <c r="M4" s="234"/>
      <c r="N4" s="234"/>
      <c r="O4" s="234"/>
      <c r="P4" s="239"/>
      <c r="Q4" s="234"/>
      <c r="R4" s="234"/>
      <c r="S4" s="240"/>
      <c r="T4" s="241"/>
      <c r="U4" s="242"/>
      <c r="V4" s="243"/>
      <c r="W4" s="236"/>
      <c r="X4" s="234"/>
      <c r="Y4" s="234"/>
      <c r="Z4" s="234"/>
      <c r="AA4" s="234"/>
      <c r="AB4" s="234"/>
      <c r="AC4" s="236"/>
      <c r="AD4" s="237"/>
      <c r="AE4" s="237"/>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row>
    <row r="5">
      <c r="A5" s="246"/>
      <c r="B5" s="232"/>
      <c r="C5" s="232"/>
      <c r="D5" s="233"/>
      <c r="E5" s="233"/>
      <c r="F5" s="234"/>
      <c r="G5" s="234"/>
      <c r="H5" s="235"/>
      <c r="I5" s="236"/>
      <c r="J5" s="237"/>
      <c r="K5" s="236"/>
      <c r="L5" s="238"/>
      <c r="M5" s="234"/>
      <c r="N5" s="234"/>
      <c r="O5" s="234"/>
      <c r="P5" s="239"/>
      <c r="Q5" s="234"/>
      <c r="R5" s="234"/>
      <c r="S5" s="240"/>
      <c r="T5" s="241"/>
      <c r="U5" s="242"/>
      <c r="V5" s="243"/>
      <c r="W5" s="236"/>
      <c r="X5" s="234"/>
      <c r="Y5" s="234"/>
      <c r="Z5" s="234"/>
      <c r="AA5" s="234"/>
      <c r="AB5" s="234"/>
      <c r="AC5" s="236"/>
      <c r="AD5" s="237"/>
      <c r="AE5" s="237"/>
      <c r="AF5" s="238"/>
      <c r="AG5" s="238"/>
      <c r="AH5" s="238"/>
      <c r="AI5" s="238"/>
      <c r="AJ5" s="238"/>
      <c r="AK5" s="238"/>
      <c r="AL5" s="238"/>
      <c r="AM5" s="238"/>
      <c r="AN5" s="238"/>
      <c r="AO5" s="238"/>
      <c r="AP5" s="238"/>
      <c r="AQ5" s="238"/>
      <c r="AR5" s="238"/>
      <c r="AS5" s="238"/>
      <c r="AT5" s="238"/>
      <c r="AU5" s="238"/>
      <c r="AV5" s="238"/>
      <c r="AW5" s="238"/>
      <c r="AX5" s="238"/>
      <c r="AY5" s="238"/>
      <c r="AZ5" s="238"/>
      <c r="BA5" s="238"/>
      <c r="BB5" s="238"/>
      <c r="BC5" s="238"/>
      <c r="BD5" s="238"/>
      <c r="BE5" s="238"/>
      <c r="BF5" s="238"/>
      <c r="BG5" s="238"/>
      <c r="BH5" s="238"/>
      <c r="BI5" s="238"/>
      <c r="BJ5" s="238"/>
      <c r="BK5" s="238"/>
      <c r="BL5" s="238"/>
      <c r="BM5" s="238"/>
      <c r="BN5" s="238"/>
      <c r="BO5" s="238"/>
      <c r="BP5" s="238"/>
      <c r="BQ5" s="238"/>
    </row>
    <row r="6">
      <c r="A6" s="246"/>
      <c r="B6" s="232"/>
      <c r="C6" s="232"/>
      <c r="D6" s="233"/>
      <c r="E6" s="233"/>
      <c r="F6" s="234"/>
      <c r="G6" s="234"/>
      <c r="H6" s="235"/>
      <c r="I6" s="236"/>
      <c r="J6" s="237"/>
      <c r="K6" s="236"/>
      <c r="L6" s="238"/>
      <c r="M6" s="234"/>
      <c r="N6" s="234"/>
      <c r="O6" s="234"/>
      <c r="P6" s="239"/>
      <c r="Q6" s="234"/>
      <c r="R6" s="234"/>
      <c r="S6" s="240"/>
      <c r="T6" s="241"/>
      <c r="U6" s="242"/>
      <c r="V6" s="243"/>
      <c r="W6" s="236"/>
      <c r="X6" s="234"/>
      <c r="Y6" s="234"/>
      <c r="Z6" s="234"/>
      <c r="AA6" s="234"/>
      <c r="AB6" s="234"/>
      <c r="AC6" s="236"/>
      <c r="AD6" s="237"/>
      <c r="AE6" s="237"/>
      <c r="AF6" s="238"/>
      <c r="AG6" s="238"/>
      <c r="AH6" s="238"/>
      <c r="AI6" s="238"/>
      <c r="AJ6" s="238"/>
      <c r="AK6" s="238"/>
      <c r="AL6" s="238"/>
      <c r="AM6" s="238"/>
      <c r="AN6" s="238"/>
      <c r="AO6" s="238"/>
      <c r="AP6" s="238"/>
      <c r="AQ6" s="238"/>
      <c r="AR6" s="238"/>
      <c r="AS6" s="238"/>
      <c r="AT6" s="238"/>
      <c r="AU6" s="238"/>
      <c r="AV6" s="238"/>
      <c r="AW6" s="238"/>
      <c r="AX6" s="238"/>
      <c r="AY6" s="238"/>
      <c r="AZ6" s="238"/>
      <c r="BA6" s="238"/>
      <c r="BB6" s="238"/>
      <c r="BC6" s="238"/>
      <c r="BD6" s="238"/>
      <c r="BE6" s="238"/>
      <c r="BF6" s="238"/>
      <c r="BG6" s="238"/>
      <c r="BH6" s="238"/>
      <c r="BI6" s="238"/>
      <c r="BJ6" s="238"/>
      <c r="BK6" s="238"/>
      <c r="BL6" s="238"/>
      <c r="BM6" s="238"/>
      <c r="BN6" s="238"/>
      <c r="BO6" s="238"/>
      <c r="BP6" s="238"/>
      <c r="BQ6" s="238"/>
    </row>
    <row r="7" ht="22.5" customHeight="1">
      <c r="A7" s="248" t="s">
        <v>4416</v>
      </c>
      <c r="B7" s="249" t="s">
        <v>4417</v>
      </c>
      <c r="C7" s="249" t="s">
        <v>4418</v>
      </c>
      <c r="D7" s="250" t="s">
        <v>4359</v>
      </c>
      <c r="E7" s="250" t="s">
        <v>4419</v>
      </c>
      <c r="F7" s="251" t="s">
        <v>4420</v>
      </c>
      <c r="G7" s="251" t="s">
        <v>4421</v>
      </c>
      <c r="H7" s="252" t="s">
        <v>4422</v>
      </c>
      <c r="I7" s="253" t="s">
        <v>4423</v>
      </c>
      <c r="J7" s="254" t="s">
        <v>4424</v>
      </c>
      <c r="K7" s="253" t="s">
        <v>4425</v>
      </c>
      <c r="L7" s="255" t="s">
        <v>4426</v>
      </c>
      <c r="M7" s="251" t="s">
        <v>4427</v>
      </c>
      <c r="N7" s="251" t="s">
        <v>4428</v>
      </c>
      <c r="O7" s="251" t="s">
        <v>4429</v>
      </c>
      <c r="P7" s="256" t="s">
        <v>4430</v>
      </c>
      <c r="Q7" s="251" t="s">
        <v>4431</v>
      </c>
      <c r="R7" s="251" t="s">
        <v>89</v>
      </c>
      <c r="S7" s="257" t="s">
        <v>4432</v>
      </c>
      <c r="T7" s="258" t="s">
        <v>4433</v>
      </c>
      <c r="U7" s="259" t="s">
        <v>4434</v>
      </c>
      <c r="V7" s="260" t="s">
        <v>4435</v>
      </c>
      <c r="W7" s="253" t="s">
        <v>4436</v>
      </c>
      <c r="X7" s="251" t="s">
        <v>4437</v>
      </c>
      <c r="Y7" s="251" t="s">
        <v>4438</v>
      </c>
      <c r="Z7" s="251" t="s">
        <v>4439</v>
      </c>
      <c r="AA7" s="251" t="s">
        <v>4440</v>
      </c>
      <c r="AB7" s="251" t="s">
        <v>4441</v>
      </c>
      <c r="AC7" s="253" t="s">
        <v>4442</v>
      </c>
      <c r="AD7" s="254" t="s">
        <v>4443</v>
      </c>
      <c r="AE7" s="254" t="s">
        <v>4444</v>
      </c>
      <c r="AF7" s="255" t="s">
        <v>4361</v>
      </c>
      <c r="AG7" s="255" t="s">
        <v>39</v>
      </c>
      <c r="AH7" s="255" t="s">
        <v>4445</v>
      </c>
      <c r="AI7" s="255" t="s">
        <v>4446</v>
      </c>
      <c r="AJ7" s="255" t="s">
        <v>4447</v>
      </c>
      <c r="AK7" s="255" t="s">
        <v>4448</v>
      </c>
      <c r="AL7" s="255" t="s">
        <v>4449</v>
      </c>
      <c r="AM7" s="255" t="s">
        <v>4450</v>
      </c>
      <c r="AN7" s="255" t="s">
        <v>4451</v>
      </c>
      <c r="AO7" s="255" t="s">
        <v>4452</v>
      </c>
      <c r="AP7" s="255" t="s">
        <v>4453</v>
      </c>
      <c r="AQ7" s="255" t="s">
        <v>4454</v>
      </c>
      <c r="AR7" s="255" t="s">
        <v>4455</v>
      </c>
      <c r="AS7" s="255" t="s">
        <v>4456</v>
      </c>
      <c r="AT7" s="255" t="s">
        <v>4457</v>
      </c>
      <c r="AU7" s="255" t="s">
        <v>4458</v>
      </c>
      <c r="AV7" s="255" t="s">
        <v>4459</v>
      </c>
      <c r="AW7" s="255" t="s">
        <v>4460</v>
      </c>
      <c r="AX7" s="255" t="s">
        <v>4461</v>
      </c>
      <c r="AY7" s="255" t="s">
        <v>4462</v>
      </c>
      <c r="AZ7" s="255" t="s">
        <v>4463</v>
      </c>
      <c r="BA7" s="255" t="s">
        <v>4464</v>
      </c>
      <c r="BB7" s="255" t="s">
        <v>4465</v>
      </c>
      <c r="BC7" s="255" t="s">
        <v>4466</v>
      </c>
      <c r="BD7" s="255" t="s">
        <v>4467</v>
      </c>
      <c r="BE7" s="255" t="s">
        <v>4468</v>
      </c>
      <c r="BF7" s="255" t="s">
        <v>4469</v>
      </c>
      <c r="BG7" s="255" t="s">
        <v>4470</v>
      </c>
      <c r="BH7" s="255" t="s">
        <v>4471</v>
      </c>
      <c r="BI7" s="255" t="s">
        <v>4472</v>
      </c>
      <c r="BJ7" s="255" t="s">
        <v>4473</v>
      </c>
      <c r="BK7" s="255" t="s">
        <v>4474</v>
      </c>
      <c r="BL7" s="255" t="s">
        <v>4475</v>
      </c>
      <c r="BM7" s="255" t="s">
        <v>4476</v>
      </c>
      <c r="BN7" s="255" t="s">
        <v>4477</v>
      </c>
      <c r="BO7" s="255" t="s">
        <v>4478</v>
      </c>
      <c r="BP7" s="255" t="s">
        <v>4479</v>
      </c>
      <c r="BQ7" s="255" t="s">
        <v>4480</v>
      </c>
    </row>
    <row r="8" ht="22.5" customHeight="1">
      <c r="A8" s="261">
        <v>45810.0</v>
      </c>
      <c r="B8" s="262" t="s">
        <v>4387</v>
      </c>
      <c r="C8" s="263" t="s">
        <v>4481</v>
      </c>
      <c r="D8" s="264" t="s">
        <v>4482</v>
      </c>
      <c r="E8" s="265"/>
      <c r="F8" s="212" t="s">
        <v>4483</v>
      </c>
      <c r="G8" s="266" t="s">
        <v>4484</v>
      </c>
      <c r="H8" s="267" t="s">
        <v>4485</v>
      </c>
      <c r="I8" s="268" t="s">
        <v>4486</v>
      </c>
      <c r="J8" s="269" t="s">
        <v>4487</v>
      </c>
      <c r="K8" s="270">
        <v>0.4638888888888889</v>
      </c>
      <c r="L8" s="271">
        <f t="shared" ref="L8:L22" si="1">AD8+AE8</f>
        <v>-150</v>
      </c>
      <c r="M8" s="188"/>
      <c r="N8" s="188"/>
      <c r="O8" s="188"/>
      <c r="P8" s="272">
        <f t="shared" ref="P8:P22" si="2">sum(AA8:AB8)</f>
        <v>-2</v>
      </c>
      <c r="Q8" s="273">
        <f t="shared" ref="Q8:Q22" si="3">(P8/Y8)</f>
        <v>-0.009465215334</v>
      </c>
      <c r="R8" s="220">
        <v>1.0</v>
      </c>
      <c r="S8" s="274" t="s">
        <v>4488</v>
      </c>
      <c r="T8" s="275" t="s">
        <v>4489</v>
      </c>
      <c r="U8" s="276" t="s">
        <v>4490</v>
      </c>
      <c r="V8" s="277" t="s">
        <v>4491</v>
      </c>
      <c r="W8" s="270">
        <v>0.4638888888888889</v>
      </c>
      <c r="X8" s="278">
        <f t="shared" ref="X8:X22" si="4">W8-K8</f>
        <v>0</v>
      </c>
      <c r="Y8" s="220">
        <v>211.3</v>
      </c>
      <c r="Z8" s="220">
        <v>209.3</v>
      </c>
      <c r="AA8" s="188"/>
      <c r="AB8" s="279">
        <f t="shared" ref="AB8:AB9" si="5">Z8-Y8</f>
        <v>-2</v>
      </c>
      <c r="AC8" s="279">
        <v>75.0</v>
      </c>
      <c r="AD8" s="280">
        <f t="shared" ref="AD8:AD10" si="6">AA8*AC8</f>
        <v>0</v>
      </c>
      <c r="AE8" s="272">
        <f t="shared" ref="AE8:AE9" si="7">AB8*AC8</f>
        <v>-150</v>
      </c>
      <c r="AF8" s="281">
        <v>68.0</v>
      </c>
      <c r="AG8" s="272">
        <f t="shared" ref="AG8:AG22" si="8">AD8+AE8-AF8</f>
        <v>-218</v>
      </c>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c r="BK8" s="272"/>
      <c r="BL8" s="272"/>
      <c r="BM8" s="272"/>
      <c r="BN8" s="272"/>
      <c r="BO8" s="272"/>
      <c r="BP8" s="272"/>
      <c r="BQ8" s="272"/>
    </row>
    <row r="9" ht="22.5" customHeight="1">
      <c r="A9" s="282">
        <v>45810.0</v>
      </c>
      <c r="B9" s="262" t="s">
        <v>4387</v>
      </c>
      <c r="C9" s="263" t="s">
        <v>4481</v>
      </c>
      <c r="D9" s="264" t="s">
        <v>4482</v>
      </c>
      <c r="E9" s="265"/>
      <c r="F9" s="212" t="s">
        <v>4483</v>
      </c>
      <c r="G9" s="266" t="s">
        <v>4484</v>
      </c>
      <c r="H9" s="267" t="s">
        <v>4485</v>
      </c>
      <c r="I9" s="283" t="s">
        <v>4492</v>
      </c>
      <c r="J9" s="269" t="s">
        <v>4487</v>
      </c>
      <c r="K9" s="270">
        <v>0.4986111111111111</v>
      </c>
      <c r="L9" s="271">
        <f t="shared" si="1"/>
        <v>-3277.5</v>
      </c>
      <c r="M9" s="188"/>
      <c r="N9" s="188"/>
      <c r="O9" s="188"/>
      <c r="P9" s="272">
        <f t="shared" si="2"/>
        <v>-21.85</v>
      </c>
      <c r="Q9" s="273">
        <f t="shared" si="3"/>
        <v>-0.1051238874</v>
      </c>
      <c r="R9" s="220">
        <v>2.0</v>
      </c>
      <c r="S9" s="274" t="s">
        <v>4493</v>
      </c>
      <c r="T9" s="284" t="s">
        <v>4494</v>
      </c>
      <c r="U9" s="276" t="s">
        <v>4490</v>
      </c>
      <c r="V9" s="212" t="s">
        <v>4495</v>
      </c>
      <c r="W9" s="270">
        <v>0.5236111111111111</v>
      </c>
      <c r="X9" s="278">
        <f t="shared" si="4"/>
        <v>0.025</v>
      </c>
      <c r="Y9" s="220">
        <v>207.85</v>
      </c>
      <c r="Z9" s="220">
        <v>186.0</v>
      </c>
      <c r="AA9" s="188"/>
      <c r="AB9" s="279">
        <f t="shared" si="5"/>
        <v>-21.85</v>
      </c>
      <c r="AC9" s="220">
        <v>150.0</v>
      </c>
      <c r="AD9" s="280">
        <f t="shared" si="6"/>
        <v>0</v>
      </c>
      <c r="AE9" s="272">
        <f t="shared" si="7"/>
        <v>-3277.5</v>
      </c>
      <c r="AF9" s="281">
        <v>68.0</v>
      </c>
      <c r="AG9" s="272">
        <f t="shared" si="8"/>
        <v>-3345.5</v>
      </c>
      <c r="AH9" s="272"/>
      <c r="AI9" s="272"/>
      <c r="AJ9" s="272"/>
      <c r="AK9" s="272"/>
      <c r="AL9" s="272"/>
      <c r="AM9" s="272"/>
      <c r="AN9" s="272"/>
      <c r="AO9" s="272"/>
      <c r="AP9" s="272"/>
      <c r="AQ9" s="272"/>
      <c r="AR9" s="272"/>
      <c r="AS9" s="272"/>
      <c r="AT9" s="272"/>
      <c r="AU9" s="272"/>
      <c r="AV9" s="272"/>
      <c r="AW9" s="272"/>
      <c r="AX9" s="272"/>
      <c r="AY9" s="272"/>
      <c r="AZ9" s="272"/>
      <c r="BA9" s="272"/>
      <c r="BB9" s="272"/>
      <c r="BC9" s="272"/>
      <c r="BD9" s="272"/>
      <c r="BE9" s="272"/>
      <c r="BF9" s="272"/>
      <c r="BG9" s="272"/>
      <c r="BH9" s="272"/>
      <c r="BI9" s="272"/>
      <c r="BJ9" s="272"/>
      <c r="BK9" s="272"/>
      <c r="BL9" s="272"/>
      <c r="BM9" s="272"/>
      <c r="BN9" s="272"/>
      <c r="BO9" s="272"/>
      <c r="BP9" s="272"/>
      <c r="BQ9" s="272"/>
    </row>
    <row r="10" ht="22.5" customHeight="1">
      <c r="A10" s="282">
        <v>45810.0</v>
      </c>
      <c r="B10" s="262" t="s">
        <v>4387</v>
      </c>
      <c r="C10" s="263" t="s">
        <v>4481</v>
      </c>
      <c r="D10" s="264" t="s">
        <v>4482</v>
      </c>
      <c r="E10" s="265"/>
      <c r="F10" s="212" t="s">
        <v>4496</v>
      </c>
      <c r="G10" s="285" t="s">
        <v>4497</v>
      </c>
      <c r="H10" s="267" t="s">
        <v>4485</v>
      </c>
      <c r="I10" s="268" t="s">
        <v>4486</v>
      </c>
      <c r="J10" s="286" t="s">
        <v>4498</v>
      </c>
      <c r="K10" s="270">
        <v>0.6069444444444444</v>
      </c>
      <c r="L10" s="271">
        <f t="shared" si="1"/>
        <v>3037.5</v>
      </c>
      <c r="M10" s="222">
        <f>SUM(L8:L10)</f>
        <v>-390</v>
      </c>
      <c r="N10" s="287">
        <f>M10/40000</f>
        <v>-0.00975</v>
      </c>
      <c r="O10" s="288" t="s">
        <v>4499</v>
      </c>
      <c r="P10" s="272">
        <f t="shared" si="2"/>
        <v>40.5</v>
      </c>
      <c r="Q10" s="273">
        <f t="shared" si="3"/>
        <v>0.178807947</v>
      </c>
      <c r="R10" s="220">
        <v>3.0</v>
      </c>
      <c r="S10" s="274" t="s">
        <v>4493</v>
      </c>
      <c r="T10" s="284" t="s">
        <v>4489</v>
      </c>
      <c r="U10" s="276" t="s">
        <v>4490</v>
      </c>
      <c r="V10" s="277" t="s">
        <v>4491</v>
      </c>
      <c r="W10" s="270">
        <v>0.6243055555555556</v>
      </c>
      <c r="X10" s="278">
        <f t="shared" si="4"/>
        <v>0.01736111111</v>
      </c>
      <c r="Y10" s="220">
        <v>226.5</v>
      </c>
      <c r="Z10" s="220">
        <v>267.0</v>
      </c>
      <c r="AA10" s="279">
        <f>Z10-Y10</f>
        <v>40.5</v>
      </c>
      <c r="AB10" s="289"/>
      <c r="AC10" s="279">
        <v>75.0</v>
      </c>
      <c r="AD10" s="280">
        <f t="shared" si="6"/>
        <v>3037.5</v>
      </c>
      <c r="AE10" s="188"/>
      <c r="AF10" s="281">
        <v>68.0</v>
      </c>
      <c r="AG10" s="272">
        <f t="shared" si="8"/>
        <v>2969.5</v>
      </c>
      <c r="AH10" s="272"/>
      <c r="AI10" s="272"/>
      <c r="AJ10" s="272"/>
      <c r="AK10" s="272"/>
      <c r="AL10" s="272"/>
      <c r="AM10" s="272"/>
      <c r="AN10" s="272"/>
      <c r="AO10" s="272"/>
      <c r="AP10" s="272"/>
      <c r="AQ10" s="272"/>
      <c r="AR10" s="272"/>
      <c r="AS10" s="272"/>
      <c r="AT10" s="272"/>
      <c r="AU10" s="272"/>
      <c r="AV10" s="272"/>
      <c r="AW10" s="272"/>
      <c r="AX10" s="272"/>
      <c r="AY10" s="272"/>
      <c r="AZ10" s="272"/>
      <c r="BA10" s="272"/>
      <c r="BB10" s="272"/>
      <c r="BC10" s="272"/>
      <c r="BD10" s="272"/>
      <c r="BE10" s="272"/>
      <c r="BF10" s="272"/>
      <c r="BG10" s="272"/>
      <c r="BH10" s="272"/>
      <c r="BI10" s="272"/>
      <c r="BJ10" s="272"/>
      <c r="BK10" s="272"/>
      <c r="BL10" s="272"/>
      <c r="BM10" s="272"/>
      <c r="BN10" s="272"/>
      <c r="BO10" s="272"/>
      <c r="BP10" s="272"/>
      <c r="BQ10" s="272"/>
    </row>
    <row r="11" ht="22.5" customHeight="1">
      <c r="A11" s="261">
        <v>45811.0</v>
      </c>
      <c r="B11" s="262" t="s">
        <v>4387</v>
      </c>
      <c r="C11" s="263" t="s">
        <v>4481</v>
      </c>
      <c r="D11" s="264" t="s">
        <v>4482</v>
      </c>
      <c r="E11" s="265"/>
      <c r="F11" s="212" t="s">
        <v>4483</v>
      </c>
      <c r="G11" s="266" t="s">
        <v>4484</v>
      </c>
      <c r="H11" s="267" t="s">
        <v>4485</v>
      </c>
      <c r="I11" s="283" t="s">
        <v>4492</v>
      </c>
      <c r="J11" s="269" t="s">
        <v>4487</v>
      </c>
      <c r="K11" s="270">
        <v>0.3909722222222222</v>
      </c>
      <c r="L11" s="271">
        <f t="shared" si="1"/>
        <v>-360</v>
      </c>
      <c r="M11" s="188"/>
      <c r="N11" s="188"/>
      <c r="O11" s="188"/>
      <c r="P11" s="272">
        <f t="shared" si="2"/>
        <v>-4.8</v>
      </c>
      <c r="Q11" s="273">
        <f t="shared" si="3"/>
        <v>-0.02157788267</v>
      </c>
      <c r="R11" s="220">
        <v>1.0</v>
      </c>
      <c r="S11" s="274" t="s">
        <v>4500</v>
      </c>
      <c r="T11" s="284" t="s">
        <v>4501</v>
      </c>
      <c r="U11" s="276" t="s">
        <v>4490</v>
      </c>
      <c r="V11" s="212" t="s">
        <v>4495</v>
      </c>
      <c r="W11" s="270">
        <v>0.39444444444444443</v>
      </c>
      <c r="X11" s="278">
        <f t="shared" si="4"/>
        <v>0.003472222222</v>
      </c>
      <c r="Y11" s="220">
        <v>222.45</v>
      </c>
      <c r="Z11" s="220">
        <v>217.65</v>
      </c>
      <c r="AB11" s="279">
        <f>Z11-Y11</f>
        <v>-4.8</v>
      </c>
      <c r="AC11" s="279">
        <v>75.0</v>
      </c>
      <c r="AD11" s="280"/>
      <c r="AE11" s="272">
        <f>AB11*AC11</f>
        <v>-360</v>
      </c>
      <c r="AF11" s="281">
        <v>68.0</v>
      </c>
      <c r="AG11" s="272">
        <f t="shared" si="8"/>
        <v>-428</v>
      </c>
      <c r="AH11" s="272"/>
      <c r="AI11" s="272"/>
      <c r="AJ11" s="272"/>
      <c r="AK11" s="272"/>
      <c r="AL11" s="272"/>
      <c r="AM11" s="272"/>
      <c r="AN11" s="272"/>
      <c r="AO11" s="272"/>
      <c r="AP11" s="272"/>
      <c r="AQ11" s="272"/>
      <c r="AR11" s="272"/>
      <c r="AS11" s="272"/>
      <c r="AT11" s="272"/>
      <c r="AU11" s="272"/>
      <c r="AV11" s="272"/>
      <c r="AW11" s="272"/>
      <c r="AX11" s="272"/>
      <c r="AY11" s="272"/>
      <c r="AZ11" s="272"/>
      <c r="BA11" s="272"/>
      <c r="BB11" s="272"/>
      <c r="BC11" s="272"/>
      <c r="BD11" s="272"/>
      <c r="BE11" s="272"/>
      <c r="BF11" s="272"/>
      <c r="BG11" s="272"/>
      <c r="BH11" s="272"/>
      <c r="BI11" s="272"/>
      <c r="BJ11" s="272"/>
      <c r="BK11" s="272"/>
      <c r="BL11" s="272"/>
      <c r="BM11" s="272"/>
      <c r="BN11" s="272"/>
      <c r="BO11" s="272"/>
      <c r="BP11" s="272"/>
      <c r="BQ11" s="272"/>
    </row>
    <row r="12" ht="22.5" customHeight="1">
      <c r="A12" s="282">
        <v>45811.0</v>
      </c>
      <c r="B12" s="262" t="s">
        <v>4387</v>
      </c>
      <c r="C12" s="263" t="s">
        <v>4481</v>
      </c>
      <c r="D12" s="264" t="s">
        <v>4482</v>
      </c>
      <c r="E12" s="265"/>
      <c r="F12" s="212" t="s">
        <v>4496</v>
      </c>
      <c r="G12" s="285" t="s">
        <v>4497</v>
      </c>
      <c r="H12" s="267" t="s">
        <v>4485</v>
      </c>
      <c r="I12" s="268" t="s">
        <v>4486</v>
      </c>
      <c r="J12" s="286" t="s">
        <v>4498</v>
      </c>
      <c r="K12" s="270">
        <v>0.39375</v>
      </c>
      <c r="L12" s="271">
        <f t="shared" si="1"/>
        <v>2805</v>
      </c>
      <c r="M12" s="188"/>
      <c r="N12" s="188"/>
      <c r="O12" s="188"/>
      <c r="P12" s="272">
        <f t="shared" si="2"/>
        <v>37.4</v>
      </c>
      <c r="Q12" s="273">
        <f t="shared" si="3"/>
        <v>0.206401766</v>
      </c>
      <c r="R12" s="220">
        <v>2.0</v>
      </c>
      <c r="S12" s="274" t="s">
        <v>4502</v>
      </c>
      <c r="T12" s="284" t="s">
        <v>4503</v>
      </c>
      <c r="U12" s="276" t="s">
        <v>4490</v>
      </c>
      <c r="V12" s="277" t="s">
        <v>4491</v>
      </c>
      <c r="W12" s="270">
        <v>0.40069444444444446</v>
      </c>
      <c r="X12" s="278">
        <f t="shared" si="4"/>
        <v>0.006944444444</v>
      </c>
      <c r="Y12" s="220">
        <v>181.2</v>
      </c>
      <c r="Z12" s="220">
        <v>218.6</v>
      </c>
      <c r="AA12" s="279">
        <f>Z12-Y12</f>
        <v>37.4</v>
      </c>
      <c r="AB12" s="289"/>
      <c r="AC12" s="279">
        <v>75.0</v>
      </c>
      <c r="AD12" s="280">
        <f>AA12*AC12</f>
        <v>2805</v>
      </c>
      <c r="AE12" s="188"/>
      <c r="AF12" s="281">
        <v>68.0</v>
      </c>
      <c r="AG12" s="272">
        <f t="shared" si="8"/>
        <v>2737</v>
      </c>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c r="BK12" s="272"/>
      <c r="BL12" s="272"/>
      <c r="BM12" s="272"/>
      <c r="BN12" s="272"/>
      <c r="BO12" s="272"/>
      <c r="BP12" s="272"/>
      <c r="BQ12" s="272"/>
    </row>
    <row r="13" ht="22.5" customHeight="1">
      <c r="A13" s="282">
        <v>45811.0</v>
      </c>
      <c r="B13" s="262" t="s">
        <v>4387</v>
      </c>
      <c r="C13" s="263" t="s">
        <v>4481</v>
      </c>
      <c r="D13" s="264" t="s">
        <v>4482</v>
      </c>
      <c r="E13" s="265"/>
      <c r="F13" s="212" t="s">
        <v>4483</v>
      </c>
      <c r="G13" s="266" t="s">
        <v>4504</v>
      </c>
      <c r="H13" s="267" t="s">
        <v>4485</v>
      </c>
      <c r="I13" s="283" t="s">
        <v>4492</v>
      </c>
      <c r="J13" s="269" t="s">
        <v>4487</v>
      </c>
      <c r="K13" s="270">
        <v>0.3993055555555556</v>
      </c>
      <c r="L13" s="271">
        <f t="shared" si="1"/>
        <v>-948.75</v>
      </c>
      <c r="M13" s="188"/>
      <c r="P13" s="272">
        <f t="shared" si="2"/>
        <v>-12.65</v>
      </c>
      <c r="Q13" s="273">
        <f t="shared" si="3"/>
        <v>-0.05808080808</v>
      </c>
      <c r="R13" s="220">
        <v>3.0</v>
      </c>
      <c r="S13" s="274" t="s">
        <v>4505</v>
      </c>
      <c r="T13" s="284" t="s">
        <v>4494</v>
      </c>
      <c r="U13" s="276" t="s">
        <v>4490</v>
      </c>
      <c r="V13" s="212" t="s">
        <v>4495</v>
      </c>
      <c r="W13" s="270">
        <v>0.43125</v>
      </c>
      <c r="X13" s="278">
        <f t="shared" si="4"/>
        <v>0.03194444444</v>
      </c>
      <c r="Y13" s="220">
        <v>217.8</v>
      </c>
      <c r="Z13" s="220">
        <v>205.15</v>
      </c>
      <c r="AB13" s="279">
        <f t="shared" ref="AB13:AB19" si="9">Z13-Y13</f>
        <v>-12.65</v>
      </c>
      <c r="AC13" s="279">
        <v>75.0</v>
      </c>
      <c r="AD13" s="280">
        <f>AB13*AC13</f>
        <v>-948.75</v>
      </c>
      <c r="AE13" s="188"/>
      <c r="AF13" s="281">
        <v>68.0</v>
      </c>
      <c r="AG13" s="272">
        <f t="shared" si="8"/>
        <v>-1016.75</v>
      </c>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c r="BK13" s="272"/>
      <c r="BL13" s="272"/>
      <c r="BM13" s="272"/>
      <c r="BN13" s="272"/>
      <c r="BO13" s="272"/>
      <c r="BP13" s="272"/>
      <c r="BQ13" s="272"/>
    </row>
    <row r="14" ht="22.5" customHeight="1">
      <c r="A14" s="282">
        <v>45811.0</v>
      </c>
      <c r="B14" s="262" t="s">
        <v>4387</v>
      </c>
      <c r="C14" s="263" t="s">
        <v>4481</v>
      </c>
      <c r="D14" s="264" t="s">
        <v>4482</v>
      </c>
      <c r="E14" s="265"/>
      <c r="F14" s="212" t="s">
        <v>4496</v>
      </c>
      <c r="G14" s="285" t="s">
        <v>4497</v>
      </c>
      <c r="H14" s="267" t="s">
        <v>4485</v>
      </c>
      <c r="I14" s="268" t="s">
        <v>4486</v>
      </c>
      <c r="J14" s="269" t="s">
        <v>4487</v>
      </c>
      <c r="K14" s="270">
        <v>0.5784722222222223</v>
      </c>
      <c r="L14" s="271">
        <f t="shared" si="1"/>
        <v>-1350</v>
      </c>
      <c r="M14" s="222">
        <f>sum(L11:L14)</f>
        <v>146.25</v>
      </c>
      <c r="N14" s="290">
        <f>M14/40000</f>
        <v>0.00365625</v>
      </c>
      <c r="O14" s="291" t="s">
        <v>4506</v>
      </c>
      <c r="P14" s="272">
        <f t="shared" si="2"/>
        <v>-18</v>
      </c>
      <c r="Q14" s="273">
        <f t="shared" si="3"/>
        <v>-0.09809264305</v>
      </c>
      <c r="R14" s="220">
        <v>4.0</v>
      </c>
      <c r="S14" s="274" t="s">
        <v>4507</v>
      </c>
      <c r="T14" s="292" t="s">
        <v>4494</v>
      </c>
      <c r="U14" s="276" t="s">
        <v>4490</v>
      </c>
      <c r="V14" s="212" t="s">
        <v>4495</v>
      </c>
      <c r="W14" s="270">
        <v>0.5833333333333334</v>
      </c>
      <c r="X14" s="278">
        <f t="shared" si="4"/>
        <v>0.004861111111</v>
      </c>
      <c r="Y14" s="220">
        <v>183.5</v>
      </c>
      <c r="Z14" s="220">
        <v>165.5</v>
      </c>
      <c r="AA14" s="289"/>
      <c r="AB14" s="279">
        <f t="shared" si="9"/>
        <v>-18</v>
      </c>
      <c r="AC14" s="279">
        <v>75.0</v>
      </c>
      <c r="AD14" s="293"/>
      <c r="AE14" s="272">
        <f t="shared" ref="AE14:AE19" si="10">AB14*AC14</f>
        <v>-1350</v>
      </c>
      <c r="AF14" s="281">
        <v>68.0</v>
      </c>
      <c r="AG14" s="272">
        <f t="shared" si="8"/>
        <v>-1418</v>
      </c>
      <c r="AH14" s="272"/>
      <c r="AI14" s="272"/>
      <c r="AJ14" s="272"/>
      <c r="AK14" s="272"/>
      <c r="AL14" s="272"/>
      <c r="AM14" s="272"/>
      <c r="AN14" s="272"/>
      <c r="AO14" s="272"/>
      <c r="AP14" s="272"/>
      <c r="AQ14" s="272"/>
      <c r="AR14" s="272"/>
      <c r="AS14" s="272"/>
      <c r="AT14" s="272"/>
      <c r="AU14" s="272"/>
      <c r="AV14" s="272"/>
      <c r="AW14" s="272"/>
      <c r="AX14" s="272"/>
      <c r="AY14" s="272"/>
      <c r="AZ14" s="272"/>
      <c r="BA14" s="272"/>
      <c r="BB14" s="272"/>
      <c r="BC14" s="272"/>
      <c r="BD14" s="272"/>
      <c r="BE14" s="272"/>
      <c r="BF14" s="272"/>
      <c r="BG14" s="272"/>
      <c r="BH14" s="272"/>
      <c r="BI14" s="272"/>
      <c r="BJ14" s="272"/>
      <c r="BK14" s="272"/>
      <c r="BL14" s="272"/>
      <c r="BM14" s="272"/>
      <c r="BN14" s="272"/>
      <c r="BO14" s="272"/>
      <c r="BP14" s="272"/>
      <c r="BQ14" s="272"/>
    </row>
    <row r="15" ht="22.5" customHeight="1">
      <c r="A15" s="261">
        <v>45812.0</v>
      </c>
      <c r="B15" s="262" t="s">
        <v>4387</v>
      </c>
      <c r="C15" s="263" t="s">
        <v>4481</v>
      </c>
      <c r="D15" s="264" t="s">
        <v>4482</v>
      </c>
      <c r="E15" s="265"/>
      <c r="F15" s="212" t="s">
        <v>4483</v>
      </c>
      <c r="G15" s="285" t="s">
        <v>4497</v>
      </c>
      <c r="H15" s="267" t="s">
        <v>4485</v>
      </c>
      <c r="I15" s="268" t="s">
        <v>4486</v>
      </c>
      <c r="J15" s="269" t="s">
        <v>4487</v>
      </c>
      <c r="K15" s="270">
        <v>0.39166666666666666</v>
      </c>
      <c r="L15" s="271">
        <f t="shared" si="1"/>
        <v>-678.75</v>
      </c>
      <c r="M15" s="188"/>
      <c r="N15" s="188"/>
      <c r="O15" s="188"/>
      <c r="P15" s="272">
        <f t="shared" si="2"/>
        <v>-9.05</v>
      </c>
      <c r="Q15" s="273">
        <f t="shared" si="3"/>
        <v>-0.1229619565</v>
      </c>
      <c r="R15" s="220">
        <v>1.0</v>
      </c>
      <c r="S15" s="294" t="s">
        <v>4508</v>
      </c>
      <c r="T15" s="295" t="s">
        <v>4509</v>
      </c>
      <c r="U15" s="276" t="s">
        <v>4490</v>
      </c>
      <c r="V15" s="212" t="s">
        <v>4495</v>
      </c>
      <c r="W15" s="270">
        <v>0.3923611111111111</v>
      </c>
      <c r="X15" s="278">
        <f t="shared" si="4"/>
        <v>0.0006944444444</v>
      </c>
      <c r="Y15" s="220">
        <v>73.6</v>
      </c>
      <c r="Z15" s="220">
        <v>64.55</v>
      </c>
      <c r="AB15" s="279">
        <f t="shared" si="9"/>
        <v>-9.05</v>
      </c>
      <c r="AC15" s="279">
        <v>75.0</v>
      </c>
      <c r="AD15" s="296"/>
      <c r="AE15" s="272">
        <f t="shared" si="10"/>
        <v>-678.75</v>
      </c>
      <c r="AF15" s="281">
        <v>68.0</v>
      </c>
      <c r="AG15" s="272">
        <f t="shared" si="8"/>
        <v>-746.75</v>
      </c>
      <c r="AH15" s="272"/>
      <c r="AI15" s="272"/>
      <c r="AJ15" s="272"/>
      <c r="AK15" s="272"/>
      <c r="AL15" s="272"/>
      <c r="AM15" s="272"/>
      <c r="AN15" s="272"/>
      <c r="AO15" s="272"/>
      <c r="AP15" s="272"/>
      <c r="AQ15" s="272"/>
      <c r="AR15" s="272"/>
      <c r="AS15" s="272"/>
      <c r="AT15" s="272"/>
      <c r="AU15" s="272"/>
      <c r="AV15" s="272"/>
      <c r="AW15" s="272"/>
      <c r="AX15" s="272"/>
      <c r="AY15" s="272"/>
      <c r="AZ15" s="272"/>
      <c r="BA15" s="272"/>
      <c r="BB15" s="272"/>
      <c r="BC15" s="272"/>
      <c r="BD15" s="272"/>
      <c r="BE15" s="272"/>
      <c r="BF15" s="272"/>
      <c r="BG15" s="272"/>
      <c r="BH15" s="272"/>
      <c r="BI15" s="272"/>
      <c r="BJ15" s="272"/>
      <c r="BK15" s="272"/>
      <c r="BL15" s="272"/>
      <c r="BM15" s="272"/>
      <c r="BN15" s="272"/>
      <c r="BO15" s="272"/>
      <c r="BP15" s="272"/>
      <c r="BQ15" s="272"/>
    </row>
    <row r="16" ht="22.5" customHeight="1">
      <c r="A16" s="282">
        <v>45812.0</v>
      </c>
      <c r="B16" s="262" t="s">
        <v>4387</v>
      </c>
      <c r="C16" s="263" t="s">
        <v>4481</v>
      </c>
      <c r="D16" s="264" t="s">
        <v>4482</v>
      </c>
      <c r="E16" s="265"/>
      <c r="F16" s="212" t="s">
        <v>4483</v>
      </c>
      <c r="G16" s="285" t="s">
        <v>4497</v>
      </c>
      <c r="H16" s="267" t="s">
        <v>4485</v>
      </c>
      <c r="I16" s="268" t="s">
        <v>4486</v>
      </c>
      <c r="J16" s="269" t="s">
        <v>4487</v>
      </c>
      <c r="K16" s="270">
        <v>0.3923611111111111</v>
      </c>
      <c r="L16" s="271">
        <f t="shared" si="1"/>
        <v>-1436.25</v>
      </c>
      <c r="M16" s="188"/>
      <c r="N16" s="188"/>
      <c r="O16" s="188"/>
      <c r="P16" s="272">
        <f t="shared" si="2"/>
        <v>-19.15</v>
      </c>
      <c r="Q16" s="273">
        <f t="shared" si="3"/>
        <v>-0.1155354449</v>
      </c>
      <c r="R16" s="220">
        <v>2.0</v>
      </c>
      <c r="S16" s="274" t="s">
        <v>4510</v>
      </c>
      <c r="T16" s="295" t="s">
        <v>4511</v>
      </c>
      <c r="U16" s="276" t="s">
        <v>4490</v>
      </c>
      <c r="V16" s="277" t="s">
        <v>4491</v>
      </c>
      <c r="W16" s="270">
        <v>0.3951388888888889</v>
      </c>
      <c r="X16" s="278">
        <f t="shared" si="4"/>
        <v>0.002777777778</v>
      </c>
      <c r="Y16" s="220">
        <v>165.75</v>
      </c>
      <c r="Z16" s="220">
        <v>146.6</v>
      </c>
      <c r="AB16" s="279">
        <f t="shared" si="9"/>
        <v>-19.15</v>
      </c>
      <c r="AC16" s="279">
        <v>75.0</v>
      </c>
      <c r="AD16" s="296"/>
      <c r="AE16" s="272">
        <f t="shared" si="10"/>
        <v>-1436.25</v>
      </c>
      <c r="AF16" s="281">
        <v>68.0</v>
      </c>
      <c r="AG16" s="272">
        <f t="shared" si="8"/>
        <v>-1504.25</v>
      </c>
      <c r="AH16" s="272"/>
      <c r="AI16" s="272"/>
      <c r="AJ16" s="272"/>
      <c r="AK16" s="272"/>
      <c r="AL16" s="272"/>
      <c r="AM16" s="272"/>
      <c r="AN16" s="272"/>
      <c r="AO16" s="272"/>
      <c r="AP16" s="272"/>
      <c r="AQ16" s="272"/>
      <c r="AR16" s="272"/>
      <c r="AS16" s="272"/>
      <c r="AT16" s="272"/>
      <c r="AU16" s="272"/>
      <c r="AV16" s="272"/>
      <c r="AW16" s="272"/>
      <c r="AX16" s="272"/>
      <c r="AY16" s="272"/>
      <c r="AZ16" s="272"/>
      <c r="BA16" s="272"/>
      <c r="BB16" s="272"/>
      <c r="BC16" s="272"/>
      <c r="BD16" s="272"/>
      <c r="BE16" s="272"/>
      <c r="BF16" s="272"/>
      <c r="BG16" s="272"/>
      <c r="BH16" s="272"/>
      <c r="BI16" s="272"/>
      <c r="BJ16" s="272"/>
      <c r="BK16" s="272"/>
      <c r="BL16" s="272"/>
      <c r="BM16" s="272"/>
      <c r="BN16" s="272"/>
      <c r="BO16" s="272"/>
      <c r="BP16" s="272"/>
      <c r="BQ16" s="272"/>
    </row>
    <row r="17" ht="22.5" customHeight="1">
      <c r="A17" s="282">
        <v>45812.0</v>
      </c>
      <c r="B17" s="262" t="s">
        <v>4387</v>
      </c>
      <c r="C17" s="263" t="s">
        <v>4481</v>
      </c>
      <c r="D17" s="264" t="s">
        <v>4482</v>
      </c>
      <c r="E17" s="265"/>
      <c r="F17" s="212" t="s">
        <v>4483</v>
      </c>
      <c r="G17" s="285" t="s">
        <v>4497</v>
      </c>
      <c r="H17" s="267" t="s">
        <v>4485</v>
      </c>
      <c r="I17" s="268" t="s">
        <v>4486</v>
      </c>
      <c r="J17" s="269" t="s">
        <v>4487</v>
      </c>
      <c r="K17" s="270">
        <v>0.39791666666666664</v>
      </c>
      <c r="L17" s="271">
        <f t="shared" si="1"/>
        <v>-832.5</v>
      </c>
      <c r="M17" s="188"/>
      <c r="P17" s="272">
        <f t="shared" si="2"/>
        <v>-11.1</v>
      </c>
      <c r="Q17" s="273">
        <f t="shared" si="3"/>
        <v>-0.1605206074</v>
      </c>
      <c r="R17" s="220">
        <v>3.0</v>
      </c>
      <c r="S17" s="274" t="s">
        <v>4508</v>
      </c>
      <c r="T17" s="295" t="s">
        <v>4509</v>
      </c>
      <c r="U17" s="276" t="s">
        <v>4490</v>
      </c>
      <c r="V17" s="212" t="s">
        <v>4495</v>
      </c>
      <c r="W17" s="270">
        <v>0.4166666666666667</v>
      </c>
      <c r="X17" s="278">
        <f t="shared" si="4"/>
        <v>0.01875</v>
      </c>
      <c r="Y17" s="220">
        <v>69.15</v>
      </c>
      <c r="Z17" s="220">
        <v>58.05</v>
      </c>
      <c r="AB17" s="279">
        <f t="shared" si="9"/>
        <v>-11.1</v>
      </c>
      <c r="AC17" s="279">
        <v>75.0</v>
      </c>
      <c r="AD17" s="296"/>
      <c r="AE17" s="272">
        <f t="shared" si="10"/>
        <v>-832.5</v>
      </c>
      <c r="AF17" s="281">
        <v>68.0</v>
      </c>
      <c r="AG17" s="272">
        <f t="shared" si="8"/>
        <v>-900.5</v>
      </c>
      <c r="AH17" s="272"/>
      <c r="AI17" s="272"/>
      <c r="AJ17" s="272"/>
      <c r="AK17" s="272"/>
      <c r="AL17" s="272"/>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2"/>
      <c r="BK17" s="272"/>
      <c r="BL17" s="272"/>
      <c r="BM17" s="272"/>
      <c r="BN17" s="272"/>
      <c r="BO17" s="272"/>
      <c r="BP17" s="272"/>
      <c r="BQ17" s="272"/>
    </row>
    <row r="18" ht="22.5" customHeight="1">
      <c r="A18" s="282">
        <v>45812.0</v>
      </c>
      <c r="B18" s="262" t="s">
        <v>4387</v>
      </c>
      <c r="C18" s="263" t="s">
        <v>4481</v>
      </c>
      <c r="D18" s="264" t="s">
        <v>4482</v>
      </c>
      <c r="E18" s="265"/>
      <c r="F18" s="212" t="s">
        <v>4483</v>
      </c>
      <c r="G18" s="288" t="s">
        <v>4512</v>
      </c>
      <c r="H18" s="267" t="s">
        <v>4485</v>
      </c>
      <c r="I18" s="268" t="s">
        <v>4486</v>
      </c>
      <c r="J18" s="269" t="s">
        <v>4487</v>
      </c>
      <c r="K18" s="270">
        <v>0.5416666666666666</v>
      </c>
      <c r="L18" s="271">
        <f t="shared" si="1"/>
        <v>-1395</v>
      </c>
      <c r="M18" s="222">
        <f>sum(L15:L18)</f>
        <v>-4342.5</v>
      </c>
      <c r="N18" s="287">
        <f>M18/40000</f>
        <v>-0.1085625</v>
      </c>
      <c r="O18" s="288" t="s">
        <v>4499</v>
      </c>
      <c r="P18" s="272">
        <f t="shared" si="2"/>
        <v>-18.6</v>
      </c>
      <c r="Q18" s="273">
        <f t="shared" si="3"/>
        <v>-0.1144263304</v>
      </c>
      <c r="R18" s="220">
        <v>4.0</v>
      </c>
      <c r="S18" s="274" t="s">
        <v>4513</v>
      </c>
      <c r="T18" s="297" t="s">
        <v>4511</v>
      </c>
      <c r="U18" s="276" t="s">
        <v>4490</v>
      </c>
      <c r="V18" s="277" t="s">
        <v>4491</v>
      </c>
      <c r="W18" s="270">
        <v>0.5506944444444445</v>
      </c>
      <c r="X18" s="278">
        <f t="shared" si="4"/>
        <v>0.009027777778</v>
      </c>
      <c r="Y18" s="220">
        <v>162.55</v>
      </c>
      <c r="Z18" s="220">
        <v>143.95</v>
      </c>
      <c r="AA18" s="289"/>
      <c r="AB18" s="279">
        <f t="shared" si="9"/>
        <v>-18.6</v>
      </c>
      <c r="AC18" s="279">
        <v>75.0</v>
      </c>
      <c r="AD18" s="296"/>
      <c r="AE18" s="272">
        <f t="shared" si="10"/>
        <v>-1395</v>
      </c>
      <c r="AF18" s="281">
        <v>68.0</v>
      </c>
      <c r="AG18" s="272">
        <f t="shared" si="8"/>
        <v>-1463</v>
      </c>
      <c r="AH18" s="272"/>
      <c r="AI18" s="272"/>
      <c r="AJ18" s="272"/>
      <c r="AK18" s="272"/>
      <c r="AL18" s="272"/>
      <c r="AM18" s="272"/>
      <c r="AN18" s="272"/>
      <c r="AO18" s="272"/>
      <c r="AP18" s="272"/>
      <c r="AQ18" s="272"/>
      <c r="AR18" s="272"/>
      <c r="AS18" s="272"/>
      <c r="AT18" s="272"/>
      <c r="AU18" s="272"/>
      <c r="AV18" s="272"/>
      <c r="AW18" s="272"/>
      <c r="AX18" s="272"/>
      <c r="AY18" s="272"/>
      <c r="AZ18" s="272"/>
      <c r="BA18" s="272"/>
      <c r="BB18" s="272"/>
      <c r="BC18" s="272"/>
      <c r="BD18" s="272"/>
      <c r="BE18" s="272"/>
      <c r="BF18" s="272"/>
      <c r="BG18" s="272"/>
      <c r="BH18" s="272"/>
      <c r="BI18" s="272"/>
      <c r="BJ18" s="272"/>
      <c r="BK18" s="272"/>
      <c r="BL18" s="272"/>
      <c r="BM18" s="272"/>
      <c r="BN18" s="272"/>
      <c r="BO18" s="272"/>
      <c r="BP18" s="272"/>
      <c r="BQ18" s="272"/>
    </row>
    <row r="19" ht="22.5" customHeight="1">
      <c r="A19" s="261">
        <v>45813.0</v>
      </c>
      <c r="B19" s="298"/>
      <c r="C19" s="263"/>
      <c r="D19" s="264"/>
      <c r="E19" s="265"/>
      <c r="F19" s="212" t="s">
        <v>4483</v>
      </c>
      <c r="G19" s="266" t="s">
        <v>4484</v>
      </c>
      <c r="H19" s="267" t="s">
        <v>4485</v>
      </c>
      <c r="I19" s="268" t="s">
        <v>4486</v>
      </c>
      <c r="J19" s="269" t="s">
        <v>4487</v>
      </c>
      <c r="K19" s="270">
        <v>0.41458333333333336</v>
      </c>
      <c r="L19" s="271">
        <f t="shared" si="1"/>
        <v>-187.5</v>
      </c>
      <c r="M19" s="188"/>
      <c r="N19" s="188"/>
      <c r="O19" s="188"/>
      <c r="P19" s="272">
        <f t="shared" si="2"/>
        <v>-2.5</v>
      </c>
      <c r="Q19" s="273">
        <f t="shared" si="3"/>
        <v>-0.01210653753</v>
      </c>
      <c r="R19" s="220">
        <v>1.0</v>
      </c>
      <c r="S19" s="274" t="s">
        <v>4514</v>
      </c>
      <c r="T19" s="295" t="s">
        <v>4515</v>
      </c>
      <c r="U19" s="276" t="s">
        <v>4490</v>
      </c>
      <c r="V19" s="277" t="s">
        <v>4491</v>
      </c>
      <c r="W19" s="270">
        <v>0.41875</v>
      </c>
      <c r="X19" s="278">
        <f t="shared" si="4"/>
        <v>0.004166666667</v>
      </c>
      <c r="Y19" s="220">
        <v>206.5</v>
      </c>
      <c r="Z19" s="220">
        <v>204.0</v>
      </c>
      <c r="AA19" s="289"/>
      <c r="AB19" s="279">
        <f t="shared" si="9"/>
        <v>-2.5</v>
      </c>
      <c r="AC19" s="279">
        <v>75.0</v>
      </c>
      <c r="AD19" s="296"/>
      <c r="AE19" s="272">
        <f t="shared" si="10"/>
        <v>-187.5</v>
      </c>
      <c r="AF19" s="281">
        <v>68.0</v>
      </c>
      <c r="AG19" s="272">
        <f t="shared" si="8"/>
        <v>-255.5</v>
      </c>
      <c r="AH19" s="272"/>
      <c r="AI19" s="272"/>
      <c r="AJ19" s="272"/>
      <c r="AK19" s="272"/>
      <c r="AL19" s="272"/>
      <c r="AM19" s="272"/>
      <c r="AN19" s="272"/>
      <c r="AO19" s="272"/>
      <c r="AP19" s="272"/>
      <c r="AQ19" s="272"/>
      <c r="AR19" s="272"/>
      <c r="AS19" s="272"/>
      <c r="AT19" s="272"/>
      <c r="AU19" s="272"/>
      <c r="AV19" s="272"/>
      <c r="AW19" s="272"/>
      <c r="AX19" s="272"/>
      <c r="AY19" s="272"/>
      <c r="AZ19" s="272"/>
      <c r="BA19" s="272"/>
      <c r="BB19" s="272"/>
      <c r="BC19" s="272"/>
      <c r="BD19" s="272"/>
      <c r="BE19" s="272"/>
      <c r="BF19" s="272"/>
      <c r="BG19" s="272"/>
      <c r="BH19" s="272"/>
      <c r="BI19" s="272"/>
      <c r="BJ19" s="272"/>
      <c r="BK19" s="272"/>
      <c r="BL19" s="272"/>
      <c r="BM19" s="272"/>
      <c r="BN19" s="272"/>
      <c r="BO19" s="272"/>
      <c r="BP19" s="272"/>
      <c r="BQ19" s="272"/>
    </row>
    <row r="20" ht="22.5" customHeight="1">
      <c r="A20" s="282">
        <v>45813.0</v>
      </c>
      <c r="B20" s="298"/>
      <c r="C20" s="263"/>
      <c r="D20" s="264"/>
      <c r="E20" s="265"/>
      <c r="F20" s="212" t="s">
        <v>4483</v>
      </c>
      <c r="G20" s="285" t="s">
        <v>4497</v>
      </c>
      <c r="H20" s="267" t="s">
        <v>4485</v>
      </c>
      <c r="I20" s="283" t="s">
        <v>4492</v>
      </c>
      <c r="J20" s="286" t="s">
        <v>4498</v>
      </c>
      <c r="K20" s="270">
        <v>0.4215277777777778</v>
      </c>
      <c r="L20" s="271">
        <f t="shared" si="1"/>
        <v>2291.25</v>
      </c>
      <c r="M20" s="222">
        <f>sum(L19:L20)</f>
        <v>2103.75</v>
      </c>
      <c r="N20" s="290">
        <f t="shared" ref="N20:N22" si="11">M20/40000</f>
        <v>0.05259375</v>
      </c>
      <c r="O20" s="291" t="s">
        <v>4506</v>
      </c>
      <c r="P20" s="272">
        <f t="shared" si="2"/>
        <v>30.55</v>
      </c>
      <c r="Q20" s="273">
        <f t="shared" si="3"/>
        <v>0.5689013035</v>
      </c>
      <c r="R20" s="220">
        <v>2.0</v>
      </c>
      <c r="S20" s="274" t="s">
        <v>4516</v>
      </c>
      <c r="T20" s="299" t="s">
        <v>4517</v>
      </c>
      <c r="U20" s="276" t="s">
        <v>4490</v>
      </c>
      <c r="V20" s="212" t="s">
        <v>4495</v>
      </c>
      <c r="W20" s="270">
        <v>0.45555555555555555</v>
      </c>
      <c r="X20" s="278">
        <f t="shared" si="4"/>
        <v>0.03402777778</v>
      </c>
      <c r="Y20" s="220">
        <v>53.7</v>
      </c>
      <c r="Z20" s="212">
        <v>84.25</v>
      </c>
      <c r="AA20" s="279">
        <f>Z20-Y20</f>
        <v>30.55</v>
      </c>
      <c r="AC20" s="279">
        <v>75.0</v>
      </c>
      <c r="AD20" s="272">
        <f>AA20*AC20</f>
        <v>2291.25</v>
      </c>
      <c r="AF20" s="281">
        <v>68.0</v>
      </c>
      <c r="AG20" s="272">
        <f t="shared" si="8"/>
        <v>2223.25</v>
      </c>
      <c r="AH20" s="272"/>
      <c r="AI20" s="272"/>
      <c r="AJ20" s="272"/>
      <c r="AK20" s="272"/>
      <c r="AL20" s="272"/>
      <c r="AM20" s="272"/>
      <c r="AN20" s="272"/>
      <c r="AO20" s="272"/>
      <c r="AP20" s="272"/>
      <c r="AQ20" s="272"/>
      <c r="AR20" s="272"/>
      <c r="AS20" s="272"/>
      <c r="AT20" s="272"/>
      <c r="AU20" s="272"/>
      <c r="AV20" s="272"/>
      <c r="AW20" s="272"/>
      <c r="AX20" s="272"/>
      <c r="AY20" s="272"/>
      <c r="AZ20" s="272"/>
      <c r="BA20" s="272"/>
      <c r="BB20" s="272"/>
      <c r="BC20" s="272"/>
      <c r="BD20" s="272"/>
      <c r="BE20" s="272"/>
      <c r="BF20" s="272"/>
      <c r="BG20" s="272"/>
      <c r="BH20" s="272"/>
      <c r="BI20" s="272"/>
      <c r="BJ20" s="272"/>
      <c r="BK20" s="272"/>
      <c r="BL20" s="272"/>
      <c r="BM20" s="272"/>
      <c r="BN20" s="272"/>
      <c r="BO20" s="272"/>
      <c r="BP20" s="272"/>
      <c r="BQ20" s="272"/>
    </row>
    <row r="21" ht="22.5" customHeight="1">
      <c r="A21" s="261">
        <v>45814.0</v>
      </c>
      <c r="B21" s="298"/>
      <c r="C21" s="263"/>
      <c r="D21" s="264"/>
      <c r="E21" s="265"/>
      <c r="F21" s="212" t="s">
        <v>4483</v>
      </c>
      <c r="G21" s="285" t="s">
        <v>4497</v>
      </c>
      <c r="H21" s="267" t="s">
        <v>4485</v>
      </c>
      <c r="I21" s="283" t="s">
        <v>4492</v>
      </c>
      <c r="J21" s="269" t="s">
        <v>4487</v>
      </c>
      <c r="K21" s="270">
        <v>0.4597222222222222</v>
      </c>
      <c r="L21" s="271">
        <f t="shared" si="1"/>
        <v>-933.75</v>
      </c>
      <c r="M21" s="222">
        <f t="shared" ref="M21:M22" si="12">sum(L21)</f>
        <v>-933.75</v>
      </c>
      <c r="N21" s="287">
        <f t="shared" si="11"/>
        <v>-0.02334375</v>
      </c>
      <c r="O21" s="288" t="s">
        <v>4499</v>
      </c>
      <c r="P21" s="272">
        <f t="shared" si="2"/>
        <v>-12.45</v>
      </c>
      <c r="Q21" s="273">
        <f t="shared" si="3"/>
        <v>-0.07448399641</v>
      </c>
      <c r="R21" s="220">
        <v>1.0</v>
      </c>
      <c r="S21" s="274" t="s">
        <v>4518</v>
      </c>
      <c r="T21" s="295" t="s">
        <v>4519</v>
      </c>
      <c r="U21" s="276" t="s">
        <v>4490</v>
      </c>
      <c r="V21" s="212" t="s">
        <v>4495</v>
      </c>
      <c r="W21" s="270">
        <v>0.48819444444444443</v>
      </c>
      <c r="X21" s="278">
        <f t="shared" si="4"/>
        <v>0.02847222222</v>
      </c>
      <c r="Y21" s="220">
        <v>167.15</v>
      </c>
      <c r="Z21" s="220">
        <v>154.7</v>
      </c>
      <c r="AA21" s="289"/>
      <c r="AB21" s="279">
        <f>Z21-Y21</f>
        <v>-12.45</v>
      </c>
      <c r="AC21" s="279">
        <v>75.0</v>
      </c>
      <c r="AD21" s="296"/>
      <c r="AE21" s="272">
        <f>AB21*AC21</f>
        <v>-933.75</v>
      </c>
      <c r="AF21" s="281">
        <v>68.0</v>
      </c>
      <c r="AG21" s="272">
        <f t="shared" si="8"/>
        <v>-1001.75</v>
      </c>
      <c r="AH21" s="272"/>
      <c r="AI21" s="272"/>
      <c r="AJ21" s="272"/>
      <c r="AK21" s="272"/>
      <c r="AL21" s="272"/>
      <c r="AM21" s="272"/>
      <c r="AN21" s="272"/>
      <c r="AO21" s="272"/>
      <c r="AP21" s="272"/>
      <c r="AQ21" s="272"/>
      <c r="AR21" s="272"/>
      <c r="AS21" s="272"/>
      <c r="AT21" s="272"/>
      <c r="AU21" s="272"/>
      <c r="AV21" s="272"/>
      <c r="AW21" s="272"/>
      <c r="AX21" s="272"/>
      <c r="AY21" s="272"/>
      <c r="AZ21" s="272"/>
      <c r="BA21" s="272"/>
      <c r="BB21" s="272"/>
      <c r="BC21" s="272"/>
      <c r="BD21" s="272"/>
      <c r="BE21" s="272"/>
      <c r="BF21" s="272"/>
      <c r="BG21" s="272"/>
      <c r="BH21" s="272"/>
      <c r="BI21" s="272"/>
      <c r="BJ21" s="272"/>
      <c r="BK21" s="272"/>
      <c r="BL21" s="272"/>
      <c r="BM21" s="272"/>
      <c r="BN21" s="272"/>
      <c r="BO21" s="272"/>
      <c r="BP21" s="272"/>
      <c r="BQ21" s="272"/>
    </row>
    <row r="22" ht="22.5" customHeight="1">
      <c r="A22" s="261">
        <v>45817.0</v>
      </c>
      <c r="B22" s="298"/>
      <c r="C22" s="263"/>
      <c r="D22" s="264"/>
      <c r="E22" s="265"/>
      <c r="F22" s="212" t="s">
        <v>4483</v>
      </c>
      <c r="G22" s="285" t="s">
        <v>4497</v>
      </c>
      <c r="H22" s="267" t="s">
        <v>4485</v>
      </c>
      <c r="I22" s="268" t="s">
        <v>4486</v>
      </c>
      <c r="J22" s="286" t="s">
        <v>4498</v>
      </c>
      <c r="K22" s="270">
        <v>0.4986111111111111</v>
      </c>
      <c r="L22" s="271">
        <f t="shared" si="1"/>
        <v>138.75</v>
      </c>
      <c r="M22" s="222">
        <f t="shared" si="12"/>
        <v>138.75</v>
      </c>
      <c r="N22" s="290">
        <f t="shared" si="11"/>
        <v>0.00346875</v>
      </c>
      <c r="O22" s="291" t="s">
        <v>4506</v>
      </c>
      <c r="P22" s="272">
        <f t="shared" si="2"/>
        <v>1.85</v>
      </c>
      <c r="Q22" s="273">
        <f t="shared" si="3"/>
        <v>0.0156779661</v>
      </c>
      <c r="R22" s="220">
        <v>1.0</v>
      </c>
      <c r="S22" s="274" t="s">
        <v>4520</v>
      </c>
      <c r="T22" s="297" t="s">
        <v>4521</v>
      </c>
      <c r="U22" s="276" t="s">
        <v>4490</v>
      </c>
      <c r="V22" s="277" t="s">
        <v>4491</v>
      </c>
      <c r="W22" s="270">
        <v>0.5145833333333333</v>
      </c>
      <c r="X22" s="278">
        <f t="shared" si="4"/>
        <v>0.01597222222</v>
      </c>
      <c r="Y22" s="220">
        <v>118.0</v>
      </c>
      <c r="Z22" s="220">
        <v>119.85</v>
      </c>
      <c r="AA22" s="279">
        <f>Z22-Y22</f>
        <v>1.85</v>
      </c>
      <c r="AB22" s="289"/>
      <c r="AC22" s="279">
        <v>75.0</v>
      </c>
      <c r="AD22" s="272">
        <f>AA22*AC22</f>
        <v>138.75</v>
      </c>
      <c r="AE22" s="188"/>
      <c r="AF22" s="281">
        <v>68.0</v>
      </c>
      <c r="AG22" s="272">
        <f t="shared" si="8"/>
        <v>70.75</v>
      </c>
      <c r="AH22" s="272"/>
      <c r="AI22" s="272"/>
      <c r="AJ22" s="272"/>
      <c r="AK22" s="272"/>
      <c r="AL22" s="272"/>
      <c r="AM22" s="272"/>
      <c r="AN22" s="272"/>
      <c r="AO22" s="272"/>
      <c r="AP22" s="272"/>
      <c r="AQ22" s="272"/>
      <c r="AR22" s="272"/>
      <c r="AS22" s="272"/>
      <c r="AT22" s="272"/>
      <c r="AU22" s="272"/>
      <c r="AV22" s="272"/>
      <c r="AW22" s="272"/>
      <c r="AX22" s="272"/>
      <c r="AY22" s="272"/>
      <c r="AZ22" s="272"/>
      <c r="BA22" s="272"/>
      <c r="BB22" s="272"/>
      <c r="BC22" s="272"/>
      <c r="BD22" s="272"/>
      <c r="BE22" s="272"/>
      <c r="BF22" s="272"/>
      <c r="BG22" s="272"/>
      <c r="BH22" s="272"/>
      <c r="BI22" s="272"/>
      <c r="BJ22" s="272"/>
      <c r="BK22" s="272"/>
      <c r="BL22" s="272"/>
      <c r="BM22" s="272"/>
      <c r="BN22" s="272"/>
      <c r="BO22" s="272"/>
      <c r="BP22" s="272"/>
      <c r="BQ22" s="272"/>
    </row>
    <row r="23" ht="22.5" customHeight="1">
      <c r="A23" s="282"/>
      <c r="B23" s="298"/>
      <c r="C23" s="263"/>
      <c r="D23" s="264"/>
      <c r="E23" s="265"/>
      <c r="F23" s="212"/>
      <c r="G23" s="188"/>
      <c r="H23" s="188"/>
      <c r="I23" s="188"/>
      <c r="J23" s="188"/>
      <c r="K23" s="270"/>
      <c r="L23" s="188"/>
      <c r="M23" s="188"/>
      <c r="N23" s="188"/>
      <c r="O23" s="188"/>
      <c r="P23" s="289"/>
      <c r="Q23" s="273"/>
      <c r="R23" s="220"/>
      <c r="S23" s="300"/>
      <c r="T23" s="301"/>
      <c r="U23" s="302"/>
      <c r="V23" s="188"/>
      <c r="W23" s="188"/>
      <c r="X23" s="303"/>
      <c r="Y23" s="289"/>
      <c r="Z23" s="289"/>
      <c r="AA23" s="289"/>
      <c r="AB23" s="289"/>
      <c r="AC23" s="289"/>
      <c r="AD23" s="296"/>
      <c r="AE23" s="188"/>
      <c r="AF23" s="222"/>
      <c r="AG23" s="289"/>
      <c r="AH23" s="289"/>
      <c r="AI23" s="289"/>
      <c r="AJ23" s="289"/>
      <c r="AK23" s="289"/>
      <c r="AL23" s="289"/>
      <c r="AM23" s="289"/>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289"/>
      <c r="BK23" s="289"/>
      <c r="BL23" s="289"/>
      <c r="BM23" s="289"/>
      <c r="BN23" s="289"/>
      <c r="BO23" s="289"/>
      <c r="BP23" s="289"/>
      <c r="BQ23" s="289"/>
    </row>
    <row r="24" ht="22.5" customHeight="1">
      <c r="A24" s="304"/>
      <c r="B24" s="305"/>
      <c r="C24" s="306"/>
      <c r="D24" s="305"/>
      <c r="E24" s="307"/>
      <c r="F24" s="308"/>
      <c r="G24" s="309"/>
      <c r="H24" s="309"/>
      <c r="I24" s="309"/>
      <c r="J24" s="309"/>
      <c r="K24" s="310"/>
      <c r="L24" s="309"/>
      <c r="M24" s="309"/>
      <c r="N24" s="309"/>
      <c r="O24" s="309"/>
      <c r="P24" s="311"/>
      <c r="Q24" s="312"/>
      <c r="R24" s="313"/>
      <c r="S24" s="314"/>
      <c r="T24" s="315"/>
      <c r="U24" s="316"/>
      <c r="V24" s="309"/>
      <c r="W24" s="309"/>
      <c r="X24" s="317"/>
      <c r="Y24" s="311"/>
      <c r="Z24" s="311"/>
      <c r="AA24" s="311"/>
      <c r="AB24" s="311"/>
      <c r="AC24" s="311"/>
      <c r="AD24" s="318"/>
      <c r="AE24" s="309"/>
      <c r="AF24" s="319"/>
      <c r="AG24" s="311"/>
      <c r="AH24" s="311"/>
      <c r="AI24" s="311"/>
      <c r="AJ24" s="311"/>
      <c r="AK24" s="311"/>
      <c r="AL24" s="311"/>
      <c r="AM24" s="311"/>
      <c r="AN24" s="311"/>
      <c r="AO24" s="311"/>
      <c r="AP24" s="311"/>
      <c r="AQ24" s="311"/>
      <c r="AR24" s="311"/>
      <c r="AS24" s="311"/>
      <c r="AT24" s="311"/>
      <c r="AU24" s="311"/>
      <c r="AV24" s="311"/>
      <c r="AW24" s="311"/>
      <c r="AX24" s="311"/>
      <c r="AY24" s="311"/>
      <c r="AZ24" s="311"/>
      <c r="BA24" s="311"/>
      <c r="BB24" s="311"/>
      <c r="BC24" s="311"/>
      <c r="BD24" s="311"/>
      <c r="BE24" s="311"/>
      <c r="BF24" s="311"/>
      <c r="BG24" s="311"/>
      <c r="BH24" s="311"/>
      <c r="BI24" s="311"/>
      <c r="BJ24" s="311"/>
      <c r="BK24" s="311"/>
      <c r="BL24" s="311"/>
      <c r="BM24" s="311"/>
      <c r="BN24" s="311"/>
      <c r="BO24" s="311"/>
      <c r="BP24" s="311"/>
      <c r="BQ24" s="311"/>
    </row>
    <row r="25" ht="22.5" customHeight="1">
      <c r="A25" s="320" t="s">
        <v>40</v>
      </c>
      <c r="B25" s="298"/>
      <c r="C25" s="263"/>
      <c r="D25" s="264"/>
      <c r="E25" s="265"/>
      <c r="F25" s="212"/>
      <c r="G25" s="188"/>
      <c r="H25" s="188"/>
      <c r="I25" s="188"/>
      <c r="J25" s="188"/>
      <c r="K25" s="270"/>
      <c r="L25" s="188"/>
      <c r="M25" s="321">
        <f t="shared" ref="M25:N25" si="13">sum(M8:M24)</f>
        <v>-3277.5</v>
      </c>
      <c r="N25" s="223">
        <f t="shared" si="13"/>
        <v>-0.0819375</v>
      </c>
      <c r="O25" s="188"/>
      <c r="P25" s="289">
        <f>sum(P8:P24)</f>
        <v>-21.85</v>
      </c>
      <c r="Q25" s="273"/>
      <c r="R25" s="289">
        <f>sum(R8:R24)</f>
        <v>31</v>
      </c>
      <c r="S25" s="300"/>
      <c r="T25" s="301"/>
      <c r="U25" s="302"/>
      <c r="V25" s="188"/>
      <c r="W25" s="188"/>
      <c r="X25" s="303"/>
      <c r="Y25" s="289"/>
      <c r="Z25" s="289"/>
      <c r="AA25" s="289"/>
      <c r="AB25" s="289"/>
      <c r="AC25" s="289"/>
      <c r="AD25" s="296"/>
      <c r="AE25" s="188"/>
      <c r="AF25" s="222">
        <f>sum(AF8:AF24)</f>
        <v>1020</v>
      </c>
      <c r="AG25" s="289"/>
      <c r="AH25" s="289"/>
      <c r="AI25" s="289"/>
      <c r="AJ25" s="289"/>
      <c r="AK25" s="289"/>
      <c r="AL25" s="289"/>
      <c r="AM25" s="289"/>
      <c r="AN25" s="289"/>
      <c r="AO25" s="289"/>
      <c r="AP25" s="289"/>
      <c r="AQ25" s="289"/>
      <c r="AR25" s="289"/>
      <c r="AS25" s="289"/>
      <c r="AT25" s="289"/>
      <c r="AU25" s="289"/>
      <c r="AV25" s="289"/>
      <c r="AW25" s="289"/>
      <c r="AX25" s="289"/>
      <c r="AY25" s="289"/>
      <c r="AZ25" s="289"/>
      <c r="BA25" s="289"/>
      <c r="BB25" s="289"/>
      <c r="BC25" s="289"/>
      <c r="BD25" s="289"/>
      <c r="BE25" s="289"/>
      <c r="BF25" s="289"/>
      <c r="BG25" s="289"/>
      <c r="BH25" s="289"/>
      <c r="BI25" s="289"/>
      <c r="BJ25" s="289"/>
      <c r="BK25" s="289"/>
      <c r="BL25" s="289"/>
      <c r="BM25" s="289"/>
      <c r="BN25" s="289"/>
      <c r="BO25" s="289"/>
      <c r="BP25" s="289"/>
      <c r="BQ25" s="289"/>
    </row>
    <row r="26" ht="22.5" customHeight="1">
      <c r="A26" s="320" t="s">
        <v>4522</v>
      </c>
      <c r="B26" s="298"/>
      <c r="C26" s="263"/>
      <c r="D26" s="264"/>
      <c r="E26" s="265"/>
      <c r="F26" s="212"/>
      <c r="G26" s="188"/>
      <c r="H26" s="188"/>
      <c r="I26" s="188"/>
      <c r="J26" s="188"/>
      <c r="K26" s="270"/>
      <c r="L26" s="188"/>
      <c r="M26" s="289">
        <f t="shared" ref="M26:N26" si="14">AVERAGE(M8:M24)</f>
        <v>-546.25</v>
      </c>
      <c r="N26" s="223">
        <f t="shared" si="14"/>
        <v>-0.01365625</v>
      </c>
      <c r="O26" s="188"/>
      <c r="P26" s="289">
        <f>AVERAGE(P8:P24)</f>
        <v>-1.456666667</v>
      </c>
      <c r="Q26" s="273"/>
      <c r="R26" s="289">
        <f>AVERAGE(R8:R24)</f>
        <v>2.066666667</v>
      </c>
      <c r="S26" s="300"/>
      <c r="T26" s="301"/>
      <c r="U26" s="302"/>
      <c r="V26" s="188"/>
      <c r="W26" s="188"/>
      <c r="X26" s="303"/>
      <c r="Y26" s="289"/>
      <c r="Z26" s="289"/>
      <c r="AA26" s="289"/>
      <c r="AB26" s="289"/>
      <c r="AC26" s="289"/>
      <c r="AD26" s="296"/>
      <c r="AE26" s="188"/>
      <c r="AF26" s="222"/>
      <c r="AG26" s="289"/>
      <c r="AH26" s="289"/>
      <c r="AI26" s="289"/>
      <c r="AJ26" s="289"/>
      <c r="AK26" s="289"/>
      <c r="AL26" s="289"/>
      <c r="AM26" s="289"/>
      <c r="AN26" s="289"/>
      <c r="AO26" s="289"/>
      <c r="AP26" s="289"/>
      <c r="AQ26" s="289"/>
      <c r="AR26" s="289"/>
      <c r="AS26" s="289"/>
      <c r="AT26" s="289"/>
      <c r="AU26" s="289"/>
      <c r="AV26" s="289"/>
      <c r="AW26" s="289"/>
      <c r="AX26" s="289"/>
      <c r="AY26" s="289"/>
      <c r="AZ26" s="289"/>
      <c r="BA26" s="289"/>
      <c r="BB26" s="289"/>
      <c r="BC26" s="289"/>
      <c r="BD26" s="289"/>
      <c r="BE26" s="289"/>
      <c r="BF26" s="289"/>
      <c r="BG26" s="289"/>
      <c r="BH26" s="289"/>
      <c r="BI26" s="289"/>
      <c r="BJ26" s="289"/>
      <c r="BK26" s="289"/>
      <c r="BL26" s="289"/>
      <c r="BM26" s="289"/>
      <c r="BN26" s="289"/>
      <c r="BO26" s="289"/>
      <c r="BP26" s="289"/>
      <c r="BQ26" s="289"/>
    </row>
    <row r="27" ht="22.5" customHeight="1">
      <c r="A27" s="322"/>
      <c r="B27" s="298"/>
      <c r="C27" s="263"/>
      <c r="D27" s="264"/>
      <c r="E27" s="265"/>
      <c r="F27" s="212"/>
      <c r="G27" s="188"/>
      <c r="H27" s="188"/>
      <c r="I27" s="188"/>
      <c r="J27" s="188"/>
      <c r="K27" s="270"/>
      <c r="L27" s="301"/>
      <c r="M27" s="301"/>
      <c r="N27" s="301"/>
      <c r="O27" s="301"/>
      <c r="P27" s="301"/>
      <c r="Q27" s="323"/>
      <c r="R27" s="301"/>
      <c r="S27" s="301"/>
      <c r="T27" s="301"/>
      <c r="U27" s="302"/>
      <c r="V27" s="188"/>
      <c r="W27" s="188"/>
      <c r="X27" s="303"/>
      <c r="Y27" s="289"/>
      <c r="Z27" s="289"/>
      <c r="AA27" s="289"/>
      <c r="AB27" s="289"/>
      <c r="AC27" s="289"/>
      <c r="AD27" s="296"/>
      <c r="AE27" s="188"/>
      <c r="AF27" s="222"/>
      <c r="AG27" s="289"/>
      <c r="AH27" s="289"/>
      <c r="AI27" s="289"/>
      <c r="AJ27" s="289"/>
      <c r="AK27" s="289"/>
      <c r="AL27" s="289"/>
      <c r="AM27" s="289"/>
      <c r="AN27" s="289"/>
      <c r="AO27" s="289"/>
      <c r="AP27" s="289"/>
      <c r="AQ27" s="289"/>
      <c r="AR27" s="289"/>
      <c r="AS27" s="289"/>
      <c r="AT27" s="289"/>
      <c r="AU27" s="289"/>
      <c r="AV27" s="289"/>
      <c r="AW27" s="289"/>
      <c r="AX27" s="289"/>
      <c r="AY27" s="289"/>
      <c r="AZ27" s="289"/>
      <c r="BA27" s="289"/>
      <c r="BB27" s="289"/>
      <c r="BC27" s="289"/>
      <c r="BD27" s="289"/>
      <c r="BE27" s="289"/>
      <c r="BF27" s="289"/>
      <c r="BG27" s="289"/>
      <c r="BH27" s="289"/>
      <c r="BI27" s="289"/>
      <c r="BJ27" s="289"/>
      <c r="BK27" s="289"/>
      <c r="BL27" s="289"/>
      <c r="BM27" s="289"/>
      <c r="BN27" s="289"/>
      <c r="BO27" s="289"/>
      <c r="BP27" s="289"/>
      <c r="BQ27" s="289"/>
    </row>
    <row r="28" ht="22.5" customHeight="1">
      <c r="A28" s="324"/>
      <c r="B28" s="325"/>
      <c r="C28" s="325"/>
      <c r="D28" s="326"/>
      <c r="E28" s="327"/>
      <c r="F28" s="327"/>
      <c r="G28" s="327"/>
      <c r="H28" s="326"/>
      <c r="I28" s="326"/>
      <c r="J28" s="326"/>
      <c r="K28" s="326"/>
      <c r="L28" s="326"/>
      <c r="M28" s="326"/>
      <c r="N28" s="326"/>
      <c r="O28" s="326"/>
      <c r="P28" s="328"/>
      <c r="Q28" s="329"/>
      <c r="R28" s="328"/>
      <c r="S28" s="330"/>
      <c r="T28" s="331"/>
      <c r="U28" s="332"/>
      <c r="V28" s="333"/>
      <c r="W28" s="326"/>
      <c r="X28" s="333"/>
      <c r="Y28" s="328"/>
      <c r="Z28" s="328"/>
      <c r="AA28" s="328"/>
      <c r="AB28" s="328"/>
      <c r="AC28" s="328"/>
      <c r="AD28" s="334"/>
      <c r="AE28" s="326"/>
      <c r="AF28" s="335"/>
      <c r="AG28" s="328"/>
      <c r="AH28" s="336"/>
      <c r="AI28" s="336"/>
      <c r="AJ28" s="336"/>
      <c r="AK28" s="336"/>
      <c r="AL28" s="336"/>
      <c r="AM28" s="336"/>
      <c r="AN28" s="336"/>
      <c r="AO28" s="336"/>
      <c r="AP28" s="336"/>
      <c r="AQ28" s="336"/>
      <c r="AR28" s="336"/>
      <c r="AS28" s="336"/>
      <c r="AT28" s="336"/>
      <c r="AU28" s="336"/>
      <c r="AV28" s="336"/>
      <c r="AW28" s="336"/>
      <c r="AX28" s="336"/>
      <c r="AY28" s="336"/>
      <c r="AZ28" s="336"/>
      <c r="BA28" s="336"/>
      <c r="BB28" s="336"/>
      <c r="BC28" s="336"/>
      <c r="BD28" s="336"/>
      <c r="BE28" s="336"/>
      <c r="BF28" s="336"/>
      <c r="BG28" s="336"/>
      <c r="BH28" s="336"/>
      <c r="BI28" s="336"/>
      <c r="BJ28" s="336"/>
      <c r="BK28" s="336"/>
      <c r="BL28" s="336"/>
      <c r="BM28" s="336"/>
      <c r="BN28" s="336"/>
      <c r="BO28" s="336"/>
      <c r="BP28" s="336"/>
      <c r="BQ28" s="336"/>
    </row>
    <row r="32" ht="22.5" customHeight="1">
      <c r="A32" s="212" t="s">
        <v>4523</v>
      </c>
      <c r="B32" s="212" t="s">
        <v>4524</v>
      </c>
      <c r="C32" s="212" t="s">
        <v>4525</v>
      </c>
      <c r="D32" s="212" t="s">
        <v>4526</v>
      </c>
      <c r="E32" s="212" t="s">
        <v>4442</v>
      </c>
      <c r="F32" s="212" t="s">
        <v>4527</v>
      </c>
      <c r="G32" s="212" t="s">
        <v>4528</v>
      </c>
      <c r="H32" s="337" t="s">
        <v>4529</v>
      </c>
      <c r="I32" s="212" t="s">
        <v>4432</v>
      </c>
      <c r="J32" s="338" t="s">
        <v>4530</v>
      </c>
      <c r="K32" s="338" t="s">
        <v>4366</v>
      </c>
      <c r="L32" s="337" t="s">
        <v>4531</v>
      </c>
      <c r="M32" s="213" t="s">
        <v>4532</v>
      </c>
    </row>
    <row r="33" ht="22.5" customHeight="1">
      <c r="A33" s="214">
        <v>45806.0</v>
      </c>
      <c r="B33" s="270">
        <v>0.9513888888888888</v>
      </c>
      <c r="C33" s="212" t="s">
        <v>4533</v>
      </c>
      <c r="D33" s="283" t="s">
        <v>4492</v>
      </c>
      <c r="E33" s="212">
        <v>0.05</v>
      </c>
      <c r="F33" s="212">
        <v>15.9</v>
      </c>
      <c r="G33" s="212">
        <v>8.65</v>
      </c>
      <c r="H33" s="339">
        <f t="shared" ref="H33:H40" si="15">F33/G33</f>
        <v>1.838150289</v>
      </c>
      <c r="I33" s="340" t="s">
        <v>4534</v>
      </c>
      <c r="J33" s="212">
        <v>-9.75</v>
      </c>
      <c r="K33" s="269" t="s">
        <v>4487</v>
      </c>
      <c r="L33" s="341" t="s">
        <v>4535</v>
      </c>
      <c r="M33" s="213">
        <v>100.0</v>
      </c>
    </row>
    <row r="34" ht="22.5" customHeight="1">
      <c r="A34" s="342">
        <v>45806.0</v>
      </c>
      <c r="B34" s="270">
        <v>0.9541666666666667</v>
      </c>
      <c r="C34" s="212" t="s">
        <v>4536</v>
      </c>
      <c r="D34" s="212" t="s">
        <v>4486</v>
      </c>
      <c r="E34" s="212">
        <v>5.0</v>
      </c>
      <c r="F34" s="212">
        <v>127.0</v>
      </c>
      <c r="G34" s="212">
        <v>104.0</v>
      </c>
      <c r="H34" s="339">
        <f t="shared" si="15"/>
        <v>1.221153846</v>
      </c>
      <c r="I34" s="340" t="s">
        <v>4537</v>
      </c>
      <c r="J34" s="212">
        <v>86.15</v>
      </c>
      <c r="K34" s="286" t="s">
        <v>4498</v>
      </c>
      <c r="L34" s="341" t="s">
        <v>4538</v>
      </c>
      <c r="M34" s="217"/>
    </row>
    <row r="35" ht="22.5" customHeight="1">
      <c r="A35" s="342">
        <v>45806.0</v>
      </c>
      <c r="B35" s="270">
        <v>0.9951388888888889</v>
      </c>
      <c r="C35" s="212" t="s">
        <v>4539</v>
      </c>
      <c r="D35" s="212" t="s">
        <v>4486</v>
      </c>
      <c r="E35" s="212">
        <v>0.03</v>
      </c>
      <c r="F35" s="212">
        <v>41.71</v>
      </c>
      <c r="G35" s="212">
        <v>13.13</v>
      </c>
      <c r="H35" s="343">
        <f t="shared" si="15"/>
        <v>3.176694593</v>
      </c>
      <c r="I35" s="340" t="s">
        <v>4540</v>
      </c>
      <c r="J35" s="212">
        <v>-13.13</v>
      </c>
      <c r="K35" s="269" t="s">
        <v>4487</v>
      </c>
      <c r="L35" s="341" t="s">
        <v>4538</v>
      </c>
      <c r="M35" s="215"/>
    </row>
    <row r="36" ht="22.5" customHeight="1">
      <c r="A36" s="342">
        <v>45806.0</v>
      </c>
      <c r="B36" s="344">
        <v>0.5</v>
      </c>
      <c r="C36" s="213" t="s">
        <v>4541</v>
      </c>
      <c r="D36" s="212" t="s">
        <v>4486</v>
      </c>
      <c r="E36" s="213">
        <v>0.05</v>
      </c>
      <c r="F36" s="213">
        <v>53.0</v>
      </c>
      <c r="G36" s="213">
        <v>20.0</v>
      </c>
      <c r="H36" s="343">
        <f t="shared" si="15"/>
        <v>2.65</v>
      </c>
      <c r="I36" s="345" t="s">
        <v>4542</v>
      </c>
      <c r="J36" s="213">
        <v>-20.0</v>
      </c>
      <c r="K36" s="269" t="s">
        <v>4487</v>
      </c>
      <c r="L36" s="341" t="s">
        <v>4538</v>
      </c>
      <c r="M36" s="215"/>
    </row>
    <row r="37" ht="22.5" customHeight="1">
      <c r="A37" s="214">
        <v>45807.0</v>
      </c>
      <c r="B37" s="344">
        <v>0.5097222222222222</v>
      </c>
      <c r="C37" s="213" t="s">
        <v>4541</v>
      </c>
      <c r="D37" s="212" t="s">
        <v>4486</v>
      </c>
      <c r="E37" s="213">
        <v>0.06</v>
      </c>
      <c r="F37" s="213">
        <v>32.22</v>
      </c>
      <c r="G37" s="213">
        <v>16.14</v>
      </c>
      <c r="H37" s="343">
        <f t="shared" si="15"/>
        <v>1.996282528</v>
      </c>
      <c r="I37" s="345" t="s">
        <v>4543</v>
      </c>
      <c r="J37" s="213">
        <v>30.0</v>
      </c>
      <c r="K37" s="286" t="s">
        <v>4498</v>
      </c>
      <c r="L37" s="341" t="s">
        <v>4538</v>
      </c>
      <c r="M37" s="215"/>
    </row>
    <row r="38" ht="22.5" customHeight="1">
      <c r="A38" s="342">
        <v>45807.0</v>
      </c>
      <c r="B38" s="344">
        <v>0.5243055555555556</v>
      </c>
      <c r="C38" s="213" t="s">
        <v>4544</v>
      </c>
      <c r="D38" s="212" t="s">
        <v>4486</v>
      </c>
      <c r="E38" s="213">
        <v>0.03</v>
      </c>
      <c r="F38" s="213">
        <v>35.15</v>
      </c>
      <c r="G38" s="213">
        <v>34.25</v>
      </c>
      <c r="H38" s="343">
        <f t="shared" si="15"/>
        <v>1.026277372</v>
      </c>
      <c r="I38" s="345" t="s">
        <v>4545</v>
      </c>
      <c r="J38" s="213">
        <v>-34.25</v>
      </c>
      <c r="K38" s="269" t="s">
        <v>4487</v>
      </c>
      <c r="L38" s="341" t="s">
        <v>4538</v>
      </c>
      <c r="M38" s="215"/>
    </row>
    <row r="39" ht="22.5" customHeight="1">
      <c r="A39" s="342">
        <v>45807.0</v>
      </c>
      <c r="B39" s="344">
        <v>0.5298611111111111</v>
      </c>
      <c r="C39" s="213" t="s">
        <v>4544</v>
      </c>
      <c r="D39" s="283" t="s">
        <v>4492</v>
      </c>
      <c r="E39" s="213">
        <v>0.03</v>
      </c>
      <c r="F39" s="213">
        <v>51.0</v>
      </c>
      <c r="G39" s="213">
        <v>51.0</v>
      </c>
      <c r="H39" s="343">
        <f t="shared" si="15"/>
        <v>1</v>
      </c>
      <c r="I39" s="345" t="s">
        <v>4545</v>
      </c>
      <c r="J39" s="213">
        <v>-41.0</v>
      </c>
      <c r="K39" s="269" t="s">
        <v>4487</v>
      </c>
      <c r="L39" s="341" t="s">
        <v>4538</v>
      </c>
      <c r="M39" s="215"/>
    </row>
    <row r="40" ht="22.5" customHeight="1">
      <c r="A40" s="342">
        <v>45807.0</v>
      </c>
      <c r="B40" s="344">
        <v>0.5736111111111111</v>
      </c>
      <c r="C40" s="213" t="s">
        <v>4539</v>
      </c>
      <c r="D40" s="212" t="s">
        <v>4486</v>
      </c>
      <c r="E40" s="213">
        <v>0.06</v>
      </c>
      <c r="F40" s="213">
        <v>80.0</v>
      </c>
      <c r="G40" s="213">
        <v>74.0</v>
      </c>
      <c r="H40" s="343">
        <f t="shared" si="15"/>
        <v>1.081081081</v>
      </c>
      <c r="I40" s="345" t="s">
        <v>4546</v>
      </c>
      <c r="J40" s="213">
        <v>-74.0</v>
      </c>
      <c r="K40" s="269" t="s">
        <v>4487</v>
      </c>
      <c r="L40" s="341" t="s">
        <v>4538</v>
      </c>
      <c r="M40" s="215"/>
    </row>
    <row r="41" ht="22.5" customHeight="1">
      <c r="A41" s="342">
        <v>45807.0</v>
      </c>
      <c r="B41" s="344">
        <v>0.16597222222222222</v>
      </c>
      <c r="C41" s="213" t="s">
        <v>4386</v>
      </c>
      <c r="D41" s="212" t="s">
        <v>4486</v>
      </c>
      <c r="E41" s="213">
        <v>0.05</v>
      </c>
      <c r="F41" s="213">
        <v>40.0</v>
      </c>
      <c r="G41" s="213">
        <v>43.0</v>
      </c>
      <c r="H41" s="343" t="str">
        <f>F42/$G$17</f>
        <v>#VALUE!</v>
      </c>
      <c r="I41" s="345" t="s">
        <v>4546</v>
      </c>
      <c r="J41" s="213">
        <v>-22.0</v>
      </c>
      <c r="K41" s="269" t="s">
        <v>4487</v>
      </c>
      <c r="L41" s="341" t="s">
        <v>4538</v>
      </c>
      <c r="M41" s="215"/>
    </row>
    <row r="42" ht="22.5" customHeight="1">
      <c r="A42" s="342">
        <v>45807.0</v>
      </c>
      <c r="B42" s="344">
        <v>0.16944444444444445</v>
      </c>
      <c r="C42" s="213" t="s">
        <v>4547</v>
      </c>
      <c r="D42" s="212" t="s">
        <v>4486</v>
      </c>
      <c r="E42" s="213">
        <v>0.02</v>
      </c>
      <c r="F42" s="213">
        <v>3.24</v>
      </c>
      <c r="G42" s="213">
        <v>3.04</v>
      </c>
      <c r="H42" s="343">
        <f t="shared" ref="H42:H43" si="16">F42/G42</f>
        <v>1.065789474</v>
      </c>
      <c r="I42" s="345" t="s">
        <v>4548</v>
      </c>
      <c r="J42" s="213">
        <v>-1.74</v>
      </c>
      <c r="K42" s="269" t="s">
        <v>4487</v>
      </c>
      <c r="L42" s="341" t="s">
        <v>4538</v>
      </c>
      <c r="M42" s="215"/>
    </row>
    <row r="43" ht="22.5" customHeight="1">
      <c r="A43" s="342">
        <v>45807.0</v>
      </c>
      <c r="B43" s="344">
        <v>0.7486111111111111</v>
      </c>
      <c r="C43" s="213" t="s">
        <v>4544</v>
      </c>
      <c r="D43" s="212" t="s">
        <v>4486</v>
      </c>
      <c r="E43" s="213">
        <v>0.03</v>
      </c>
      <c r="F43" s="213">
        <v>36.79</v>
      </c>
      <c r="G43" s="213">
        <v>66.0</v>
      </c>
      <c r="H43" s="343">
        <f t="shared" si="16"/>
        <v>0.5574242424</v>
      </c>
      <c r="I43" s="345" t="s">
        <v>4549</v>
      </c>
      <c r="J43" s="215"/>
      <c r="K43" s="215"/>
      <c r="L43" s="346"/>
      <c r="M43" s="213">
        <v>50.0</v>
      </c>
    </row>
    <row r="44" ht="22.5" customHeight="1">
      <c r="A44" s="342">
        <v>45807.0</v>
      </c>
      <c r="B44" s="344"/>
      <c r="C44" s="213"/>
      <c r="D44" s="212"/>
      <c r="E44" s="213"/>
      <c r="F44" s="213"/>
      <c r="G44" s="213"/>
      <c r="H44" s="339"/>
      <c r="I44" s="213"/>
      <c r="J44" s="215"/>
      <c r="K44" s="215"/>
      <c r="L44" s="346"/>
      <c r="M44" s="215"/>
    </row>
    <row r="45" ht="22.5" customHeight="1">
      <c r="A45" s="215"/>
      <c r="B45" s="344"/>
      <c r="C45" s="213"/>
      <c r="D45" s="212"/>
      <c r="E45" s="213"/>
      <c r="F45" s="213"/>
      <c r="G45" s="213"/>
      <c r="H45" s="339"/>
      <c r="I45" s="213"/>
      <c r="J45" s="215"/>
      <c r="K45" s="215"/>
      <c r="L45" s="346"/>
      <c r="M45" s="215"/>
    </row>
    <row r="51" ht="22.5" customHeight="1">
      <c r="A51" s="212" t="s">
        <v>4523</v>
      </c>
      <c r="B51" s="347" t="s">
        <v>4550</v>
      </c>
      <c r="C51" s="348" t="s">
        <v>4387</v>
      </c>
      <c r="D51" s="212" t="s">
        <v>4551</v>
      </c>
      <c r="E51" s="212" t="s">
        <v>4364</v>
      </c>
    </row>
    <row r="52" ht="22.5" customHeight="1">
      <c r="A52" s="349">
        <v>45789.0</v>
      </c>
      <c r="B52" s="350">
        <v>-10286.0</v>
      </c>
      <c r="C52" s="351"/>
      <c r="D52" s="220">
        <f>B52+C52</f>
        <v>-10286</v>
      </c>
      <c r="E52" s="212"/>
    </row>
    <row r="53" ht="22.5" customHeight="1">
      <c r="A53" s="349">
        <v>45790.0</v>
      </c>
      <c r="B53" s="350"/>
      <c r="C53" s="351"/>
      <c r="D53" s="212"/>
      <c r="E53" s="212"/>
    </row>
    <row r="54" ht="22.5" customHeight="1">
      <c r="A54" s="349">
        <v>45791.0</v>
      </c>
      <c r="B54" s="350">
        <v>-1309.0</v>
      </c>
      <c r="C54" s="351"/>
      <c r="D54" s="220">
        <f t="shared" ref="D54:D56" si="17">B54+C54</f>
        <v>-1309</v>
      </c>
      <c r="E54" s="212"/>
    </row>
    <row r="55" ht="22.5" customHeight="1">
      <c r="A55" s="349">
        <v>45792.0</v>
      </c>
      <c r="B55" s="350">
        <v>-1468.0</v>
      </c>
      <c r="C55" s="351"/>
      <c r="D55" s="220">
        <f t="shared" si="17"/>
        <v>-1468</v>
      </c>
      <c r="E55" s="212"/>
    </row>
    <row r="56" ht="22.5" customHeight="1">
      <c r="A56" s="349">
        <v>45793.0</v>
      </c>
      <c r="B56" s="350">
        <v>836.0</v>
      </c>
      <c r="C56" s="351"/>
      <c r="D56" s="352">
        <f t="shared" si="17"/>
        <v>836</v>
      </c>
      <c r="E56" s="353"/>
    </row>
    <row r="57" ht="22.5" customHeight="1">
      <c r="A57" s="354">
        <v>45794.0</v>
      </c>
      <c r="B57" s="350"/>
      <c r="C57" s="351"/>
      <c r="D57" s="212"/>
      <c r="E57" s="212"/>
    </row>
    <row r="58" ht="22.5" customHeight="1">
      <c r="A58" s="354">
        <v>45795.0</v>
      </c>
      <c r="B58" s="350"/>
      <c r="C58" s="351"/>
      <c r="D58" s="212"/>
      <c r="E58" s="212"/>
    </row>
    <row r="59" ht="22.5" customHeight="1">
      <c r="A59" s="349">
        <v>45796.0</v>
      </c>
      <c r="B59" s="350">
        <v>-1620.0</v>
      </c>
      <c r="C59" s="351"/>
      <c r="D59" s="220">
        <f t="shared" ref="D59:D63" si="18">B59+C59</f>
        <v>-1620</v>
      </c>
      <c r="E59" s="212"/>
    </row>
    <row r="60" ht="22.5" customHeight="1">
      <c r="A60" s="349">
        <v>45797.0</v>
      </c>
      <c r="B60" s="350">
        <v>1053.0</v>
      </c>
      <c r="C60" s="351"/>
      <c r="D60" s="352">
        <f t="shared" si="18"/>
        <v>1053</v>
      </c>
      <c r="E60" s="353"/>
    </row>
    <row r="61" ht="22.5" customHeight="1">
      <c r="A61" s="349">
        <v>45798.0</v>
      </c>
      <c r="B61" s="350">
        <v>56.0</v>
      </c>
      <c r="C61" s="351"/>
      <c r="D61" s="352">
        <f t="shared" si="18"/>
        <v>56</v>
      </c>
      <c r="E61" s="353"/>
    </row>
    <row r="62" ht="22.5" customHeight="1">
      <c r="A62" s="349">
        <v>45799.0</v>
      </c>
      <c r="B62" s="350">
        <v>1624.0</v>
      </c>
      <c r="C62" s="351"/>
      <c r="D62" s="352">
        <f t="shared" si="18"/>
        <v>1624</v>
      </c>
      <c r="E62" s="353"/>
    </row>
    <row r="63" ht="22.5" customHeight="1">
      <c r="A63" s="349">
        <v>45800.0</v>
      </c>
      <c r="B63" s="350">
        <v>1707.0</v>
      </c>
      <c r="C63" s="351"/>
      <c r="D63" s="352">
        <f t="shared" si="18"/>
        <v>1707</v>
      </c>
      <c r="E63" s="353"/>
    </row>
    <row r="64" ht="22.5" customHeight="1">
      <c r="A64" s="354">
        <v>45801.0</v>
      </c>
      <c r="B64" s="350"/>
      <c r="C64" s="351"/>
      <c r="D64" s="212"/>
      <c r="E64" s="212"/>
    </row>
    <row r="65" ht="22.5" customHeight="1">
      <c r="A65" s="354">
        <v>45802.0</v>
      </c>
      <c r="B65" s="350"/>
      <c r="C65" s="351"/>
      <c r="D65" s="212"/>
      <c r="E65" s="212"/>
    </row>
    <row r="66" ht="22.5" customHeight="1">
      <c r="A66" s="349">
        <v>45803.0</v>
      </c>
      <c r="B66" s="350">
        <v>1624.0</v>
      </c>
      <c r="C66" s="351"/>
      <c r="D66" s="352">
        <f t="shared" ref="D66:D70" si="19">B66+C66</f>
        <v>1624</v>
      </c>
      <c r="E66" s="353"/>
    </row>
    <row r="67" ht="22.5" customHeight="1">
      <c r="A67" s="349">
        <v>45804.0</v>
      </c>
      <c r="B67" s="350">
        <v>506.0</v>
      </c>
      <c r="C67" s="351"/>
      <c r="D67" s="352">
        <f t="shared" si="19"/>
        <v>506</v>
      </c>
      <c r="E67" s="353"/>
    </row>
    <row r="68" ht="22.5" customHeight="1">
      <c r="A68" s="349">
        <v>45805.0</v>
      </c>
      <c r="B68" s="350">
        <v>-1264.0</v>
      </c>
      <c r="C68" s="351"/>
      <c r="D68" s="220">
        <f t="shared" si="19"/>
        <v>-1264</v>
      </c>
      <c r="E68" s="212"/>
    </row>
    <row r="69" ht="22.5" customHeight="1">
      <c r="A69" s="349">
        <v>45806.0</v>
      </c>
      <c r="B69" s="350">
        <v>540.0</v>
      </c>
      <c r="C69" s="351"/>
      <c r="D69" s="352">
        <f t="shared" si="19"/>
        <v>540</v>
      </c>
      <c r="E69" s="353"/>
    </row>
    <row r="70" ht="22.5" customHeight="1">
      <c r="A70" s="349">
        <v>45807.0</v>
      </c>
      <c r="B70" s="350">
        <v>288.0</v>
      </c>
      <c r="C70" s="351"/>
      <c r="D70" s="352">
        <f t="shared" si="19"/>
        <v>288</v>
      </c>
      <c r="E70" s="353"/>
    </row>
    <row r="71" ht="22.5" customHeight="1">
      <c r="A71" s="355" t="s">
        <v>4552</v>
      </c>
      <c r="B71" s="350"/>
      <c r="C71" s="351"/>
      <c r="D71" s="212"/>
      <c r="E71" s="212"/>
    </row>
    <row r="72" ht="22.5" customHeight="1">
      <c r="A72" s="354">
        <v>45809.0</v>
      </c>
      <c r="B72" s="350"/>
      <c r="C72" s="351"/>
      <c r="D72" s="212"/>
      <c r="E72" s="212"/>
    </row>
    <row r="73" ht="22.5" customHeight="1">
      <c r="A73" s="349">
        <v>45810.0</v>
      </c>
      <c r="B73" s="350">
        <v>2456.0</v>
      </c>
      <c r="C73" s="351">
        <v>-390.0</v>
      </c>
      <c r="D73" s="352">
        <f t="shared" ref="D73:D77" si="20">B73+C73</f>
        <v>2066</v>
      </c>
      <c r="E73" s="353"/>
    </row>
    <row r="74" ht="22.5" customHeight="1">
      <c r="A74" s="349">
        <v>45811.0</v>
      </c>
      <c r="B74" s="350">
        <v>705.0</v>
      </c>
      <c r="C74" s="356">
        <v>146.0</v>
      </c>
      <c r="D74" s="352">
        <f t="shared" si="20"/>
        <v>851</v>
      </c>
      <c r="E74" s="353"/>
    </row>
    <row r="75" ht="22.5" customHeight="1">
      <c r="A75" s="349">
        <v>45812.0</v>
      </c>
      <c r="B75" s="350">
        <v>549.0</v>
      </c>
      <c r="C75" s="357">
        <v>-4343.0</v>
      </c>
      <c r="D75" s="220">
        <f t="shared" si="20"/>
        <v>-3794</v>
      </c>
      <c r="E75" s="212"/>
    </row>
    <row r="76" ht="22.5" customHeight="1">
      <c r="A76" s="349">
        <v>45813.0</v>
      </c>
      <c r="B76" s="350">
        <v>1504.0</v>
      </c>
      <c r="C76" s="356">
        <v>2103.0</v>
      </c>
      <c r="D76" s="352">
        <f t="shared" si="20"/>
        <v>3607</v>
      </c>
      <c r="E76" s="353"/>
    </row>
    <row r="77" ht="22.5" customHeight="1">
      <c r="A77" s="349">
        <v>45814.0</v>
      </c>
      <c r="B77" s="350">
        <v>-2565.0</v>
      </c>
      <c r="C77" s="358">
        <v>-933.7500000000013</v>
      </c>
      <c r="D77" s="220">
        <f t="shared" si="20"/>
        <v>-3498.75</v>
      </c>
      <c r="E77" s="212"/>
    </row>
    <row r="78" ht="22.5" customHeight="1">
      <c r="A78" s="354">
        <v>45815.0</v>
      </c>
      <c r="B78" s="350"/>
      <c r="C78" s="359"/>
      <c r="D78" s="212"/>
      <c r="E78" s="212"/>
    </row>
    <row r="79" ht="22.5" customHeight="1">
      <c r="A79" s="354">
        <v>45816.0</v>
      </c>
      <c r="B79" s="350"/>
      <c r="C79" s="359"/>
      <c r="D79" s="188"/>
      <c r="E79" s="188"/>
    </row>
    <row r="80" ht="22.5" customHeight="1">
      <c r="A80" s="349">
        <v>45817.0</v>
      </c>
      <c r="B80" s="350">
        <v>-727.5</v>
      </c>
      <c r="C80" s="356">
        <v>138.75</v>
      </c>
      <c r="D80" s="220">
        <f>B80+C80</f>
        <v>-588.75</v>
      </c>
      <c r="E80" s="212"/>
    </row>
    <row r="81" ht="22.5" customHeight="1">
      <c r="A81" s="349">
        <v>45818.0</v>
      </c>
      <c r="B81" s="350">
        <v>892.4999999999999</v>
      </c>
      <c r="C81" s="351" t="s">
        <v>65</v>
      </c>
      <c r="D81" s="352">
        <f t="shared" ref="D81:D82" si="21">sum(B81:C81)</f>
        <v>892.5</v>
      </c>
      <c r="E81" s="353"/>
    </row>
    <row r="82" ht="22.5" customHeight="1">
      <c r="A82" s="349">
        <v>45819.0</v>
      </c>
      <c r="B82" s="350">
        <v>532.5000000000001</v>
      </c>
      <c r="C82" s="351" t="s">
        <v>65</v>
      </c>
      <c r="D82" s="352">
        <f t="shared" si="21"/>
        <v>532.5</v>
      </c>
      <c r="E82" s="353"/>
    </row>
    <row r="83" ht="22.5" customHeight="1">
      <c r="A83" s="349">
        <v>45820.0</v>
      </c>
      <c r="B83" s="350">
        <v>-1143.75</v>
      </c>
      <c r="C83" s="359"/>
      <c r="D83" s="220">
        <f t="shared" ref="D83:D84" si="22">B83+C83</f>
        <v>-1143.75</v>
      </c>
      <c r="E83" s="188"/>
    </row>
    <row r="84" ht="22.5" customHeight="1">
      <c r="A84" s="349">
        <v>45821.0</v>
      </c>
      <c r="B84" s="350">
        <v>-387.0</v>
      </c>
      <c r="C84" s="359"/>
      <c r="D84" s="220">
        <f t="shared" si="22"/>
        <v>-387</v>
      </c>
      <c r="E84" s="188"/>
    </row>
    <row r="85" ht="22.5" customHeight="1">
      <c r="A85" s="349"/>
      <c r="B85" s="350"/>
      <c r="C85" s="359"/>
      <c r="D85" s="188"/>
      <c r="E85" s="188"/>
    </row>
    <row r="86" ht="22.5" customHeight="1">
      <c r="A86" s="349"/>
      <c r="B86" s="350"/>
      <c r="C86" s="359"/>
      <c r="D86" s="188"/>
      <c r="E86" s="188"/>
    </row>
    <row r="87" ht="22.5" customHeight="1">
      <c r="A87" s="349"/>
      <c r="B87" s="350"/>
      <c r="C87" s="359"/>
      <c r="D87" s="188"/>
      <c r="E87" s="188"/>
    </row>
    <row r="88" ht="22.5" customHeight="1">
      <c r="A88" s="349"/>
      <c r="B88" s="350"/>
      <c r="C88" s="359"/>
      <c r="D88" s="188"/>
      <c r="E88" s="188"/>
    </row>
    <row r="89" ht="22.5" customHeight="1">
      <c r="A89" s="360"/>
      <c r="B89" s="361"/>
      <c r="C89" s="362"/>
      <c r="D89" s="363"/>
      <c r="E89" s="364"/>
    </row>
    <row r="90" ht="22.5" customHeight="1">
      <c r="A90" s="365" t="s">
        <v>4551</v>
      </c>
      <c r="B90" s="366">
        <f t="shared" ref="B90:D90" si="23">SUM(B52:B89)</f>
        <v>-5897.25</v>
      </c>
      <c r="C90" s="367">
        <f t="shared" si="23"/>
        <v>-3279</v>
      </c>
      <c r="D90" s="368">
        <f t="shared" si="23"/>
        <v>-9176.25</v>
      </c>
      <c r="E90" s="364"/>
    </row>
    <row r="91" ht="22.5" customHeight="1">
      <c r="A91" s="369"/>
      <c r="B91" s="366">
        <f>AVERAGE(B56:B89)</f>
        <v>341.2261905</v>
      </c>
      <c r="C91" s="367">
        <f t="shared" ref="C91:D91" si="24">AVERAGE(C53:C89)</f>
        <v>-546.5</v>
      </c>
      <c r="D91" s="368">
        <f t="shared" si="24"/>
        <v>48.25</v>
      </c>
      <c r="E91" s="370"/>
    </row>
    <row r="101" ht="22.5" customHeight="1">
      <c r="A101" s="371" t="s">
        <v>4460</v>
      </c>
      <c r="B101" s="248" t="s">
        <v>4416</v>
      </c>
      <c r="C101" s="249" t="s">
        <v>4417</v>
      </c>
      <c r="D101" s="249" t="s">
        <v>4418</v>
      </c>
      <c r="E101" s="250" t="s">
        <v>4359</v>
      </c>
      <c r="F101" s="250" t="s">
        <v>4553</v>
      </c>
      <c r="G101" s="251" t="s">
        <v>4554</v>
      </c>
      <c r="H101" s="252" t="s">
        <v>4422</v>
      </c>
      <c r="I101" s="251" t="s">
        <v>4427</v>
      </c>
      <c r="J101" s="251" t="s">
        <v>4429</v>
      </c>
      <c r="K101" s="251" t="s">
        <v>4555</v>
      </c>
      <c r="L101" s="372" t="s">
        <v>4556</v>
      </c>
      <c r="M101" s="373" t="s">
        <v>4557</v>
      </c>
      <c r="N101" s="372" t="s">
        <v>4558</v>
      </c>
      <c r="O101" s="372" t="s">
        <v>4559</v>
      </c>
      <c r="P101" s="372" t="s">
        <v>4560</v>
      </c>
      <c r="Q101" s="372" t="s">
        <v>4561</v>
      </c>
      <c r="R101" s="373" t="s">
        <v>4562</v>
      </c>
      <c r="S101" s="255" t="s">
        <v>4426</v>
      </c>
      <c r="T101" s="254" t="s">
        <v>4424</v>
      </c>
      <c r="U101" s="251" t="s">
        <v>4431</v>
      </c>
      <c r="V101" s="256" t="s">
        <v>4563</v>
      </c>
      <c r="W101" s="251" t="s">
        <v>4564</v>
      </c>
      <c r="X101" s="251" t="s">
        <v>89</v>
      </c>
      <c r="Y101" s="374" t="s">
        <v>4565</v>
      </c>
      <c r="Z101" s="375" t="s">
        <v>4433</v>
      </c>
      <c r="AA101" s="251" t="s">
        <v>4566</v>
      </c>
      <c r="AB101" s="259" t="s">
        <v>4434</v>
      </c>
      <c r="AC101" s="260" t="s">
        <v>4435</v>
      </c>
      <c r="AD101" s="253" t="s">
        <v>4425</v>
      </c>
      <c r="AE101" s="253" t="s">
        <v>4436</v>
      </c>
      <c r="AF101" s="251" t="s">
        <v>4438</v>
      </c>
      <c r="AG101" s="251" t="s">
        <v>4567</v>
      </c>
      <c r="AH101" s="251" t="s">
        <v>4437</v>
      </c>
      <c r="AI101" s="251" t="s">
        <v>4440</v>
      </c>
      <c r="AJ101" s="251" t="s">
        <v>4441</v>
      </c>
      <c r="AK101" s="253" t="s">
        <v>4442</v>
      </c>
      <c r="AL101" s="254" t="s">
        <v>4443</v>
      </c>
      <c r="AM101" s="254" t="s">
        <v>4444</v>
      </c>
      <c r="AN101" s="255" t="s">
        <v>4361</v>
      </c>
      <c r="AO101" s="255" t="s">
        <v>39</v>
      </c>
      <c r="AP101" s="376" t="s">
        <v>4568</v>
      </c>
      <c r="AQ101" s="377" t="s">
        <v>4569</v>
      </c>
      <c r="AR101" s="372" t="s">
        <v>4570</v>
      </c>
      <c r="AS101" s="372" t="s">
        <v>4456</v>
      </c>
      <c r="AT101" s="372" t="s">
        <v>4457</v>
      </c>
      <c r="AU101" s="372" t="s">
        <v>4458</v>
      </c>
      <c r="AV101" s="372" t="s">
        <v>4459</v>
      </c>
      <c r="AW101" s="372" t="s">
        <v>4571</v>
      </c>
      <c r="AX101" s="372" t="s">
        <v>4461</v>
      </c>
      <c r="AY101" s="372" t="s">
        <v>4462</v>
      </c>
      <c r="AZ101" s="372" t="s">
        <v>4463</v>
      </c>
      <c r="BA101" s="372" t="s">
        <v>4464</v>
      </c>
      <c r="BB101" s="372" t="s">
        <v>4465</v>
      </c>
      <c r="BC101" s="372" t="s">
        <v>4466</v>
      </c>
      <c r="BD101" s="372" t="s">
        <v>4467</v>
      </c>
      <c r="BE101" s="372" t="s">
        <v>4468</v>
      </c>
      <c r="BF101" s="372" t="s">
        <v>4469</v>
      </c>
      <c r="BG101" s="372" t="s">
        <v>4470</v>
      </c>
      <c r="BH101" s="372" t="s">
        <v>4471</v>
      </c>
      <c r="BI101" s="372" t="s">
        <v>4472</v>
      </c>
      <c r="BJ101" s="372" t="s">
        <v>4473</v>
      </c>
      <c r="BK101" s="372" t="s">
        <v>4474</v>
      </c>
      <c r="BL101" s="372" t="s">
        <v>4475</v>
      </c>
      <c r="BM101" s="372" t="s">
        <v>4476</v>
      </c>
      <c r="BN101" s="372" t="s">
        <v>4477</v>
      </c>
      <c r="BO101" s="372" t="s">
        <v>4478</v>
      </c>
      <c r="BP101" s="372" t="s">
        <v>4479</v>
      </c>
      <c r="BQ101" s="372" t="s">
        <v>4480</v>
      </c>
    </row>
    <row r="102" ht="22.5" customHeight="1">
      <c r="A102" s="378" t="s">
        <v>4572</v>
      </c>
      <c r="B102" s="261">
        <v>45846.0</v>
      </c>
      <c r="C102" s="379" t="s">
        <v>4550</v>
      </c>
      <c r="D102" s="263" t="s">
        <v>4481</v>
      </c>
      <c r="E102" s="263" t="s">
        <v>4573</v>
      </c>
      <c r="F102" s="380" t="s">
        <v>4574</v>
      </c>
      <c r="G102" s="381" t="s">
        <v>118</v>
      </c>
      <c r="H102" s="267" t="s">
        <v>4485</v>
      </c>
      <c r="I102" s="382"/>
      <c r="J102" s="383"/>
      <c r="K102" s="384"/>
      <c r="L102" s="384"/>
      <c r="M102" s="385"/>
      <c r="N102" s="384"/>
      <c r="O102" s="384"/>
      <c r="P102" s="384"/>
      <c r="Q102" s="386"/>
      <c r="R102" s="385"/>
      <c r="S102" s="387">
        <f t="shared" ref="S102:S147" si="25">AL102+AM102</f>
        <v>765</v>
      </c>
      <c r="T102" s="286" t="s">
        <v>4498</v>
      </c>
      <c r="U102" s="388"/>
      <c r="V102" s="389">
        <f>sum(AI102)</f>
        <v>10.2</v>
      </c>
      <c r="W102" s="390"/>
      <c r="X102" s="391">
        <v>1.0</v>
      </c>
      <c r="Y102" s="384"/>
      <c r="Z102" s="392" t="s">
        <v>4575</v>
      </c>
      <c r="AA102" s="393"/>
      <c r="AB102" s="394" t="s">
        <v>92</v>
      </c>
      <c r="AC102" s="212" t="s">
        <v>4495</v>
      </c>
      <c r="AD102" s="395">
        <v>0.4097222222222222</v>
      </c>
      <c r="AE102" s="395">
        <v>0.6291666666666667</v>
      </c>
      <c r="AF102" s="396">
        <v>26.75</v>
      </c>
      <c r="AG102" s="396">
        <v>16.55</v>
      </c>
      <c r="AH102" s="397">
        <f t="shared" ref="AH102:AH103" si="26">AE102-AD102</f>
        <v>0.2194444444</v>
      </c>
      <c r="AI102" s="396">
        <f>AF102-AG102</f>
        <v>10.2</v>
      </c>
      <c r="AJ102" s="209"/>
      <c r="AK102" s="391">
        <v>75.0</v>
      </c>
      <c r="AL102" s="389">
        <f>AI102*AK102</f>
        <v>765</v>
      </c>
      <c r="AN102" s="271">
        <v>68.0</v>
      </c>
      <c r="AO102" s="389">
        <f t="shared" ref="AO102:AO147" si="27">AL102+AM102-AN102</f>
        <v>697</v>
      </c>
      <c r="AP102" s="398"/>
      <c r="AQ102" s="399"/>
      <c r="AR102" s="384" t="s">
        <v>4576</v>
      </c>
      <c r="AS102" s="384"/>
      <c r="AT102" s="384"/>
      <c r="AU102" s="384"/>
      <c r="AV102" s="384"/>
      <c r="AW102" s="384"/>
      <c r="AX102" s="384"/>
      <c r="AY102" s="384"/>
      <c r="AZ102" s="384"/>
      <c r="BA102" s="384"/>
      <c r="BB102" s="384"/>
      <c r="BC102" s="384"/>
      <c r="BD102" s="384"/>
      <c r="BE102" s="384"/>
      <c r="BF102" s="384"/>
      <c r="BG102" s="384"/>
      <c r="BH102" s="384"/>
      <c r="BI102" s="384"/>
      <c r="BJ102" s="384"/>
      <c r="BK102" s="384"/>
      <c r="BL102" s="384"/>
      <c r="BM102" s="384"/>
      <c r="BN102" s="384"/>
      <c r="BO102" s="384"/>
      <c r="BP102" s="384"/>
      <c r="BQ102" s="384"/>
    </row>
    <row r="103" ht="22.5" customHeight="1">
      <c r="A103" s="400" t="s">
        <v>4572</v>
      </c>
      <c r="B103" s="401">
        <v>45846.0</v>
      </c>
      <c r="C103" s="402" t="s">
        <v>4550</v>
      </c>
      <c r="D103" s="403" t="s">
        <v>4481</v>
      </c>
      <c r="E103" s="403" t="s">
        <v>4573</v>
      </c>
      <c r="F103" s="404" t="s">
        <v>4574</v>
      </c>
      <c r="G103" s="405" t="s">
        <v>118</v>
      </c>
      <c r="H103" s="406" t="s">
        <v>4485</v>
      </c>
      <c r="I103" s="407">
        <f>SUM(S102:S103)</f>
        <v>765</v>
      </c>
      <c r="J103" s="408" t="s">
        <v>4506</v>
      </c>
      <c r="K103" s="409"/>
      <c r="L103" s="409"/>
      <c r="M103" s="410"/>
      <c r="N103" s="409" t="s">
        <v>65</v>
      </c>
      <c r="O103" s="409" t="s">
        <v>65</v>
      </c>
      <c r="P103" s="411" t="s">
        <v>4577</v>
      </c>
      <c r="Q103" s="412">
        <v>230000.0</v>
      </c>
      <c r="R103" s="413" t="s">
        <v>4578</v>
      </c>
      <c r="S103" s="414">
        <f t="shared" si="25"/>
        <v>0</v>
      </c>
      <c r="T103" s="415" t="s">
        <v>4498</v>
      </c>
      <c r="U103" s="416"/>
      <c r="V103" s="417">
        <f t="shared" ref="V103:V111" si="28">sum(AI103:AJ103)</f>
        <v>0</v>
      </c>
      <c r="W103" s="418">
        <f>I103/Q103</f>
        <v>0.003326086957</v>
      </c>
      <c r="X103" s="419">
        <v>2.0</v>
      </c>
      <c r="Y103" s="420"/>
      <c r="Z103" s="421" t="s">
        <v>4579</v>
      </c>
      <c r="AA103" s="422"/>
      <c r="AB103" s="423" t="s">
        <v>92</v>
      </c>
      <c r="AC103" s="424" t="s">
        <v>4491</v>
      </c>
      <c r="AD103" s="425">
        <v>0.4097222222222222</v>
      </c>
      <c r="AE103" s="425">
        <v>0.6291666666666667</v>
      </c>
      <c r="AF103" s="426">
        <v>38.25</v>
      </c>
      <c r="AG103" s="426">
        <v>38.25</v>
      </c>
      <c r="AH103" s="427">
        <f t="shared" si="26"/>
        <v>0.2194444444</v>
      </c>
      <c r="AI103" s="426"/>
      <c r="AJ103" s="419">
        <f>AF103-AG103</f>
        <v>0</v>
      </c>
      <c r="AK103" s="419">
        <v>75.0</v>
      </c>
      <c r="AL103" s="417"/>
      <c r="AM103" s="417">
        <f>AJ103*AK103</f>
        <v>0</v>
      </c>
      <c r="AN103" s="428">
        <v>68.0</v>
      </c>
      <c r="AO103" s="417">
        <f t="shared" si="27"/>
        <v>-68</v>
      </c>
      <c r="AP103" s="429"/>
      <c r="AQ103" s="430"/>
      <c r="AR103" s="409" t="s">
        <v>4576</v>
      </c>
      <c r="AS103" s="384"/>
      <c r="AT103" s="384"/>
      <c r="AU103" s="384"/>
      <c r="AV103" s="384"/>
      <c r="AW103" s="384"/>
      <c r="AX103" s="384"/>
      <c r="AY103" s="384"/>
      <c r="AZ103" s="384"/>
      <c r="BA103" s="384"/>
      <c r="BB103" s="384"/>
      <c r="BC103" s="384"/>
      <c r="BD103" s="384"/>
      <c r="BE103" s="384"/>
      <c r="BF103" s="384"/>
      <c r="BG103" s="384"/>
      <c r="BH103" s="384"/>
      <c r="BI103" s="384"/>
      <c r="BJ103" s="384"/>
      <c r="BK103" s="384"/>
      <c r="BL103" s="384"/>
      <c r="BM103" s="384"/>
      <c r="BN103" s="384"/>
      <c r="BO103" s="384"/>
      <c r="BP103" s="384"/>
      <c r="BQ103" s="384"/>
    </row>
    <row r="104" ht="22.5" customHeight="1">
      <c r="A104" s="378" t="s">
        <v>4572</v>
      </c>
      <c r="B104" s="261">
        <v>45847.0</v>
      </c>
      <c r="C104" s="379" t="s">
        <v>4550</v>
      </c>
      <c r="D104" s="263" t="s">
        <v>4481</v>
      </c>
      <c r="E104" s="263" t="s">
        <v>4573</v>
      </c>
      <c r="F104" s="380" t="s">
        <v>4574</v>
      </c>
      <c r="G104" s="381" t="s">
        <v>118</v>
      </c>
      <c r="H104" s="267" t="s">
        <v>4485</v>
      </c>
      <c r="I104" s="382"/>
      <c r="J104" s="188"/>
      <c r="N104" s="228" t="s">
        <v>65</v>
      </c>
      <c r="Q104" s="431"/>
      <c r="S104" s="387">
        <f t="shared" si="25"/>
        <v>90</v>
      </c>
      <c r="T104" s="286" t="s">
        <v>4498</v>
      </c>
      <c r="U104" s="432"/>
      <c r="V104" s="389">
        <f t="shared" si="28"/>
        <v>1.2</v>
      </c>
      <c r="W104" s="433"/>
      <c r="X104" s="391">
        <v>2.0</v>
      </c>
      <c r="Z104" s="434" t="s">
        <v>4580</v>
      </c>
      <c r="AB104" s="394" t="s">
        <v>92</v>
      </c>
      <c r="AC104" s="212" t="s">
        <v>4495</v>
      </c>
      <c r="AD104" s="395">
        <v>0.39375</v>
      </c>
      <c r="AE104" s="228" t="s">
        <v>65</v>
      </c>
      <c r="AF104" s="396">
        <v>8.75</v>
      </c>
      <c r="AG104" s="396">
        <v>7.55</v>
      </c>
      <c r="AH104" s="397"/>
      <c r="AI104" s="396">
        <f t="shared" ref="AI104:AI111" si="29">AF104-AG104</f>
        <v>1.2</v>
      </c>
      <c r="AJ104" s="209"/>
      <c r="AK104" s="391">
        <v>75.0</v>
      </c>
      <c r="AL104" s="389">
        <f t="shared" ref="AL104:AL109" si="30">AI104*AK104</f>
        <v>90</v>
      </c>
      <c r="AN104" s="271">
        <v>68.0</v>
      </c>
      <c r="AO104" s="389">
        <f t="shared" si="27"/>
        <v>22</v>
      </c>
      <c r="AP104" s="398"/>
      <c r="AQ104" s="399"/>
      <c r="AR104" s="384" t="s">
        <v>4576</v>
      </c>
      <c r="AS104" s="384"/>
      <c r="AT104" s="384"/>
      <c r="AU104" s="384"/>
      <c r="AV104" s="384"/>
      <c r="AW104" s="384"/>
      <c r="AX104" s="384"/>
      <c r="AY104" s="384"/>
      <c r="AZ104" s="384"/>
      <c r="BA104" s="384"/>
      <c r="BB104" s="384"/>
      <c r="BC104" s="384"/>
      <c r="BD104" s="384"/>
      <c r="BE104" s="384"/>
      <c r="BF104" s="384"/>
      <c r="BG104" s="384"/>
      <c r="BH104" s="384"/>
      <c r="BI104" s="384"/>
      <c r="BJ104" s="384"/>
      <c r="BK104" s="384"/>
      <c r="BL104" s="384"/>
      <c r="BM104" s="384"/>
      <c r="BN104" s="384"/>
      <c r="BO104" s="384"/>
      <c r="BP104" s="384"/>
      <c r="BQ104" s="384"/>
    </row>
    <row r="105" ht="22.5" customHeight="1">
      <c r="A105" s="378" t="s">
        <v>4572</v>
      </c>
      <c r="B105" s="322">
        <v>45847.0</v>
      </c>
      <c r="C105" s="379" t="s">
        <v>4550</v>
      </c>
      <c r="D105" s="263" t="s">
        <v>4481</v>
      </c>
      <c r="E105" s="263" t="s">
        <v>4573</v>
      </c>
      <c r="F105" s="380" t="s">
        <v>4574</v>
      </c>
      <c r="G105" s="381" t="s">
        <v>118</v>
      </c>
      <c r="H105" s="267" t="s">
        <v>4485</v>
      </c>
      <c r="I105" s="382">
        <f>SUM(S104:S105)</f>
        <v>236.25</v>
      </c>
      <c r="J105" s="291" t="s">
        <v>4506</v>
      </c>
      <c r="M105" s="294" t="s">
        <v>4581</v>
      </c>
      <c r="N105" s="294" t="s">
        <v>4582</v>
      </c>
      <c r="O105" s="294" t="s">
        <v>4583</v>
      </c>
      <c r="P105" s="294" t="s">
        <v>4584</v>
      </c>
      <c r="Q105" s="435">
        <v>232000.0</v>
      </c>
      <c r="R105" s="294" t="s">
        <v>4585</v>
      </c>
      <c r="S105" s="387">
        <f t="shared" si="25"/>
        <v>146.25</v>
      </c>
      <c r="T105" s="286" t="s">
        <v>4498</v>
      </c>
      <c r="U105" s="432"/>
      <c r="V105" s="389">
        <f t="shared" si="28"/>
        <v>1.95</v>
      </c>
      <c r="W105" s="433">
        <f>I105/Q105</f>
        <v>0.001018318966</v>
      </c>
      <c r="X105" s="391">
        <v>2.0</v>
      </c>
      <c r="Z105" s="436" t="s">
        <v>4586</v>
      </c>
      <c r="AB105" s="394" t="s">
        <v>92</v>
      </c>
      <c r="AC105" s="277" t="s">
        <v>4491</v>
      </c>
      <c r="AD105" s="395">
        <v>0.39375</v>
      </c>
      <c r="AE105" s="228" t="s">
        <v>65</v>
      </c>
      <c r="AF105" s="396">
        <v>7.25</v>
      </c>
      <c r="AG105" s="396">
        <v>5.3</v>
      </c>
      <c r="AH105" s="397"/>
      <c r="AI105" s="396">
        <f t="shared" si="29"/>
        <v>1.95</v>
      </c>
      <c r="AJ105" s="209"/>
      <c r="AK105" s="391">
        <v>75.0</v>
      </c>
      <c r="AL105" s="389">
        <f t="shared" si="30"/>
        <v>146.25</v>
      </c>
      <c r="AN105" s="271">
        <v>68.0</v>
      </c>
      <c r="AO105" s="389">
        <f t="shared" si="27"/>
        <v>78.25</v>
      </c>
      <c r="AP105" s="398"/>
      <c r="AQ105" s="399"/>
      <c r="AR105" s="384" t="s">
        <v>4576</v>
      </c>
      <c r="AS105" s="384"/>
      <c r="AT105" s="384"/>
      <c r="AU105" s="384"/>
      <c r="AV105" s="384"/>
      <c r="AW105" s="384"/>
      <c r="AX105" s="384"/>
      <c r="AY105" s="384"/>
      <c r="AZ105" s="384"/>
      <c r="BA105" s="384"/>
      <c r="BB105" s="384"/>
      <c r="BC105" s="384"/>
      <c r="BD105" s="384"/>
      <c r="BE105" s="384"/>
      <c r="BF105" s="384"/>
      <c r="BG105" s="384"/>
      <c r="BH105" s="384"/>
      <c r="BI105" s="384"/>
      <c r="BJ105" s="384"/>
      <c r="BK105" s="384"/>
      <c r="BL105" s="384"/>
      <c r="BM105" s="384"/>
      <c r="BN105" s="384"/>
      <c r="BO105" s="384"/>
      <c r="BP105" s="384"/>
      <c r="BQ105" s="384"/>
    </row>
    <row r="106" ht="22.5" customHeight="1">
      <c r="A106" s="437" t="s">
        <v>4587</v>
      </c>
      <c r="B106" s="322">
        <v>45847.0</v>
      </c>
      <c r="C106" s="379" t="s">
        <v>4550</v>
      </c>
      <c r="D106" s="263" t="s">
        <v>4481</v>
      </c>
      <c r="E106" s="263" t="s">
        <v>4573</v>
      </c>
      <c r="F106" s="380" t="s">
        <v>4574</v>
      </c>
      <c r="G106" s="381" t="s">
        <v>118</v>
      </c>
      <c r="H106" s="267" t="s">
        <v>4485</v>
      </c>
      <c r="I106" s="431"/>
      <c r="J106" s="188"/>
      <c r="L106" s="228" t="s">
        <v>4588</v>
      </c>
      <c r="Q106" s="431"/>
      <c r="S106" s="387">
        <f t="shared" si="25"/>
        <v>562.5</v>
      </c>
      <c r="T106" s="286" t="s">
        <v>4498</v>
      </c>
      <c r="U106" s="432"/>
      <c r="V106" s="389">
        <f t="shared" si="28"/>
        <v>7.5</v>
      </c>
      <c r="W106" s="433"/>
      <c r="X106" s="391"/>
      <c r="Z106" s="436" t="s">
        <v>4580</v>
      </c>
      <c r="AB106" s="394" t="s">
        <v>4589</v>
      </c>
      <c r="AC106" s="212" t="s">
        <v>4495</v>
      </c>
      <c r="AD106" s="438" t="s">
        <v>65</v>
      </c>
      <c r="AE106" s="395">
        <v>0.6451388888888889</v>
      </c>
      <c r="AF106" s="396">
        <f t="shared" ref="AF106:AF107" si="31">AG104</f>
        <v>7.55</v>
      </c>
      <c r="AG106" s="439">
        <v>0.05</v>
      </c>
      <c r="AH106" s="397"/>
      <c r="AI106" s="396">
        <f t="shared" si="29"/>
        <v>7.5</v>
      </c>
      <c r="AJ106" s="209"/>
      <c r="AK106" s="391">
        <v>75.0</v>
      </c>
      <c r="AL106" s="389">
        <f t="shared" si="30"/>
        <v>562.5</v>
      </c>
      <c r="AN106" s="271">
        <v>68.0</v>
      </c>
      <c r="AO106" s="389">
        <f t="shared" si="27"/>
        <v>494.5</v>
      </c>
      <c r="AP106" s="398"/>
    </row>
    <row r="107" ht="22.5" customHeight="1">
      <c r="A107" s="440" t="s">
        <v>4587</v>
      </c>
      <c r="B107" s="401">
        <v>45847.0</v>
      </c>
      <c r="C107" s="402" t="s">
        <v>4550</v>
      </c>
      <c r="D107" s="403" t="s">
        <v>4481</v>
      </c>
      <c r="E107" s="403" t="s">
        <v>4573</v>
      </c>
      <c r="F107" s="404" t="s">
        <v>4574</v>
      </c>
      <c r="G107" s="405" t="s">
        <v>118</v>
      </c>
      <c r="H107" s="406" t="s">
        <v>4485</v>
      </c>
      <c r="I107" s="407">
        <f>SUM(S106:S107)</f>
        <v>956.25</v>
      </c>
      <c r="J107" s="408" t="s">
        <v>4506</v>
      </c>
      <c r="K107" s="420"/>
      <c r="L107" s="420"/>
      <c r="M107" s="420"/>
      <c r="N107" s="411" t="s">
        <v>4590</v>
      </c>
      <c r="O107" s="411" t="s">
        <v>4591</v>
      </c>
      <c r="P107" s="441" t="s">
        <v>65</v>
      </c>
      <c r="Q107" s="441" t="s">
        <v>65</v>
      </c>
      <c r="R107" s="441" t="s">
        <v>65</v>
      </c>
      <c r="S107" s="414">
        <f t="shared" si="25"/>
        <v>393.75</v>
      </c>
      <c r="T107" s="415" t="s">
        <v>4498</v>
      </c>
      <c r="U107" s="416"/>
      <c r="V107" s="417">
        <f t="shared" si="28"/>
        <v>5.25</v>
      </c>
      <c r="W107" s="418">
        <f>I107/Q105</f>
        <v>0.004121767241</v>
      </c>
      <c r="X107" s="419">
        <v>2.0</v>
      </c>
      <c r="Y107" s="420"/>
      <c r="Z107" s="442" t="s">
        <v>4586</v>
      </c>
      <c r="AA107" s="420"/>
      <c r="AB107" s="423" t="s">
        <v>4589</v>
      </c>
      <c r="AC107" s="424" t="s">
        <v>4491</v>
      </c>
      <c r="AD107" s="443" t="s">
        <v>65</v>
      </c>
      <c r="AE107" s="425">
        <v>0.6451388888888889</v>
      </c>
      <c r="AF107" s="426">
        <f t="shared" si="31"/>
        <v>5.3</v>
      </c>
      <c r="AG107" s="444">
        <v>0.05</v>
      </c>
      <c r="AH107" s="427"/>
      <c r="AI107" s="426">
        <f t="shared" si="29"/>
        <v>5.25</v>
      </c>
      <c r="AJ107" s="445"/>
      <c r="AK107" s="419">
        <v>75.0</v>
      </c>
      <c r="AL107" s="417">
        <f t="shared" si="30"/>
        <v>393.75</v>
      </c>
      <c r="AM107" s="420"/>
      <c r="AN107" s="428">
        <v>68.0</v>
      </c>
      <c r="AO107" s="417">
        <f t="shared" si="27"/>
        <v>325.75</v>
      </c>
      <c r="AP107" s="429"/>
      <c r="AQ107" s="420"/>
      <c r="AR107" s="420"/>
    </row>
    <row r="108" ht="22.5" customHeight="1">
      <c r="A108" s="378" t="s">
        <v>4572</v>
      </c>
      <c r="B108" s="261">
        <v>45848.0</v>
      </c>
      <c r="C108" s="379" t="s">
        <v>4550</v>
      </c>
      <c r="D108" s="263" t="s">
        <v>4481</v>
      </c>
      <c r="E108" s="263" t="s">
        <v>4573</v>
      </c>
      <c r="F108" s="380" t="s">
        <v>4574</v>
      </c>
      <c r="G108" s="381" t="s">
        <v>118</v>
      </c>
      <c r="H108" s="267" t="s">
        <v>4485</v>
      </c>
      <c r="I108" s="431"/>
      <c r="J108" s="188"/>
      <c r="Q108" s="431"/>
      <c r="S108" s="387">
        <f t="shared" si="25"/>
        <v>333.75</v>
      </c>
      <c r="T108" s="286" t="s">
        <v>4498</v>
      </c>
      <c r="U108" s="432"/>
      <c r="V108" s="389">
        <f t="shared" si="28"/>
        <v>4.45</v>
      </c>
      <c r="W108" s="433"/>
      <c r="X108" s="391">
        <v>1.0</v>
      </c>
      <c r="Z108" s="446" t="s">
        <v>4575</v>
      </c>
      <c r="AB108" s="394" t="s">
        <v>92</v>
      </c>
      <c r="AC108" s="212" t="s">
        <v>4495</v>
      </c>
      <c r="AD108" s="395">
        <v>0.4215277777777778</v>
      </c>
      <c r="AE108" s="395">
        <v>0.05416666666666667</v>
      </c>
      <c r="AF108" s="439">
        <v>6.9</v>
      </c>
      <c r="AG108" s="439">
        <v>2.45</v>
      </c>
      <c r="AH108" s="397">
        <f t="shared" ref="AH108:AH111" si="32">AE108-AD108</f>
        <v>-0.3673611111</v>
      </c>
      <c r="AI108" s="396">
        <f t="shared" si="29"/>
        <v>4.45</v>
      </c>
      <c r="AJ108" s="209"/>
      <c r="AK108" s="391">
        <v>75.0</v>
      </c>
      <c r="AL108" s="389">
        <f t="shared" si="30"/>
        <v>333.75</v>
      </c>
      <c r="AN108" s="271">
        <v>68.0</v>
      </c>
      <c r="AO108" s="389">
        <f t="shared" si="27"/>
        <v>265.75</v>
      </c>
      <c r="AP108" s="398"/>
    </row>
    <row r="109" ht="22.5" customHeight="1">
      <c r="A109" s="400" t="s">
        <v>4572</v>
      </c>
      <c r="B109" s="447">
        <v>45848.0</v>
      </c>
      <c r="C109" s="402" t="s">
        <v>4550</v>
      </c>
      <c r="D109" s="403" t="s">
        <v>4481</v>
      </c>
      <c r="E109" s="403" t="s">
        <v>4573</v>
      </c>
      <c r="F109" s="404" t="s">
        <v>4574</v>
      </c>
      <c r="G109" s="405" t="s">
        <v>118</v>
      </c>
      <c r="H109" s="406" t="s">
        <v>4485</v>
      </c>
      <c r="I109" s="407">
        <f>SUM(S108:S109)</f>
        <v>378.75</v>
      </c>
      <c r="J109" s="408" t="s">
        <v>4506</v>
      </c>
      <c r="K109" s="420"/>
      <c r="L109" s="420"/>
      <c r="M109" s="411" t="s">
        <v>4592</v>
      </c>
      <c r="N109" s="411" t="s">
        <v>4593</v>
      </c>
      <c r="O109" s="411" t="s">
        <v>4594</v>
      </c>
      <c r="P109" s="411" t="s">
        <v>4595</v>
      </c>
      <c r="Q109" s="412">
        <v>232000.0</v>
      </c>
      <c r="R109" s="411" t="s">
        <v>4596</v>
      </c>
      <c r="S109" s="414">
        <f t="shared" si="25"/>
        <v>45</v>
      </c>
      <c r="T109" s="415" t="s">
        <v>4498</v>
      </c>
      <c r="U109" s="416"/>
      <c r="V109" s="417">
        <f t="shared" si="28"/>
        <v>0.6</v>
      </c>
      <c r="W109" s="418">
        <f>I109/Q109</f>
        <v>0.001632543103</v>
      </c>
      <c r="X109" s="419">
        <v>2.0</v>
      </c>
      <c r="Y109" s="420"/>
      <c r="Z109" s="442" t="s">
        <v>4597</v>
      </c>
      <c r="AA109" s="420"/>
      <c r="AB109" s="423" t="s">
        <v>92</v>
      </c>
      <c r="AC109" s="424" t="s">
        <v>4491</v>
      </c>
      <c r="AD109" s="425">
        <v>0.4215277777777778</v>
      </c>
      <c r="AE109" s="425">
        <v>0.05416666666666667</v>
      </c>
      <c r="AF109" s="444">
        <v>1.45</v>
      </c>
      <c r="AG109" s="444">
        <v>0.85</v>
      </c>
      <c r="AH109" s="427">
        <f t="shared" si="32"/>
        <v>-0.3673611111</v>
      </c>
      <c r="AI109" s="426">
        <f t="shared" si="29"/>
        <v>0.6</v>
      </c>
      <c r="AJ109" s="445"/>
      <c r="AK109" s="419">
        <v>75.0</v>
      </c>
      <c r="AL109" s="417">
        <f t="shared" si="30"/>
        <v>45</v>
      </c>
      <c r="AM109" s="420"/>
      <c r="AN109" s="428">
        <v>68.0</v>
      </c>
      <c r="AO109" s="417">
        <f t="shared" si="27"/>
        <v>-23</v>
      </c>
      <c r="AP109" s="420"/>
      <c r="AQ109" s="420"/>
      <c r="AR109" s="420"/>
    </row>
    <row r="110" ht="22.5" customHeight="1">
      <c r="A110" s="378" t="s">
        <v>4572</v>
      </c>
      <c r="B110" s="261">
        <v>45849.0</v>
      </c>
      <c r="C110" s="379" t="s">
        <v>4550</v>
      </c>
      <c r="D110" s="263" t="s">
        <v>4481</v>
      </c>
      <c r="E110" s="263" t="s">
        <v>4573</v>
      </c>
      <c r="F110" s="380" t="s">
        <v>4574</v>
      </c>
      <c r="G110" s="381" t="s">
        <v>118</v>
      </c>
      <c r="H110" s="267" t="s">
        <v>4485</v>
      </c>
      <c r="I110" s="431"/>
      <c r="J110" s="188"/>
      <c r="Q110" s="431"/>
      <c r="S110" s="387">
        <f t="shared" si="25"/>
        <v>-821.25</v>
      </c>
      <c r="T110" s="448" t="s">
        <v>4598</v>
      </c>
      <c r="U110" s="432"/>
      <c r="V110" s="389">
        <f t="shared" si="28"/>
        <v>-10.95</v>
      </c>
      <c r="W110" s="449"/>
      <c r="X110" s="391">
        <v>1.0</v>
      </c>
      <c r="Z110" s="434" t="s">
        <v>4599</v>
      </c>
      <c r="AB110" s="394" t="s">
        <v>92</v>
      </c>
      <c r="AC110" s="277" t="s">
        <v>4491</v>
      </c>
      <c r="AD110" s="395">
        <v>0.4270833333333333</v>
      </c>
      <c r="AF110" s="439">
        <v>18.9</v>
      </c>
      <c r="AG110" s="439">
        <v>29.85</v>
      </c>
      <c r="AH110" s="397">
        <f t="shared" si="32"/>
        <v>-0.4270833333</v>
      </c>
      <c r="AI110" s="396">
        <f t="shared" si="29"/>
        <v>-10.95</v>
      </c>
      <c r="AJ110" s="209"/>
      <c r="AK110" s="391">
        <v>75.0</v>
      </c>
      <c r="AM110" s="389">
        <f>AI110*AK110</f>
        <v>-821.25</v>
      </c>
      <c r="AN110" s="271">
        <v>68.0</v>
      </c>
      <c r="AO110" s="389">
        <f t="shared" si="27"/>
        <v>-889.25</v>
      </c>
    </row>
    <row r="111" ht="22.5" customHeight="1">
      <c r="A111" s="378" t="s">
        <v>4572</v>
      </c>
      <c r="B111" s="322">
        <v>45849.0</v>
      </c>
      <c r="C111" s="379" t="s">
        <v>4550</v>
      </c>
      <c r="D111" s="263" t="s">
        <v>4481</v>
      </c>
      <c r="E111" s="263" t="s">
        <v>4573</v>
      </c>
      <c r="F111" s="380" t="s">
        <v>4574</v>
      </c>
      <c r="G111" s="381" t="s">
        <v>118</v>
      </c>
      <c r="H111" s="267" t="s">
        <v>4485</v>
      </c>
      <c r="I111" s="382">
        <f>SUM(S110:S111)</f>
        <v>-382.5</v>
      </c>
      <c r="J111" s="448" t="s">
        <v>4600</v>
      </c>
      <c r="N111" s="294" t="s">
        <v>4601</v>
      </c>
      <c r="O111" s="294" t="s">
        <v>4602</v>
      </c>
      <c r="P111" s="294" t="s">
        <v>4603</v>
      </c>
      <c r="Q111" s="435">
        <v>250000.0</v>
      </c>
      <c r="S111" s="387">
        <f t="shared" si="25"/>
        <v>438.75</v>
      </c>
      <c r="T111" s="450" t="s">
        <v>4604</v>
      </c>
      <c r="U111" s="432"/>
      <c r="V111" s="389">
        <f t="shared" si="28"/>
        <v>5.85</v>
      </c>
      <c r="W111" s="433"/>
      <c r="X111" s="391">
        <v>2.0</v>
      </c>
      <c r="Z111" s="436" t="s">
        <v>4579</v>
      </c>
      <c r="AB111" s="394" t="s">
        <v>92</v>
      </c>
      <c r="AC111" s="212" t="s">
        <v>4495</v>
      </c>
      <c r="AD111" s="395">
        <v>0.4270833333333333</v>
      </c>
      <c r="AF111" s="439">
        <v>21.6</v>
      </c>
      <c r="AG111" s="439">
        <v>15.75</v>
      </c>
      <c r="AH111" s="397">
        <f t="shared" si="32"/>
        <v>-0.4270833333</v>
      </c>
      <c r="AI111" s="396">
        <f t="shared" si="29"/>
        <v>5.85</v>
      </c>
      <c r="AJ111" s="209"/>
      <c r="AK111" s="391">
        <v>75.0</v>
      </c>
      <c r="AL111" s="389">
        <f>AI111*AK111</f>
        <v>438.75</v>
      </c>
      <c r="AN111" s="271">
        <v>68.0</v>
      </c>
      <c r="AO111" s="389">
        <f t="shared" si="27"/>
        <v>370.75</v>
      </c>
    </row>
    <row r="112" ht="22.5" customHeight="1">
      <c r="A112" s="451" t="s">
        <v>4605</v>
      </c>
      <c r="B112" s="322">
        <v>45849.0</v>
      </c>
      <c r="C112" s="379" t="s">
        <v>4550</v>
      </c>
      <c r="D112" s="263" t="s">
        <v>4481</v>
      </c>
      <c r="E112" s="263" t="s">
        <v>4573</v>
      </c>
      <c r="F112" s="380" t="s">
        <v>4574</v>
      </c>
      <c r="G112" s="381" t="s">
        <v>118</v>
      </c>
      <c r="H112" s="267" t="s">
        <v>4485</v>
      </c>
      <c r="I112" s="431"/>
      <c r="J112" s="188"/>
      <c r="M112" s="228" t="s">
        <v>65</v>
      </c>
      <c r="N112" s="228"/>
      <c r="O112" s="228"/>
      <c r="P112" s="228"/>
      <c r="Q112" s="431"/>
      <c r="S112" s="387">
        <f t="shared" si="25"/>
        <v>-307.5</v>
      </c>
      <c r="T112" s="448" t="s">
        <v>4598</v>
      </c>
      <c r="U112" s="432"/>
      <c r="V112" s="389">
        <f>sum(AJ112)</f>
        <v>-4.1</v>
      </c>
      <c r="W112" s="449"/>
      <c r="X112" s="391"/>
      <c r="Z112" s="436" t="s">
        <v>4599</v>
      </c>
      <c r="AB112" s="394" t="s">
        <v>92</v>
      </c>
      <c r="AC112" s="277" t="s">
        <v>4491</v>
      </c>
      <c r="AD112" s="438" t="s">
        <v>65</v>
      </c>
      <c r="AF112" s="439" t="s">
        <v>65</v>
      </c>
      <c r="AG112" s="439">
        <v>23.0</v>
      </c>
      <c r="AH112" s="452" t="s">
        <v>65</v>
      </c>
      <c r="AI112" s="453"/>
      <c r="AJ112" s="391">
        <f>AF110-AG112</f>
        <v>-4.1</v>
      </c>
      <c r="AK112" s="391">
        <v>75.0</v>
      </c>
      <c r="AM112" s="389">
        <f>AJ112*AK112</f>
        <v>-307.5</v>
      </c>
      <c r="AN112" s="271"/>
      <c r="AO112" s="389">
        <f t="shared" si="27"/>
        <v>-307.5</v>
      </c>
    </row>
    <row r="113" ht="22.5" customHeight="1">
      <c r="A113" s="451" t="s">
        <v>4605</v>
      </c>
      <c r="B113" s="322">
        <v>45849.0</v>
      </c>
      <c r="C113" s="379" t="s">
        <v>4550</v>
      </c>
      <c r="D113" s="263" t="s">
        <v>4481</v>
      </c>
      <c r="E113" s="263" t="s">
        <v>4573</v>
      </c>
      <c r="F113" s="380" t="s">
        <v>4574</v>
      </c>
      <c r="G113" s="381" t="s">
        <v>118</v>
      </c>
      <c r="H113" s="267" t="s">
        <v>4485</v>
      </c>
      <c r="I113" s="382">
        <f>SUM(S112:S113)</f>
        <v>701.25</v>
      </c>
      <c r="J113" s="454" t="s">
        <v>4606</v>
      </c>
      <c r="M113" s="294" t="s">
        <v>4607</v>
      </c>
      <c r="N113" s="294" t="s">
        <v>4608</v>
      </c>
      <c r="O113" s="294" t="s">
        <v>4609</v>
      </c>
      <c r="P113" s="294" t="s">
        <v>4610</v>
      </c>
      <c r="Q113" s="435" t="s">
        <v>65</v>
      </c>
      <c r="S113" s="387">
        <f t="shared" si="25"/>
        <v>1008.75</v>
      </c>
      <c r="T113" s="450" t="s">
        <v>4604</v>
      </c>
      <c r="U113" s="432"/>
      <c r="V113" s="389">
        <f t="shared" ref="V113:V121" si="33">sum(AI113:AJ113)</f>
        <v>13.45</v>
      </c>
      <c r="W113" s="449">
        <f>I113/Q111</f>
        <v>0.002805</v>
      </c>
      <c r="X113" s="391"/>
      <c r="Z113" s="436" t="s">
        <v>4579</v>
      </c>
      <c r="AB113" s="394" t="s">
        <v>92</v>
      </c>
      <c r="AC113" s="212" t="s">
        <v>4495</v>
      </c>
      <c r="AD113" s="438" t="s">
        <v>65</v>
      </c>
      <c r="AF113" s="439" t="s">
        <v>65</v>
      </c>
      <c r="AG113" s="439">
        <v>8.15</v>
      </c>
      <c r="AH113" s="452" t="s">
        <v>65</v>
      </c>
      <c r="AI113" s="396">
        <f>AF111-AG113</f>
        <v>13.45</v>
      </c>
      <c r="AJ113" s="209"/>
      <c r="AK113" s="391">
        <v>75.0</v>
      </c>
      <c r="AL113" s="389">
        <f t="shared" ref="AL113:AL119" si="34">AI113*AK113</f>
        <v>1008.75</v>
      </c>
      <c r="AN113" s="271"/>
      <c r="AO113" s="389">
        <f t="shared" si="27"/>
        <v>1008.75</v>
      </c>
    </row>
    <row r="114" ht="22.5" customHeight="1">
      <c r="A114" s="455" t="s">
        <v>4611</v>
      </c>
      <c r="B114" s="322">
        <v>45849.0</v>
      </c>
      <c r="C114" s="379" t="s">
        <v>4550</v>
      </c>
      <c r="D114" s="263" t="s">
        <v>4481</v>
      </c>
      <c r="E114" s="263" t="s">
        <v>4573</v>
      </c>
      <c r="F114" s="380" t="s">
        <v>4574</v>
      </c>
      <c r="G114" s="381" t="s">
        <v>118</v>
      </c>
      <c r="H114" s="267" t="s">
        <v>4485</v>
      </c>
      <c r="I114" s="431"/>
      <c r="J114" s="188"/>
      <c r="M114" s="228" t="s">
        <v>65</v>
      </c>
      <c r="Q114" s="431"/>
      <c r="S114" s="387">
        <f t="shared" si="25"/>
        <v>1008.75</v>
      </c>
      <c r="T114" s="450" t="s">
        <v>4604</v>
      </c>
      <c r="U114" s="432"/>
      <c r="V114" s="389">
        <f t="shared" si="33"/>
        <v>13.45</v>
      </c>
      <c r="W114" s="449"/>
      <c r="X114" s="228"/>
      <c r="Z114" s="456" t="s">
        <v>4599</v>
      </c>
      <c r="AB114" s="394" t="s">
        <v>92</v>
      </c>
      <c r="AC114" s="212" t="s">
        <v>4495</v>
      </c>
      <c r="AD114" s="228" t="s">
        <v>65</v>
      </c>
      <c r="AF114" s="439" t="s">
        <v>65</v>
      </c>
      <c r="AG114" s="439">
        <v>5.45</v>
      </c>
      <c r="AH114" s="212" t="s">
        <v>65</v>
      </c>
      <c r="AI114" s="396">
        <f t="shared" ref="AI114:AI115" si="35">AF110-AG114</f>
        <v>13.45</v>
      </c>
      <c r="AJ114" s="209"/>
      <c r="AK114" s="391">
        <v>75.0</v>
      </c>
      <c r="AL114" s="389">
        <f t="shared" si="34"/>
        <v>1008.75</v>
      </c>
      <c r="AN114" s="271"/>
      <c r="AO114" s="389">
        <f t="shared" si="27"/>
        <v>1008.75</v>
      </c>
    </row>
    <row r="115" ht="22.5" customHeight="1">
      <c r="A115" s="455" t="s">
        <v>4611</v>
      </c>
      <c r="B115" s="322">
        <v>45849.0</v>
      </c>
      <c r="C115" s="379" t="s">
        <v>4550</v>
      </c>
      <c r="D115" s="263" t="s">
        <v>4481</v>
      </c>
      <c r="E115" s="263" t="s">
        <v>4573</v>
      </c>
      <c r="F115" s="380" t="s">
        <v>4574</v>
      </c>
      <c r="G115" s="381" t="s">
        <v>118</v>
      </c>
      <c r="H115" s="267" t="s">
        <v>4485</v>
      </c>
      <c r="I115" s="382">
        <f>SUM(S114:S115)</f>
        <v>2347.5</v>
      </c>
      <c r="J115" s="454" t="s">
        <v>4606</v>
      </c>
      <c r="M115" s="294" t="s">
        <v>4612</v>
      </c>
      <c r="N115" s="294" t="s">
        <v>4613</v>
      </c>
      <c r="O115" s="294" t="s">
        <v>4614</v>
      </c>
      <c r="Q115" s="228" t="s">
        <v>65</v>
      </c>
      <c r="S115" s="387">
        <f t="shared" si="25"/>
        <v>1338.75</v>
      </c>
      <c r="T115" s="450" t="s">
        <v>4604</v>
      </c>
      <c r="U115" s="432"/>
      <c r="V115" s="389">
        <f t="shared" si="33"/>
        <v>17.85</v>
      </c>
      <c r="W115" s="449">
        <f>I115/Q109</f>
        <v>0.01011853448</v>
      </c>
      <c r="X115" s="228"/>
      <c r="Z115" s="457" t="s">
        <v>4579</v>
      </c>
      <c r="AB115" s="394" t="s">
        <v>92</v>
      </c>
      <c r="AC115" s="277" t="s">
        <v>4491</v>
      </c>
      <c r="AD115" s="228" t="s">
        <v>65</v>
      </c>
      <c r="AF115" s="439" t="s">
        <v>65</v>
      </c>
      <c r="AG115" s="439">
        <v>3.75</v>
      </c>
      <c r="AH115" s="212" t="s">
        <v>65</v>
      </c>
      <c r="AI115" s="396">
        <f t="shared" si="35"/>
        <v>17.85</v>
      </c>
      <c r="AJ115" s="209"/>
      <c r="AK115" s="391">
        <v>75.0</v>
      </c>
      <c r="AL115" s="389">
        <f t="shared" si="34"/>
        <v>1338.75</v>
      </c>
      <c r="AN115" s="271"/>
      <c r="AO115" s="389">
        <f t="shared" si="27"/>
        <v>1338.75</v>
      </c>
    </row>
    <row r="116" ht="22.5" customHeight="1">
      <c r="A116" s="458" t="s">
        <v>4615</v>
      </c>
      <c r="B116" s="322">
        <v>45849.0</v>
      </c>
      <c r="C116" s="379" t="s">
        <v>4550</v>
      </c>
      <c r="D116" s="263" t="s">
        <v>4481</v>
      </c>
      <c r="E116" s="263" t="s">
        <v>4573</v>
      </c>
      <c r="F116" s="380" t="s">
        <v>4574</v>
      </c>
      <c r="G116" s="381" t="s">
        <v>118</v>
      </c>
      <c r="H116" s="267" t="s">
        <v>4485</v>
      </c>
      <c r="I116" s="431"/>
      <c r="J116" s="188"/>
      <c r="Q116" s="431"/>
      <c r="S116" s="387">
        <f t="shared" si="25"/>
        <v>1188.75</v>
      </c>
      <c r="T116" s="450" t="s">
        <v>4604</v>
      </c>
      <c r="U116" s="432"/>
      <c r="V116" s="389">
        <f t="shared" si="33"/>
        <v>15.85</v>
      </c>
      <c r="W116" s="449"/>
      <c r="Z116" s="456" t="s">
        <v>4599</v>
      </c>
      <c r="AB116" s="394" t="s">
        <v>92</v>
      </c>
      <c r="AC116" s="212" t="s">
        <v>4495</v>
      </c>
      <c r="AF116" s="212" t="s">
        <v>65</v>
      </c>
      <c r="AG116" s="439">
        <v>3.05</v>
      </c>
      <c r="AH116" s="303"/>
      <c r="AI116" s="396">
        <f t="shared" ref="AI116:AI117" si="36">AF110-AG116</f>
        <v>15.85</v>
      </c>
      <c r="AJ116" s="209"/>
      <c r="AK116" s="391">
        <v>75.0</v>
      </c>
      <c r="AL116" s="389">
        <f t="shared" si="34"/>
        <v>1188.75</v>
      </c>
      <c r="AN116" s="271"/>
      <c r="AO116" s="389">
        <f t="shared" si="27"/>
        <v>1188.75</v>
      </c>
    </row>
    <row r="117" ht="22.5" customHeight="1">
      <c r="A117" s="458" t="s">
        <v>4615</v>
      </c>
      <c r="B117" s="322">
        <v>45849.0</v>
      </c>
      <c r="C117" s="379" t="s">
        <v>4550</v>
      </c>
      <c r="D117" s="263" t="s">
        <v>4481</v>
      </c>
      <c r="E117" s="263" t="s">
        <v>4573</v>
      </c>
      <c r="F117" s="380" t="s">
        <v>4574</v>
      </c>
      <c r="G117" s="381" t="s">
        <v>118</v>
      </c>
      <c r="H117" s="267" t="s">
        <v>4485</v>
      </c>
      <c r="I117" s="382">
        <f>SUM(S116:S117)</f>
        <v>2718.75</v>
      </c>
      <c r="J117" s="454" t="s">
        <v>4606</v>
      </c>
      <c r="M117" s="294" t="s">
        <v>4616</v>
      </c>
      <c r="N117" s="294" t="s">
        <v>4617</v>
      </c>
      <c r="O117" s="294" t="s">
        <v>4618</v>
      </c>
      <c r="Q117" s="228" t="s">
        <v>65</v>
      </c>
      <c r="S117" s="387">
        <f t="shared" si="25"/>
        <v>1530</v>
      </c>
      <c r="T117" s="450" t="s">
        <v>4604</v>
      </c>
      <c r="U117" s="432"/>
      <c r="V117" s="389">
        <f t="shared" si="33"/>
        <v>20.4</v>
      </c>
      <c r="W117" s="449">
        <f>I117/Q111</f>
        <v>0.010875</v>
      </c>
      <c r="Z117" s="457" t="s">
        <v>4579</v>
      </c>
      <c r="AB117" s="394" t="s">
        <v>92</v>
      </c>
      <c r="AC117" s="277" t="s">
        <v>4491</v>
      </c>
      <c r="AF117" s="212" t="s">
        <v>65</v>
      </c>
      <c r="AG117" s="439">
        <v>1.2</v>
      </c>
      <c r="AH117" s="303"/>
      <c r="AI117" s="396">
        <f t="shared" si="36"/>
        <v>20.4</v>
      </c>
      <c r="AJ117" s="209"/>
      <c r="AK117" s="391">
        <v>75.0</v>
      </c>
      <c r="AL117" s="389">
        <f t="shared" si="34"/>
        <v>1530</v>
      </c>
      <c r="AN117" s="271"/>
      <c r="AO117" s="389">
        <f t="shared" si="27"/>
        <v>1530</v>
      </c>
    </row>
    <row r="118" ht="22.5" customHeight="1">
      <c r="A118" s="458" t="s">
        <v>4619</v>
      </c>
      <c r="B118" s="322">
        <v>45849.0</v>
      </c>
      <c r="C118" s="379" t="s">
        <v>4550</v>
      </c>
      <c r="D118" s="263" t="s">
        <v>4481</v>
      </c>
      <c r="E118" s="263" t="s">
        <v>4573</v>
      </c>
      <c r="F118" s="380" t="s">
        <v>4574</v>
      </c>
      <c r="G118" s="381" t="s">
        <v>118</v>
      </c>
      <c r="H118" s="267" t="s">
        <v>4485</v>
      </c>
      <c r="I118" s="382"/>
      <c r="J118" s="188"/>
      <c r="M118" s="228"/>
      <c r="N118" s="228"/>
      <c r="O118" s="228"/>
      <c r="Q118" s="221"/>
      <c r="S118" s="387">
        <f t="shared" si="25"/>
        <v>1413.75</v>
      </c>
      <c r="T118" s="286" t="s">
        <v>4498</v>
      </c>
      <c r="U118" s="459"/>
      <c r="V118" s="389">
        <f t="shared" si="33"/>
        <v>18.85</v>
      </c>
      <c r="W118" s="460"/>
      <c r="Z118" s="456" t="s">
        <v>4599</v>
      </c>
      <c r="AB118" s="394" t="s">
        <v>92</v>
      </c>
      <c r="AC118" s="212" t="s">
        <v>4495</v>
      </c>
      <c r="AF118" s="439"/>
      <c r="AG118" s="439">
        <v>0.05</v>
      </c>
      <c r="AH118" s="303"/>
      <c r="AI118" s="396">
        <f t="shared" ref="AI118:AI119" si="37">AF110-AG118</f>
        <v>18.85</v>
      </c>
      <c r="AJ118" s="209"/>
      <c r="AK118" s="391">
        <v>75.0</v>
      </c>
      <c r="AL118" s="389">
        <f t="shared" si="34"/>
        <v>1413.75</v>
      </c>
      <c r="AN118" s="271"/>
      <c r="AO118" s="389">
        <f t="shared" si="27"/>
        <v>1413.75</v>
      </c>
    </row>
    <row r="119" ht="22.5" customHeight="1">
      <c r="A119" s="461" t="s">
        <v>4619</v>
      </c>
      <c r="B119" s="401">
        <v>45849.0</v>
      </c>
      <c r="C119" s="402" t="s">
        <v>4550</v>
      </c>
      <c r="D119" s="403" t="s">
        <v>4481</v>
      </c>
      <c r="E119" s="403" t="s">
        <v>4573</v>
      </c>
      <c r="F119" s="404" t="s">
        <v>4574</v>
      </c>
      <c r="G119" s="405" t="s">
        <v>118</v>
      </c>
      <c r="H119" s="406" t="s">
        <v>4485</v>
      </c>
      <c r="I119" s="407">
        <f>SUM(S118:S119)</f>
        <v>3030</v>
      </c>
      <c r="J119" s="408" t="s">
        <v>4506</v>
      </c>
      <c r="K119" s="420"/>
      <c r="L119" s="420"/>
      <c r="M119" s="411" t="s">
        <v>4620</v>
      </c>
      <c r="N119" s="441"/>
      <c r="O119" s="441"/>
      <c r="P119" s="420"/>
      <c r="Q119" s="462"/>
      <c r="R119" s="420"/>
      <c r="S119" s="414">
        <f t="shared" si="25"/>
        <v>1616.25</v>
      </c>
      <c r="T119" s="415" t="s">
        <v>4498</v>
      </c>
      <c r="U119" s="416"/>
      <c r="V119" s="417">
        <f t="shared" si="33"/>
        <v>21.55</v>
      </c>
      <c r="W119" s="463">
        <f>I119/Q111</f>
        <v>0.01212</v>
      </c>
      <c r="X119" s="420"/>
      <c r="Y119" s="420"/>
      <c r="Z119" s="464" t="s">
        <v>4579</v>
      </c>
      <c r="AA119" s="420"/>
      <c r="AB119" s="423" t="s">
        <v>92</v>
      </c>
      <c r="AC119" s="424" t="s">
        <v>4491</v>
      </c>
      <c r="AD119" s="420"/>
      <c r="AE119" s="420"/>
      <c r="AF119" s="444"/>
      <c r="AG119" s="444">
        <v>0.05</v>
      </c>
      <c r="AH119" s="465"/>
      <c r="AI119" s="426">
        <f t="shared" si="37"/>
        <v>21.55</v>
      </c>
      <c r="AJ119" s="445"/>
      <c r="AK119" s="419">
        <v>75.0</v>
      </c>
      <c r="AL119" s="417">
        <f t="shared" si="34"/>
        <v>1616.25</v>
      </c>
      <c r="AM119" s="420"/>
      <c r="AN119" s="428"/>
      <c r="AO119" s="417">
        <f t="shared" si="27"/>
        <v>1616.25</v>
      </c>
      <c r="AP119" s="420"/>
      <c r="AQ119" s="420"/>
      <c r="AR119" s="420"/>
    </row>
    <row r="120" ht="22.5" customHeight="1">
      <c r="A120" s="378" t="s">
        <v>4572</v>
      </c>
      <c r="B120" s="261">
        <v>45852.0</v>
      </c>
      <c r="C120" s="379" t="s">
        <v>4550</v>
      </c>
      <c r="D120" s="263" t="s">
        <v>4481</v>
      </c>
      <c r="E120" s="263" t="s">
        <v>4573</v>
      </c>
      <c r="F120" s="380" t="s">
        <v>4574</v>
      </c>
      <c r="G120" s="466" t="s">
        <v>131</v>
      </c>
      <c r="H120" s="267" t="s">
        <v>4485</v>
      </c>
      <c r="I120" s="431"/>
      <c r="J120" s="188"/>
      <c r="Q120" s="431"/>
      <c r="S120" s="387">
        <f t="shared" si="25"/>
        <v>7.5</v>
      </c>
      <c r="T120" s="450" t="s">
        <v>4604</v>
      </c>
      <c r="U120" s="432"/>
      <c r="V120" s="389">
        <f t="shared" si="33"/>
        <v>0.1</v>
      </c>
      <c r="W120" s="449"/>
      <c r="X120" s="228">
        <v>1.0</v>
      </c>
      <c r="Z120" s="434" t="s">
        <v>4621</v>
      </c>
      <c r="AB120" s="467" t="s">
        <v>4622</v>
      </c>
      <c r="AC120" s="212" t="s">
        <v>4495</v>
      </c>
      <c r="AD120" s="395">
        <v>0.54375</v>
      </c>
      <c r="AF120" s="439">
        <v>1.2</v>
      </c>
      <c r="AG120" s="439">
        <v>1.3</v>
      </c>
      <c r="AH120" s="303"/>
      <c r="AI120" s="396">
        <f>AG120-AF120</f>
        <v>0.1</v>
      </c>
      <c r="AJ120" s="209"/>
      <c r="AK120" s="391">
        <v>75.0</v>
      </c>
      <c r="AL120" s="389">
        <f>AK120*AI120</f>
        <v>7.5</v>
      </c>
      <c r="AN120" s="271">
        <v>68.0</v>
      </c>
      <c r="AO120" s="389">
        <f t="shared" si="27"/>
        <v>-60.5</v>
      </c>
    </row>
    <row r="121" ht="22.5" customHeight="1">
      <c r="A121" s="378" t="s">
        <v>4572</v>
      </c>
      <c r="B121" s="322">
        <v>45852.0</v>
      </c>
      <c r="C121" s="379" t="s">
        <v>4550</v>
      </c>
      <c r="D121" s="263" t="s">
        <v>4481</v>
      </c>
      <c r="E121" s="263" t="s">
        <v>4573</v>
      </c>
      <c r="F121" s="380" t="s">
        <v>4574</v>
      </c>
      <c r="G121" s="466" t="s">
        <v>131</v>
      </c>
      <c r="H121" s="267" t="s">
        <v>4485</v>
      </c>
      <c r="I121" s="431"/>
      <c r="J121" s="188"/>
      <c r="Q121" s="431"/>
      <c r="S121" s="387">
        <f t="shared" si="25"/>
        <v>191.25</v>
      </c>
      <c r="T121" s="450" t="s">
        <v>4604</v>
      </c>
      <c r="U121" s="432"/>
      <c r="V121" s="389">
        <f t="shared" si="33"/>
        <v>2.55</v>
      </c>
      <c r="W121" s="449"/>
      <c r="X121" s="228">
        <v>2.0</v>
      </c>
      <c r="Z121" s="436" t="s">
        <v>4623</v>
      </c>
      <c r="AB121" s="394" t="s">
        <v>92</v>
      </c>
      <c r="AC121" s="212" t="s">
        <v>4495</v>
      </c>
      <c r="AD121" s="395">
        <v>0.5388888888888889</v>
      </c>
      <c r="AF121" s="439">
        <v>10.4</v>
      </c>
      <c r="AG121" s="439">
        <v>7.85</v>
      </c>
      <c r="AH121" s="303"/>
      <c r="AI121" s="396">
        <f>AF121-AG121</f>
        <v>2.55</v>
      </c>
      <c r="AJ121" s="209"/>
      <c r="AK121" s="391">
        <v>75.0</v>
      </c>
      <c r="AL121" s="389">
        <f>AI121*AK121</f>
        <v>191.25</v>
      </c>
      <c r="AN121" s="271">
        <v>68.0</v>
      </c>
      <c r="AO121" s="389">
        <f t="shared" si="27"/>
        <v>123.25</v>
      </c>
    </row>
    <row r="122" ht="22.5" customHeight="1">
      <c r="A122" s="378" t="s">
        <v>4572</v>
      </c>
      <c r="B122" s="322">
        <v>45852.0</v>
      </c>
      <c r="C122" s="379" t="s">
        <v>4550</v>
      </c>
      <c r="D122" s="263" t="s">
        <v>4481</v>
      </c>
      <c r="E122" s="263" t="s">
        <v>4573</v>
      </c>
      <c r="F122" s="380" t="s">
        <v>4574</v>
      </c>
      <c r="G122" s="466" t="s">
        <v>131</v>
      </c>
      <c r="H122" s="267" t="s">
        <v>4485</v>
      </c>
      <c r="I122" s="431"/>
      <c r="J122" s="188"/>
      <c r="Q122" s="431"/>
      <c r="S122" s="387">
        <f t="shared" si="25"/>
        <v>-348.75</v>
      </c>
      <c r="T122" s="448" t="s">
        <v>4598</v>
      </c>
      <c r="U122" s="432"/>
      <c r="V122" s="389">
        <f>sum(AJ122)</f>
        <v>-4.65</v>
      </c>
      <c r="W122" s="449"/>
      <c r="X122" s="228">
        <v>3.0</v>
      </c>
      <c r="Z122" s="436" t="s">
        <v>4624</v>
      </c>
      <c r="AB122" s="394" t="s">
        <v>92</v>
      </c>
      <c r="AC122" s="277" t="s">
        <v>4491</v>
      </c>
      <c r="AD122" s="395">
        <v>0.5388888888888889</v>
      </c>
      <c r="AF122" s="439">
        <v>21.65</v>
      </c>
      <c r="AG122" s="439">
        <v>26.3</v>
      </c>
      <c r="AH122" s="303"/>
      <c r="AI122" s="396"/>
      <c r="AJ122" s="391">
        <f>AF122-AG122</f>
        <v>-4.65</v>
      </c>
      <c r="AK122" s="391">
        <v>75.0</v>
      </c>
      <c r="AM122" s="389">
        <f>AJ122*AK122</f>
        <v>-348.75</v>
      </c>
      <c r="AN122" s="271">
        <v>68.0</v>
      </c>
      <c r="AO122" s="389">
        <f t="shared" si="27"/>
        <v>-416.75</v>
      </c>
    </row>
    <row r="123" ht="22.5" customHeight="1">
      <c r="A123" s="378" t="s">
        <v>4572</v>
      </c>
      <c r="B123" s="322">
        <v>45852.0</v>
      </c>
      <c r="C123" s="379" t="s">
        <v>4550</v>
      </c>
      <c r="D123" s="263" t="s">
        <v>4481</v>
      </c>
      <c r="E123" s="263" t="s">
        <v>4573</v>
      </c>
      <c r="F123" s="380" t="s">
        <v>4574</v>
      </c>
      <c r="G123" s="466" t="s">
        <v>131</v>
      </c>
      <c r="H123" s="267" t="s">
        <v>4485</v>
      </c>
      <c r="I123" s="382">
        <f>sum(S120:S123)</f>
        <v>-138.75</v>
      </c>
      <c r="J123" s="448" t="s">
        <v>4600</v>
      </c>
      <c r="L123" s="228" t="s">
        <v>4625</v>
      </c>
      <c r="M123" s="294" t="s">
        <v>4626</v>
      </c>
      <c r="N123" s="294" t="s">
        <v>4627</v>
      </c>
      <c r="O123" s="294" t="s">
        <v>4628</v>
      </c>
      <c r="P123" s="294" t="s">
        <v>4629</v>
      </c>
      <c r="Q123" s="468">
        <v>154000.0</v>
      </c>
      <c r="R123" s="294" t="s">
        <v>4630</v>
      </c>
      <c r="S123" s="387">
        <f t="shared" si="25"/>
        <v>11.25</v>
      </c>
      <c r="T123" s="450" t="s">
        <v>4604</v>
      </c>
      <c r="U123" s="432"/>
      <c r="V123" s="389">
        <f t="shared" ref="V123:V125" si="38">sum(AI123:AJ123)</f>
        <v>0.15</v>
      </c>
      <c r="W123" s="433">
        <f>I123/Q123</f>
        <v>-0.000900974026</v>
      </c>
      <c r="X123" s="228">
        <v>4.0</v>
      </c>
      <c r="Z123" s="436" t="s">
        <v>4631</v>
      </c>
      <c r="AB123" s="467" t="s">
        <v>4622</v>
      </c>
      <c r="AC123" s="277" t="s">
        <v>4491</v>
      </c>
      <c r="AD123" s="395">
        <v>0.54375</v>
      </c>
      <c r="AF123" s="439">
        <v>1.4</v>
      </c>
      <c r="AG123" s="439">
        <v>1.55</v>
      </c>
      <c r="AH123" s="303"/>
      <c r="AI123" s="396">
        <f>AG123-AF123</f>
        <v>0.15</v>
      </c>
      <c r="AJ123" s="209"/>
      <c r="AK123" s="391">
        <v>75.0</v>
      </c>
      <c r="AL123" s="389">
        <f>AK123*AI123</f>
        <v>11.25</v>
      </c>
      <c r="AN123" s="271">
        <v>68.0</v>
      </c>
      <c r="AO123" s="389">
        <f t="shared" si="27"/>
        <v>-56.75</v>
      </c>
    </row>
    <row r="124" ht="22.5" customHeight="1">
      <c r="A124" s="469" t="s">
        <v>4632</v>
      </c>
      <c r="B124" s="322">
        <v>45852.0</v>
      </c>
      <c r="C124" s="379" t="s">
        <v>4550</v>
      </c>
      <c r="D124" s="263" t="s">
        <v>4481</v>
      </c>
      <c r="E124" s="263" t="s">
        <v>4573</v>
      </c>
      <c r="F124" s="380" t="s">
        <v>4574</v>
      </c>
      <c r="G124" s="466" t="s">
        <v>131</v>
      </c>
      <c r="H124" s="267" t="s">
        <v>4485</v>
      </c>
      <c r="I124" s="431"/>
      <c r="J124" s="188"/>
      <c r="Q124" s="431"/>
      <c r="S124" s="387">
        <f t="shared" si="25"/>
        <v>-45</v>
      </c>
      <c r="T124" s="448" t="s">
        <v>4598</v>
      </c>
      <c r="U124" s="432"/>
      <c r="V124" s="389">
        <f t="shared" si="38"/>
        <v>-0.6</v>
      </c>
      <c r="W124" s="449"/>
      <c r="Z124" s="436" t="s">
        <v>4621</v>
      </c>
      <c r="AB124" s="467" t="s">
        <v>4622</v>
      </c>
      <c r="AC124" s="212" t="s">
        <v>4495</v>
      </c>
      <c r="AF124" s="212" t="s">
        <v>65</v>
      </c>
      <c r="AG124" s="439">
        <v>0.6</v>
      </c>
      <c r="AH124" s="303"/>
      <c r="AI124" s="396"/>
      <c r="AJ124" s="391">
        <f>AG124-AF120</f>
        <v>-0.6</v>
      </c>
      <c r="AK124" s="391">
        <v>75.0</v>
      </c>
      <c r="AM124" s="389">
        <f>AJ124*AK124</f>
        <v>-45</v>
      </c>
      <c r="AN124" s="271">
        <v>68.0</v>
      </c>
      <c r="AO124" s="389">
        <f t="shared" si="27"/>
        <v>-113</v>
      </c>
    </row>
    <row r="125" ht="22.5" customHeight="1">
      <c r="A125" s="469" t="s">
        <v>4632</v>
      </c>
      <c r="B125" s="322">
        <v>45852.0</v>
      </c>
      <c r="C125" s="379" t="s">
        <v>4550</v>
      </c>
      <c r="D125" s="263" t="s">
        <v>4481</v>
      </c>
      <c r="E125" s="263" t="s">
        <v>4573</v>
      </c>
      <c r="F125" s="380" t="s">
        <v>4574</v>
      </c>
      <c r="G125" s="466" t="s">
        <v>131</v>
      </c>
      <c r="H125" s="267" t="s">
        <v>4485</v>
      </c>
      <c r="I125" s="431"/>
      <c r="J125" s="188"/>
      <c r="Q125" s="431"/>
      <c r="S125" s="387">
        <f t="shared" si="25"/>
        <v>630</v>
      </c>
      <c r="T125" s="450" t="s">
        <v>4604</v>
      </c>
      <c r="U125" s="432"/>
      <c r="V125" s="389">
        <f t="shared" si="38"/>
        <v>8.4</v>
      </c>
      <c r="W125" s="449"/>
      <c r="Z125" s="436" t="s">
        <v>4623</v>
      </c>
      <c r="AB125" s="394" t="s">
        <v>92</v>
      </c>
      <c r="AC125" s="212" t="s">
        <v>4495</v>
      </c>
      <c r="AF125" s="212" t="s">
        <v>65</v>
      </c>
      <c r="AG125" s="439">
        <v>2.0</v>
      </c>
      <c r="AH125" s="303"/>
      <c r="AI125" s="396">
        <f>AF121-AG125</f>
        <v>8.4</v>
      </c>
      <c r="AJ125" s="209"/>
      <c r="AK125" s="391">
        <v>75.0</v>
      </c>
      <c r="AL125" s="389">
        <f>AK125*AI125</f>
        <v>630</v>
      </c>
      <c r="AN125" s="271">
        <v>68.0</v>
      </c>
      <c r="AO125" s="389">
        <f t="shared" si="27"/>
        <v>562</v>
      </c>
    </row>
    <row r="126" ht="22.5" customHeight="1">
      <c r="A126" s="469" t="s">
        <v>4632</v>
      </c>
      <c r="B126" s="322">
        <v>45852.0</v>
      </c>
      <c r="C126" s="379" t="s">
        <v>4550</v>
      </c>
      <c r="D126" s="263" t="s">
        <v>4481</v>
      </c>
      <c r="E126" s="263" t="s">
        <v>4573</v>
      </c>
      <c r="F126" s="380" t="s">
        <v>4574</v>
      </c>
      <c r="G126" s="466" t="s">
        <v>131</v>
      </c>
      <c r="H126" s="267" t="s">
        <v>4485</v>
      </c>
      <c r="I126" s="431"/>
      <c r="J126" s="188"/>
      <c r="Q126" s="431"/>
      <c r="S126" s="387">
        <f t="shared" si="25"/>
        <v>-243.75</v>
      </c>
      <c r="T126" s="448" t="s">
        <v>4598</v>
      </c>
      <c r="U126" s="432"/>
      <c r="V126" s="389">
        <f>sum(AJ126)</f>
        <v>-3.25</v>
      </c>
      <c r="W126" s="449"/>
      <c r="Z126" s="456" t="s">
        <v>4624</v>
      </c>
      <c r="AB126" s="394" t="s">
        <v>92</v>
      </c>
      <c r="AC126" s="277" t="s">
        <v>4491</v>
      </c>
      <c r="AF126" s="212" t="s">
        <v>65</v>
      </c>
      <c r="AG126" s="439">
        <v>24.9</v>
      </c>
      <c r="AH126" s="303"/>
      <c r="AI126" s="453"/>
      <c r="AJ126" s="391">
        <f>AF122-AG126</f>
        <v>-3.25</v>
      </c>
      <c r="AK126" s="391">
        <v>75.0</v>
      </c>
      <c r="AM126" s="389">
        <f>AK126*AJ126</f>
        <v>-243.75</v>
      </c>
      <c r="AN126" s="271">
        <v>68.0</v>
      </c>
      <c r="AO126" s="389">
        <f t="shared" si="27"/>
        <v>-311.75</v>
      </c>
    </row>
    <row r="127" ht="22.5" customHeight="1">
      <c r="A127" s="469" t="s">
        <v>4632</v>
      </c>
      <c r="B127" s="322">
        <v>45852.0</v>
      </c>
      <c r="C127" s="379" t="s">
        <v>4550</v>
      </c>
      <c r="D127" s="263" t="s">
        <v>4481</v>
      </c>
      <c r="E127" s="263" t="s">
        <v>4573</v>
      </c>
      <c r="F127" s="380" t="s">
        <v>4574</v>
      </c>
      <c r="G127" s="466" t="s">
        <v>131</v>
      </c>
      <c r="H127" s="267" t="s">
        <v>4485</v>
      </c>
      <c r="I127" s="382">
        <f>sum(S124:S127)</f>
        <v>281.25</v>
      </c>
      <c r="J127" s="454" t="s">
        <v>4606</v>
      </c>
      <c r="M127" s="294" t="s">
        <v>4633</v>
      </c>
      <c r="N127" s="294" t="s">
        <v>4634</v>
      </c>
      <c r="O127" s="294" t="s">
        <v>4635</v>
      </c>
      <c r="P127" s="294" t="s">
        <v>4636</v>
      </c>
      <c r="Q127" s="228" t="s">
        <v>65</v>
      </c>
      <c r="S127" s="387">
        <f t="shared" si="25"/>
        <v>-60</v>
      </c>
      <c r="T127" s="448" t="s">
        <v>4598</v>
      </c>
      <c r="U127" s="432"/>
      <c r="V127" s="389">
        <f t="shared" ref="V127:V129" si="39">sum(AI127:AJ127)</f>
        <v>-0.8</v>
      </c>
      <c r="W127" s="433">
        <f>I127/Q123</f>
        <v>0.001826298701</v>
      </c>
      <c r="Z127" s="457" t="s">
        <v>4631</v>
      </c>
      <c r="AB127" s="467" t="s">
        <v>4622</v>
      </c>
      <c r="AC127" s="277" t="s">
        <v>4491</v>
      </c>
      <c r="AF127" s="212" t="s">
        <v>65</v>
      </c>
      <c r="AG127" s="439">
        <v>0.6</v>
      </c>
      <c r="AH127" s="303"/>
      <c r="AI127" s="396"/>
      <c r="AJ127" s="391">
        <f>AG127-AF123</f>
        <v>-0.8</v>
      </c>
      <c r="AK127" s="391">
        <v>75.0</v>
      </c>
      <c r="AL127" s="389">
        <f>AJ127*AK127</f>
        <v>-60</v>
      </c>
      <c r="AN127" s="271">
        <v>68.0</v>
      </c>
      <c r="AO127" s="389">
        <f t="shared" si="27"/>
        <v>-128</v>
      </c>
    </row>
    <row r="128" ht="22.5" customHeight="1">
      <c r="A128" s="451" t="s">
        <v>4605</v>
      </c>
      <c r="B128" s="322">
        <v>45852.0</v>
      </c>
      <c r="C128" s="379" t="s">
        <v>4550</v>
      </c>
      <c r="D128" s="263" t="s">
        <v>4481</v>
      </c>
      <c r="E128" s="263" t="s">
        <v>4573</v>
      </c>
      <c r="F128" s="380" t="s">
        <v>4574</v>
      </c>
      <c r="G128" s="466" t="s">
        <v>131</v>
      </c>
      <c r="H128" s="267" t="s">
        <v>4485</v>
      </c>
      <c r="I128" s="470"/>
      <c r="J128" s="471"/>
      <c r="K128" s="472"/>
      <c r="L128" s="472"/>
      <c r="M128" s="472"/>
      <c r="N128" s="472"/>
      <c r="O128" s="472"/>
      <c r="P128" s="472"/>
      <c r="Q128" s="470"/>
      <c r="R128" s="472"/>
      <c r="S128" s="387">
        <f t="shared" si="25"/>
        <v>-63.75</v>
      </c>
      <c r="T128" s="448" t="s">
        <v>4598</v>
      </c>
      <c r="U128" s="473"/>
      <c r="V128" s="389">
        <f t="shared" si="39"/>
        <v>-0.85</v>
      </c>
      <c r="W128" s="474"/>
      <c r="X128" s="472"/>
      <c r="Y128" s="472"/>
      <c r="Z128" s="436" t="s">
        <v>4621</v>
      </c>
      <c r="AA128" s="472"/>
      <c r="AB128" s="467" t="s">
        <v>4622</v>
      </c>
      <c r="AC128" s="212" t="s">
        <v>4495</v>
      </c>
      <c r="AD128" s="472"/>
      <c r="AE128" s="472"/>
      <c r="AF128" s="475" t="s">
        <v>65</v>
      </c>
      <c r="AG128" s="475">
        <v>0.35</v>
      </c>
      <c r="AH128" s="476"/>
      <c r="AI128" s="477">
        <f>AG128-AF120</f>
        <v>-0.85</v>
      </c>
      <c r="AJ128" s="209"/>
      <c r="AK128" s="391">
        <v>75.0</v>
      </c>
      <c r="AL128" s="389">
        <f t="shared" ref="AL128:AL135" si="40">AK128*AI128</f>
        <v>-63.75</v>
      </c>
      <c r="AN128" s="271">
        <v>68.0</v>
      </c>
      <c r="AO128" s="389">
        <f t="shared" si="27"/>
        <v>-131.75</v>
      </c>
      <c r="AP128" s="472"/>
      <c r="AQ128" s="472"/>
      <c r="AR128" s="472"/>
      <c r="AS128" s="478"/>
      <c r="AT128" s="478"/>
      <c r="AU128" s="478"/>
      <c r="AV128" s="478"/>
      <c r="AW128" s="478"/>
      <c r="AX128" s="478"/>
      <c r="AY128" s="478"/>
      <c r="AZ128" s="478"/>
      <c r="BA128" s="478"/>
      <c r="BB128" s="478"/>
      <c r="BC128" s="478"/>
      <c r="BD128" s="478"/>
      <c r="BE128" s="478"/>
      <c r="BF128" s="478"/>
      <c r="BG128" s="478"/>
      <c r="BH128" s="478"/>
      <c r="BI128" s="478"/>
      <c r="BJ128" s="478"/>
      <c r="BK128" s="478"/>
      <c r="BL128" s="478"/>
      <c r="BM128" s="478"/>
      <c r="BN128" s="478"/>
      <c r="BO128" s="478"/>
      <c r="BP128" s="478"/>
      <c r="BQ128" s="478"/>
    </row>
    <row r="129" ht="22.5" customHeight="1">
      <c r="A129" s="451" t="s">
        <v>4605</v>
      </c>
      <c r="B129" s="322">
        <v>45852.0</v>
      </c>
      <c r="C129" s="379" t="s">
        <v>4550</v>
      </c>
      <c r="D129" s="263" t="s">
        <v>4481</v>
      </c>
      <c r="E129" s="263" t="s">
        <v>4573</v>
      </c>
      <c r="F129" s="380" t="s">
        <v>4574</v>
      </c>
      <c r="G129" s="466" t="s">
        <v>131</v>
      </c>
      <c r="H129" s="267" t="s">
        <v>4485</v>
      </c>
      <c r="I129" s="479"/>
      <c r="J129" s="480"/>
      <c r="K129" s="481"/>
      <c r="L129" s="481"/>
      <c r="M129" s="482"/>
      <c r="N129" s="482"/>
      <c r="O129" s="482"/>
      <c r="P129" s="482"/>
      <c r="Q129" s="479"/>
      <c r="R129" s="481"/>
      <c r="S129" s="387">
        <f t="shared" si="25"/>
        <v>690</v>
      </c>
      <c r="T129" s="450" t="s">
        <v>4604</v>
      </c>
      <c r="U129" s="483"/>
      <c r="V129" s="389">
        <f t="shared" si="39"/>
        <v>9.2</v>
      </c>
      <c r="W129" s="484"/>
      <c r="X129" s="481"/>
      <c r="Y129" s="481"/>
      <c r="Z129" s="436" t="s">
        <v>4623</v>
      </c>
      <c r="AA129" s="481"/>
      <c r="AB129" s="394" t="s">
        <v>92</v>
      </c>
      <c r="AC129" s="212" t="s">
        <v>4495</v>
      </c>
      <c r="AD129" s="481"/>
      <c r="AE129" s="481"/>
      <c r="AF129" s="485" t="s">
        <v>65</v>
      </c>
      <c r="AG129" s="485">
        <v>1.2</v>
      </c>
      <c r="AH129" s="486"/>
      <c r="AI129" s="477">
        <f t="shared" ref="AI129:AI130" si="41">AF121-AG129</f>
        <v>9.2</v>
      </c>
      <c r="AJ129" s="209"/>
      <c r="AK129" s="391">
        <v>75.0</v>
      </c>
      <c r="AL129" s="389">
        <f t="shared" si="40"/>
        <v>690</v>
      </c>
      <c r="AN129" s="271">
        <v>68.0</v>
      </c>
      <c r="AO129" s="389">
        <f t="shared" si="27"/>
        <v>622</v>
      </c>
      <c r="AP129" s="481"/>
      <c r="AQ129" s="481"/>
      <c r="AR129" s="481"/>
      <c r="AS129" s="487"/>
      <c r="AT129" s="487"/>
      <c r="AU129" s="487"/>
      <c r="AV129" s="487"/>
      <c r="AW129" s="487"/>
      <c r="AX129" s="487"/>
      <c r="AY129" s="487"/>
      <c r="AZ129" s="487"/>
      <c r="BA129" s="487"/>
      <c r="BB129" s="487"/>
      <c r="BC129" s="487"/>
      <c r="BD129" s="487"/>
      <c r="BE129" s="487"/>
      <c r="BF129" s="487"/>
      <c r="BG129" s="487"/>
      <c r="BH129" s="487"/>
      <c r="BI129" s="487"/>
      <c r="BJ129" s="487"/>
      <c r="BK129" s="487"/>
      <c r="BL129" s="487"/>
      <c r="BM129" s="487"/>
      <c r="BN129" s="487"/>
      <c r="BO129" s="487"/>
      <c r="BP129" s="487"/>
      <c r="BQ129" s="487"/>
    </row>
    <row r="130" ht="22.5" customHeight="1">
      <c r="A130" s="451" t="s">
        <v>4605</v>
      </c>
      <c r="B130" s="322">
        <v>45852.0</v>
      </c>
      <c r="C130" s="379" t="s">
        <v>4550</v>
      </c>
      <c r="D130" s="263" t="s">
        <v>4481</v>
      </c>
      <c r="E130" s="263" t="s">
        <v>4573</v>
      </c>
      <c r="F130" s="380" t="s">
        <v>4574</v>
      </c>
      <c r="G130" s="466" t="s">
        <v>131</v>
      </c>
      <c r="H130" s="267" t="s">
        <v>4485</v>
      </c>
      <c r="I130" s="488"/>
      <c r="J130" s="489"/>
      <c r="K130" s="490"/>
      <c r="L130" s="490"/>
      <c r="M130" s="491"/>
      <c r="N130" s="491"/>
      <c r="O130" s="491"/>
      <c r="P130" s="491"/>
      <c r="Q130" s="488"/>
      <c r="R130" s="490"/>
      <c r="S130" s="387">
        <f t="shared" si="25"/>
        <v>915</v>
      </c>
      <c r="T130" s="450" t="s">
        <v>4604</v>
      </c>
      <c r="U130" s="492"/>
      <c r="V130" s="389">
        <f>sum(AJ130)</f>
        <v>0</v>
      </c>
      <c r="W130" s="493"/>
      <c r="X130" s="490"/>
      <c r="Y130" s="490"/>
      <c r="Z130" s="456" t="s">
        <v>4624</v>
      </c>
      <c r="AA130" s="490"/>
      <c r="AB130" s="394" t="s">
        <v>92</v>
      </c>
      <c r="AC130" s="277" t="s">
        <v>4491</v>
      </c>
      <c r="AD130" s="490"/>
      <c r="AE130" s="490"/>
      <c r="AF130" s="494" t="s">
        <v>65</v>
      </c>
      <c r="AG130" s="494">
        <v>9.45</v>
      </c>
      <c r="AH130" s="495"/>
      <c r="AI130" s="496">
        <f t="shared" si="41"/>
        <v>12.2</v>
      </c>
      <c r="AJ130" s="209"/>
      <c r="AK130" s="391">
        <v>75.0</v>
      </c>
      <c r="AL130" s="389">
        <f t="shared" si="40"/>
        <v>915</v>
      </c>
      <c r="AN130" s="271">
        <v>68.0</v>
      </c>
      <c r="AO130" s="389">
        <f t="shared" si="27"/>
        <v>847</v>
      </c>
      <c r="AP130" s="490"/>
      <c r="AQ130" s="490"/>
      <c r="AR130" s="490"/>
      <c r="AS130" s="497"/>
      <c r="AT130" s="497"/>
      <c r="AU130" s="497"/>
      <c r="AV130" s="497"/>
      <c r="AW130" s="497"/>
      <c r="AX130" s="497"/>
      <c r="AY130" s="497"/>
      <c r="AZ130" s="497"/>
      <c r="BA130" s="497"/>
      <c r="BB130" s="497"/>
      <c r="BC130" s="497"/>
      <c r="BD130" s="497"/>
      <c r="BE130" s="497"/>
      <c r="BF130" s="497"/>
      <c r="BG130" s="497"/>
      <c r="BH130" s="497"/>
      <c r="BI130" s="497"/>
      <c r="BJ130" s="497"/>
      <c r="BK130" s="497"/>
      <c r="BL130" s="497"/>
      <c r="BM130" s="497"/>
      <c r="BN130" s="497"/>
      <c r="BO130" s="497"/>
      <c r="BP130" s="497"/>
      <c r="BQ130" s="497"/>
    </row>
    <row r="131" ht="22.5" customHeight="1">
      <c r="A131" s="451" t="s">
        <v>4605</v>
      </c>
      <c r="B131" s="322">
        <v>45852.0</v>
      </c>
      <c r="C131" s="379" t="s">
        <v>4550</v>
      </c>
      <c r="D131" s="263" t="s">
        <v>4481</v>
      </c>
      <c r="E131" s="263" t="s">
        <v>4573</v>
      </c>
      <c r="F131" s="380" t="s">
        <v>4574</v>
      </c>
      <c r="G131" s="466" t="s">
        <v>131</v>
      </c>
      <c r="H131" s="267" t="s">
        <v>4485</v>
      </c>
      <c r="I131" s="382">
        <f>sum(S128:S131)</f>
        <v>1473.75</v>
      </c>
      <c r="J131" s="454" t="s">
        <v>4606</v>
      </c>
      <c r="K131" s="487"/>
      <c r="L131" s="487"/>
      <c r="M131" s="498" t="s">
        <v>4637</v>
      </c>
      <c r="N131" s="498" t="s">
        <v>4638</v>
      </c>
      <c r="O131" s="498" t="s">
        <v>4639</v>
      </c>
      <c r="P131" s="499"/>
      <c r="Q131" s="500"/>
      <c r="R131" s="487"/>
      <c r="S131" s="387">
        <f t="shared" si="25"/>
        <v>-67.5</v>
      </c>
      <c r="T131" s="448" t="s">
        <v>4598</v>
      </c>
      <c r="U131" s="501"/>
      <c r="V131" s="389">
        <f>sum(AI131:AJ131)</f>
        <v>-0.9</v>
      </c>
      <c r="W131" s="502">
        <f>I131/Q123</f>
        <v>0.009569805195</v>
      </c>
      <c r="X131" s="487"/>
      <c r="Y131" s="487"/>
      <c r="Z131" s="457" t="s">
        <v>4631</v>
      </c>
      <c r="AA131" s="487"/>
      <c r="AB131" s="467" t="s">
        <v>4622</v>
      </c>
      <c r="AC131" s="277" t="s">
        <v>4491</v>
      </c>
      <c r="AD131" s="487"/>
      <c r="AE131" s="487"/>
      <c r="AF131" s="503" t="s">
        <v>65</v>
      </c>
      <c r="AG131" s="503">
        <v>0.5</v>
      </c>
      <c r="AH131" s="504"/>
      <c r="AI131" s="505">
        <f>AG131-AF123</f>
        <v>-0.9</v>
      </c>
      <c r="AJ131" s="209"/>
      <c r="AK131" s="391">
        <v>75.0</v>
      </c>
      <c r="AL131" s="389">
        <f t="shared" si="40"/>
        <v>-67.5</v>
      </c>
      <c r="AN131" s="271">
        <v>68.0</v>
      </c>
      <c r="AO131" s="389">
        <f t="shared" si="27"/>
        <v>-135.5</v>
      </c>
      <c r="AP131" s="487"/>
      <c r="AQ131" s="487"/>
      <c r="AR131" s="487"/>
      <c r="AS131" s="487"/>
      <c r="AT131" s="487"/>
      <c r="AU131" s="487"/>
      <c r="AV131" s="487"/>
      <c r="AW131" s="487"/>
      <c r="AX131" s="487"/>
      <c r="AY131" s="487"/>
      <c r="AZ131" s="487"/>
      <c r="BA131" s="487"/>
      <c r="BB131" s="487"/>
      <c r="BC131" s="487"/>
      <c r="BD131" s="487"/>
      <c r="BE131" s="487"/>
      <c r="BF131" s="487"/>
      <c r="BG131" s="487"/>
      <c r="BH131" s="487"/>
      <c r="BI131" s="487"/>
      <c r="BJ131" s="487"/>
      <c r="BK131" s="487"/>
      <c r="BL131" s="487"/>
      <c r="BM131" s="487"/>
      <c r="BN131" s="487"/>
      <c r="BO131" s="487"/>
      <c r="BP131" s="487"/>
      <c r="BQ131" s="487"/>
    </row>
    <row r="132" ht="22.5" customHeight="1">
      <c r="A132" s="455" t="s">
        <v>4611</v>
      </c>
      <c r="B132" s="322">
        <v>45852.0</v>
      </c>
      <c r="C132" s="379" t="s">
        <v>4550</v>
      </c>
      <c r="D132" s="263" t="s">
        <v>4481</v>
      </c>
      <c r="E132" s="263" t="s">
        <v>4573</v>
      </c>
      <c r="F132" s="380" t="s">
        <v>4574</v>
      </c>
      <c r="G132" s="466" t="s">
        <v>131</v>
      </c>
      <c r="H132" s="267" t="s">
        <v>4485</v>
      </c>
      <c r="I132" s="431"/>
      <c r="J132" s="188"/>
      <c r="Q132" s="431"/>
      <c r="S132" s="387">
        <f t="shared" si="25"/>
        <v>-86.25</v>
      </c>
      <c r="T132" s="506" t="s">
        <v>4487</v>
      </c>
      <c r="U132" s="432"/>
      <c r="V132" s="209"/>
      <c r="W132" s="449"/>
      <c r="Z132" s="436" t="s">
        <v>4621</v>
      </c>
      <c r="AA132" s="472"/>
      <c r="AB132" s="467" t="s">
        <v>4622</v>
      </c>
      <c r="AC132" s="212" t="s">
        <v>4495</v>
      </c>
      <c r="AF132" s="453"/>
      <c r="AG132" s="439">
        <v>0.05</v>
      </c>
      <c r="AH132" s="303"/>
      <c r="AI132" s="453">
        <f>AG132-AF120</f>
        <v>-1.15</v>
      </c>
      <c r="AJ132" s="209"/>
      <c r="AK132" s="391">
        <v>75.0</v>
      </c>
      <c r="AL132" s="389">
        <f t="shared" si="40"/>
        <v>-86.25</v>
      </c>
      <c r="AN132" s="271">
        <v>68.0</v>
      </c>
      <c r="AO132" s="389">
        <f t="shared" si="27"/>
        <v>-154.25</v>
      </c>
    </row>
    <row r="133" ht="22.5" customHeight="1">
      <c r="A133" s="455" t="s">
        <v>4611</v>
      </c>
      <c r="B133" s="322">
        <v>45852.0</v>
      </c>
      <c r="C133" s="379" t="s">
        <v>4550</v>
      </c>
      <c r="D133" s="263" t="s">
        <v>4481</v>
      </c>
      <c r="E133" s="263" t="s">
        <v>4573</v>
      </c>
      <c r="F133" s="380" t="s">
        <v>4574</v>
      </c>
      <c r="G133" s="466" t="s">
        <v>131</v>
      </c>
      <c r="H133" s="267" t="s">
        <v>4485</v>
      </c>
      <c r="I133" s="431"/>
      <c r="J133" s="188"/>
      <c r="Q133" s="431"/>
      <c r="S133" s="387">
        <f t="shared" si="25"/>
        <v>776.25</v>
      </c>
      <c r="T133" s="450" t="s">
        <v>4604</v>
      </c>
      <c r="U133" s="432"/>
      <c r="V133" s="209"/>
      <c r="W133" s="449"/>
      <c r="Z133" s="436" t="s">
        <v>4623</v>
      </c>
      <c r="AA133" s="481"/>
      <c r="AB133" s="394" t="s">
        <v>92</v>
      </c>
      <c r="AC133" s="212" t="s">
        <v>4495</v>
      </c>
      <c r="AF133" s="453"/>
      <c r="AG133" s="439">
        <v>0.05</v>
      </c>
      <c r="AH133" s="303"/>
      <c r="AI133" s="453">
        <f t="shared" ref="AI133:AI134" si="42">AF121-AG133</f>
        <v>10.35</v>
      </c>
      <c r="AJ133" s="209"/>
      <c r="AK133" s="391">
        <v>75.0</v>
      </c>
      <c r="AL133" s="389">
        <f t="shared" si="40"/>
        <v>776.25</v>
      </c>
      <c r="AN133" s="271">
        <v>68.0</v>
      </c>
      <c r="AO133" s="389">
        <f t="shared" si="27"/>
        <v>708.25</v>
      </c>
    </row>
    <row r="134" ht="22.5" customHeight="1">
      <c r="A134" s="455" t="s">
        <v>4611</v>
      </c>
      <c r="B134" s="322">
        <v>45852.0</v>
      </c>
      <c r="C134" s="379" t="s">
        <v>4550</v>
      </c>
      <c r="D134" s="263" t="s">
        <v>4481</v>
      </c>
      <c r="E134" s="263" t="s">
        <v>4573</v>
      </c>
      <c r="F134" s="380" t="s">
        <v>4574</v>
      </c>
      <c r="G134" s="466" t="s">
        <v>131</v>
      </c>
      <c r="H134" s="267" t="s">
        <v>4485</v>
      </c>
      <c r="I134" s="431"/>
      <c r="J134" s="188"/>
      <c r="Q134" s="431"/>
      <c r="S134" s="387">
        <f t="shared" si="25"/>
        <v>1620</v>
      </c>
      <c r="T134" s="450" t="s">
        <v>4604</v>
      </c>
      <c r="U134" s="432"/>
      <c r="V134" s="209"/>
      <c r="W134" s="449"/>
      <c r="Z134" s="456" t="s">
        <v>4624</v>
      </c>
      <c r="AA134" s="490"/>
      <c r="AB134" s="394" t="s">
        <v>92</v>
      </c>
      <c r="AC134" s="277" t="s">
        <v>4491</v>
      </c>
      <c r="AF134" s="453"/>
      <c r="AG134" s="439">
        <v>0.05</v>
      </c>
      <c r="AH134" s="303"/>
      <c r="AI134" s="453">
        <f t="shared" si="42"/>
        <v>21.6</v>
      </c>
      <c r="AJ134" s="209"/>
      <c r="AK134" s="391">
        <v>75.0</v>
      </c>
      <c r="AL134" s="389">
        <f t="shared" si="40"/>
        <v>1620</v>
      </c>
      <c r="AN134" s="271">
        <v>68.0</v>
      </c>
      <c r="AO134" s="389">
        <f t="shared" si="27"/>
        <v>1552</v>
      </c>
    </row>
    <row r="135" ht="22.5" customHeight="1">
      <c r="A135" s="507" t="s">
        <v>4611</v>
      </c>
      <c r="B135" s="401">
        <v>45852.0</v>
      </c>
      <c r="C135" s="402" t="s">
        <v>4550</v>
      </c>
      <c r="D135" s="403" t="s">
        <v>4481</v>
      </c>
      <c r="E135" s="403" t="s">
        <v>4573</v>
      </c>
      <c r="F135" s="404" t="s">
        <v>4574</v>
      </c>
      <c r="G135" s="508" t="s">
        <v>131</v>
      </c>
      <c r="H135" s="406" t="s">
        <v>4485</v>
      </c>
      <c r="I135" s="407">
        <f>sum(S132:S135)</f>
        <v>2208.75</v>
      </c>
      <c r="J135" s="408" t="s">
        <v>4506</v>
      </c>
      <c r="K135" s="420"/>
      <c r="L135" s="420"/>
      <c r="M135" s="411" t="s">
        <v>4640</v>
      </c>
      <c r="N135" s="420"/>
      <c r="O135" s="420"/>
      <c r="P135" s="420"/>
      <c r="Q135" s="509"/>
      <c r="R135" s="420"/>
      <c r="S135" s="414">
        <f t="shared" si="25"/>
        <v>-101.25</v>
      </c>
      <c r="T135" s="510" t="s">
        <v>4487</v>
      </c>
      <c r="U135" s="416"/>
      <c r="V135" s="445"/>
      <c r="W135" s="463"/>
      <c r="X135" s="420"/>
      <c r="Y135" s="420"/>
      <c r="Z135" s="464" t="s">
        <v>4631</v>
      </c>
      <c r="AA135" s="511"/>
      <c r="AB135" s="512" t="s">
        <v>4622</v>
      </c>
      <c r="AC135" s="424" t="s">
        <v>4491</v>
      </c>
      <c r="AD135" s="420"/>
      <c r="AE135" s="420"/>
      <c r="AF135" s="513"/>
      <c r="AG135" s="444">
        <v>0.05</v>
      </c>
      <c r="AH135" s="465"/>
      <c r="AI135" s="513">
        <f>AG135-AF123</f>
        <v>-1.35</v>
      </c>
      <c r="AJ135" s="445"/>
      <c r="AK135" s="419">
        <v>75.0</v>
      </c>
      <c r="AL135" s="417">
        <f t="shared" si="40"/>
        <v>-101.25</v>
      </c>
      <c r="AM135" s="420"/>
      <c r="AN135" s="428">
        <v>68.0</v>
      </c>
      <c r="AO135" s="417">
        <f t="shared" si="27"/>
        <v>-169.25</v>
      </c>
      <c r="AP135" s="420"/>
      <c r="AQ135" s="420"/>
      <c r="AR135" s="420"/>
    </row>
    <row r="136" ht="22.5" customHeight="1">
      <c r="A136" s="378" t="s">
        <v>4572</v>
      </c>
      <c r="B136" s="261">
        <v>45853.0</v>
      </c>
      <c r="C136" s="379" t="s">
        <v>4550</v>
      </c>
      <c r="D136" s="263" t="s">
        <v>4481</v>
      </c>
      <c r="E136" s="263" t="s">
        <v>4573</v>
      </c>
      <c r="F136" s="380" t="s">
        <v>4574</v>
      </c>
      <c r="G136" s="466" t="s">
        <v>131</v>
      </c>
      <c r="H136" s="267" t="s">
        <v>4485</v>
      </c>
      <c r="I136" s="431"/>
      <c r="J136" s="188"/>
      <c r="Q136" s="431"/>
      <c r="S136" s="387">
        <f t="shared" si="25"/>
        <v>-22.5</v>
      </c>
      <c r="T136" s="448" t="s">
        <v>4598</v>
      </c>
      <c r="U136" s="432"/>
      <c r="V136" s="389">
        <f t="shared" ref="V136:V137" si="43">sum(AI136:AJ136)</f>
        <v>-0.3</v>
      </c>
      <c r="W136" s="449"/>
      <c r="X136" s="228">
        <v>1.0</v>
      </c>
      <c r="Z136" s="434" t="s">
        <v>4641</v>
      </c>
      <c r="AB136" s="467" t="s">
        <v>4622</v>
      </c>
      <c r="AC136" s="212" t="s">
        <v>4495</v>
      </c>
      <c r="AD136" s="395">
        <v>0.47291666666666665</v>
      </c>
      <c r="AF136" s="439">
        <v>0.7</v>
      </c>
      <c r="AG136" s="439">
        <v>0.4</v>
      </c>
      <c r="AH136" s="303"/>
      <c r="AI136" s="453">
        <f>AG136-AF136</f>
        <v>-0.3</v>
      </c>
      <c r="AJ136" s="209"/>
      <c r="AK136" s="391">
        <v>75.0</v>
      </c>
      <c r="AM136" s="389">
        <f>AK136*AI136</f>
        <v>-22.5</v>
      </c>
      <c r="AN136" s="271">
        <v>68.0</v>
      </c>
      <c r="AO136" s="389">
        <f t="shared" si="27"/>
        <v>-90.5</v>
      </c>
    </row>
    <row r="137" ht="22.5" customHeight="1">
      <c r="A137" s="378" t="s">
        <v>4572</v>
      </c>
      <c r="B137" s="322">
        <v>45853.0</v>
      </c>
      <c r="C137" s="379" t="s">
        <v>4550</v>
      </c>
      <c r="D137" s="263" t="s">
        <v>4481</v>
      </c>
      <c r="E137" s="263" t="s">
        <v>4573</v>
      </c>
      <c r="F137" s="380" t="s">
        <v>4574</v>
      </c>
      <c r="G137" s="466" t="s">
        <v>131</v>
      </c>
      <c r="H137" s="267" t="s">
        <v>4485</v>
      </c>
      <c r="I137" s="431"/>
      <c r="J137" s="188"/>
      <c r="Q137" s="431"/>
      <c r="S137" s="387">
        <f t="shared" si="25"/>
        <v>438.75</v>
      </c>
      <c r="T137" s="450" t="s">
        <v>4604</v>
      </c>
      <c r="U137" s="432"/>
      <c r="V137" s="389">
        <f t="shared" si="43"/>
        <v>5.85</v>
      </c>
      <c r="W137" s="449"/>
      <c r="X137" s="228">
        <v>2.0</v>
      </c>
      <c r="Z137" s="436" t="s">
        <v>4642</v>
      </c>
      <c r="AB137" s="394" t="s">
        <v>92</v>
      </c>
      <c r="AC137" s="212" t="s">
        <v>4495</v>
      </c>
      <c r="AD137" s="395">
        <v>0.47291666666666665</v>
      </c>
      <c r="AF137" s="439">
        <v>15.05</v>
      </c>
      <c r="AG137" s="439">
        <v>9.2</v>
      </c>
      <c r="AH137" s="303"/>
      <c r="AI137" s="453">
        <f t="shared" ref="AI137:AI138" si="44">AF137-AG137</f>
        <v>5.85</v>
      </c>
      <c r="AJ137" s="209"/>
      <c r="AK137" s="391">
        <v>75.0</v>
      </c>
      <c r="AL137" s="389">
        <f t="shared" ref="AL137:AL143" si="45">AK137*AI137</f>
        <v>438.75</v>
      </c>
      <c r="AN137" s="271">
        <v>68.0</v>
      </c>
      <c r="AO137" s="389">
        <f t="shared" si="27"/>
        <v>370.75</v>
      </c>
    </row>
    <row r="138" ht="22.5" customHeight="1">
      <c r="A138" s="378" t="s">
        <v>4572</v>
      </c>
      <c r="B138" s="322">
        <v>45853.0</v>
      </c>
      <c r="C138" s="379" t="s">
        <v>4550</v>
      </c>
      <c r="D138" s="263" t="s">
        <v>4481</v>
      </c>
      <c r="E138" s="263" t="s">
        <v>4573</v>
      </c>
      <c r="F138" s="380" t="s">
        <v>4574</v>
      </c>
      <c r="G138" s="466" t="s">
        <v>131</v>
      </c>
      <c r="H138" s="267" t="s">
        <v>4485</v>
      </c>
      <c r="I138" s="431"/>
      <c r="J138" s="188"/>
      <c r="Q138" s="431"/>
      <c r="S138" s="387">
        <f t="shared" si="25"/>
        <v>157.5</v>
      </c>
      <c r="T138" s="450" t="s">
        <v>4604</v>
      </c>
      <c r="U138" s="432"/>
      <c r="V138" s="389">
        <f>sum(AJ138)</f>
        <v>0</v>
      </c>
      <c r="W138" s="449"/>
      <c r="X138" s="228">
        <v>3.0</v>
      </c>
      <c r="Z138" s="436" t="s">
        <v>4643</v>
      </c>
      <c r="AB138" s="394" t="s">
        <v>92</v>
      </c>
      <c r="AC138" s="277" t="s">
        <v>4491</v>
      </c>
      <c r="AD138" s="395">
        <v>0.47291666666666665</v>
      </c>
      <c r="AF138" s="439">
        <v>14.25</v>
      </c>
      <c r="AG138" s="439">
        <v>12.15</v>
      </c>
      <c r="AH138" s="303"/>
      <c r="AI138" s="453">
        <f t="shared" si="44"/>
        <v>2.1</v>
      </c>
      <c r="AJ138" s="209"/>
      <c r="AK138" s="391">
        <v>75.0</v>
      </c>
      <c r="AL138" s="389">
        <f t="shared" si="45"/>
        <v>157.5</v>
      </c>
      <c r="AN138" s="271">
        <v>68.0</v>
      </c>
      <c r="AO138" s="389">
        <f t="shared" si="27"/>
        <v>89.5</v>
      </c>
    </row>
    <row r="139" ht="22.5" customHeight="1">
      <c r="A139" s="378" t="s">
        <v>4572</v>
      </c>
      <c r="B139" s="322">
        <v>45853.0</v>
      </c>
      <c r="C139" s="379" t="s">
        <v>4550</v>
      </c>
      <c r="D139" s="263" t="s">
        <v>4481</v>
      </c>
      <c r="E139" s="263" t="s">
        <v>4573</v>
      </c>
      <c r="F139" s="380" t="s">
        <v>4574</v>
      </c>
      <c r="G139" s="466" t="s">
        <v>131</v>
      </c>
      <c r="H139" s="267" t="s">
        <v>4485</v>
      </c>
      <c r="I139" s="382">
        <f>sum(S136:S139)</f>
        <v>558.75</v>
      </c>
      <c r="J139" s="454" t="s">
        <v>4606</v>
      </c>
      <c r="M139" s="294" t="s">
        <v>4644</v>
      </c>
      <c r="N139" s="294" t="s">
        <v>4645</v>
      </c>
      <c r="O139" s="294" t="s">
        <v>4646</v>
      </c>
      <c r="Q139" s="221">
        <v>224000.0</v>
      </c>
      <c r="S139" s="387">
        <f t="shared" si="25"/>
        <v>-15</v>
      </c>
      <c r="T139" s="448" t="s">
        <v>4598</v>
      </c>
      <c r="U139" s="432"/>
      <c r="V139" s="389">
        <f t="shared" ref="V139:V147" si="46">sum(AI139:AJ139)</f>
        <v>-0.2</v>
      </c>
      <c r="W139" s="433">
        <f>I139/Q139</f>
        <v>0.002494419643</v>
      </c>
      <c r="X139" s="228">
        <v>4.0</v>
      </c>
      <c r="Z139" s="436" t="s">
        <v>4647</v>
      </c>
      <c r="AB139" s="467" t="s">
        <v>4622</v>
      </c>
      <c r="AC139" s="277" t="s">
        <v>4491</v>
      </c>
      <c r="AD139" s="395">
        <v>0.47291666666666665</v>
      </c>
      <c r="AF139" s="439">
        <v>0.65</v>
      </c>
      <c r="AG139" s="439">
        <v>0.45</v>
      </c>
      <c r="AH139" s="303"/>
      <c r="AI139" s="453">
        <f>AG139-AF139</f>
        <v>-0.2</v>
      </c>
      <c r="AJ139" s="209"/>
      <c r="AK139" s="391">
        <v>75.0</v>
      </c>
      <c r="AL139" s="389">
        <f t="shared" si="45"/>
        <v>-15</v>
      </c>
      <c r="AN139" s="271">
        <v>68.0</v>
      </c>
      <c r="AO139" s="389">
        <f t="shared" si="27"/>
        <v>-83</v>
      </c>
    </row>
    <row r="140" ht="22.5" customHeight="1">
      <c r="A140" s="469" t="s">
        <v>4632</v>
      </c>
      <c r="B140" s="322">
        <v>45853.0</v>
      </c>
      <c r="C140" s="379" t="s">
        <v>4550</v>
      </c>
      <c r="D140" s="263" t="s">
        <v>4481</v>
      </c>
      <c r="E140" s="263" t="s">
        <v>4573</v>
      </c>
      <c r="F140" s="380" t="s">
        <v>4574</v>
      </c>
      <c r="G140" s="466" t="s">
        <v>131</v>
      </c>
      <c r="H140" s="267" t="s">
        <v>4485</v>
      </c>
      <c r="I140" s="431"/>
      <c r="J140" s="188"/>
      <c r="Q140" s="431"/>
      <c r="S140" s="387">
        <f t="shared" si="25"/>
        <v>-48.75</v>
      </c>
      <c r="T140" s="514" t="s">
        <v>4487</v>
      </c>
      <c r="U140" s="432"/>
      <c r="V140" s="389">
        <f t="shared" si="46"/>
        <v>-0.65</v>
      </c>
      <c r="W140" s="449"/>
      <c r="Z140" s="434" t="s">
        <v>4641</v>
      </c>
      <c r="AB140" s="467" t="s">
        <v>4622</v>
      </c>
      <c r="AC140" s="212" t="s">
        <v>4495</v>
      </c>
      <c r="AF140" s="515"/>
      <c r="AG140" s="439">
        <v>0.05</v>
      </c>
      <c r="AH140" s="303"/>
      <c r="AI140" s="453">
        <f>AG140-AF136</f>
        <v>-0.65</v>
      </c>
      <c r="AJ140" s="209"/>
      <c r="AK140" s="391">
        <v>75.0</v>
      </c>
      <c r="AL140" s="389">
        <f t="shared" si="45"/>
        <v>-48.75</v>
      </c>
      <c r="AN140" s="271">
        <v>68.0</v>
      </c>
      <c r="AO140" s="389">
        <f t="shared" si="27"/>
        <v>-116.75</v>
      </c>
    </row>
    <row r="141" ht="22.5" customHeight="1">
      <c r="A141" s="469" t="s">
        <v>4632</v>
      </c>
      <c r="B141" s="322">
        <v>45853.0</v>
      </c>
      <c r="C141" s="379" t="s">
        <v>4550</v>
      </c>
      <c r="D141" s="263" t="s">
        <v>4481</v>
      </c>
      <c r="E141" s="263" t="s">
        <v>4573</v>
      </c>
      <c r="F141" s="380" t="s">
        <v>4574</v>
      </c>
      <c r="G141" s="466" t="s">
        <v>131</v>
      </c>
      <c r="H141" s="267" t="s">
        <v>4485</v>
      </c>
      <c r="I141" s="431"/>
      <c r="J141" s="188"/>
      <c r="Q141" s="431"/>
      <c r="S141" s="387">
        <f t="shared" si="25"/>
        <v>1125</v>
      </c>
      <c r="T141" s="286" t="s">
        <v>4498</v>
      </c>
      <c r="U141" s="432"/>
      <c r="V141" s="389">
        <f t="shared" si="46"/>
        <v>15</v>
      </c>
      <c r="W141" s="449"/>
      <c r="Z141" s="436" t="s">
        <v>4642</v>
      </c>
      <c r="AB141" s="394" t="s">
        <v>92</v>
      </c>
      <c r="AC141" s="212" t="s">
        <v>4495</v>
      </c>
      <c r="AF141" s="515"/>
      <c r="AG141" s="439">
        <v>0.05</v>
      </c>
      <c r="AH141" s="303"/>
      <c r="AI141" s="453">
        <f t="shared" ref="AI141:AI142" si="47">AF137-AG141</f>
        <v>15</v>
      </c>
      <c r="AJ141" s="209"/>
      <c r="AK141" s="391">
        <v>75.0</v>
      </c>
      <c r="AL141" s="389">
        <f t="shared" si="45"/>
        <v>1125</v>
      </c>
      <c r="AN141" s="271">
        <v>68.0</v>
      </c>
      <c r="AO141" s="389">
        <f t="shared" si="27"/>
        <v>1057</v>
      </c>
    </row>
    <row r="142" ht="22.5" customHeight="1">
      <c r="A142" s="469" t="s">
        <v>4632</v>
      </c>
      <c r="B142" s="322">
        <v>45853.0</v>
      </c>
      <c r="C142" s="379" t="s">
        <v>4550</v>
      </c>
      <c r="D142" s="263" t="s">
        <v>4481</v>
      </c>
      <c r="E142" s="263" t="s">
        <v>4573</v>
      </c>
      <c r="F142" s="380" t="s">
        <v>4574</v>
      </c>
      <c r="G142" s="466" t="s">
        <v>131</v>
      </c>
      <c r="H142" s="267" t="s">
        <v>4485</v>
      </c>
      <c r="I142" s="431"/>
      <c r="J142" s="188"/>
      <c r="Q142" s="431"/>
      <c r="S142" s="387">
        <f t="shared" si="25"/>
        <v>1065</v>
      </c>
      <c r="T142" s="286" t="s">
        <v>4498</v>
      </c>
      <c r="U142" s="432"/>
      <c r="V142" s="389">
        <f t="shared" si="46"/>
        <v>14.2</v>
      </c>
      <c r="W142" s="449"/>
      <c r="Z142" s="436" t="s">
        <v>4643</v>
      </c>
      <c r="AB142" s="394" t="s">
        <v>92</v>
      </c>
      <c r="AC142" s="277" t="s">
        <v>4491</v>
      </c>
      <c r="AF142" s="515"/>
      <c r="AG142" s="439">
        <v>0.05</v>
      </c>
      <c r="AH142" s="303"/>
      <c r="AI142" s="453">
        <f t="shared" si="47"/>
        <v>14.2</v>
      </c>
      <c r="AJ142" s="209"/>
      <c r="AK142" s="391">
        <v>75.0</v>
      </c>
      <c r="AL142" s="389">
        <f t="shared" si="45"/>
        <v>1065</v>
      </c>
      <c r="AN142" s="271">
        <v>68.0</v>
      </c>
      <c r="AO142" s="389">
        <f t="shared" si="27"/>
        <v>997</v>
      </c>
    </row>
    <row r="143" ht="22.5" customHeight="1">
      <c r="A143" s="516" t="s">
        <v>4632</v>
      </c>
      <c r="B143" s="401">
        <v>45853.0</v>
      </c>
      <c r="C143" s="402" t="s">
        <v>4550</v>
      </c>
      <c r="D143" s="403" t="s">
        <v>4481</v>
      </c>
      <c r="E143" s="403" t="s">
        <v>4573</v>
      </c>
      <c r="F143" s="404" t="s">
        <v>4574</v>
      </c>
      <c r="G143" s="508" t="s">
        <v>131</v>
      </c>
      <c r="H143" s="406" t="s">
        <v>4485</v>
      </c>
      <c r="I143" s="407">
        <f>sum(S140:S143)</f>
        <v>2096.25</v>
      </c>
      <c r="J143" s="408" t="s">
        <v>4506</v>
      </c>
      <c r="K143" s="420"/>
      <c r="L143" s="420"/>
      <c r="M143" s="411" t="s">
        <v>4648</v>
      </c>
      <c r="N143" s="420"/>
      <c r="O143" s="420"/>
      <c r="P143" s="420"/>
      <c r="Q143" s="509"/>
      <c r="R143" s="420"/>
      <c r="S143" s="414">
        <f t="shared" si="25"/>
        <v>-45</v>
      </c>
      <c r="T143" s="517" t="s">
        <v>4487</v>
      </c>
      <c r="U143" s="416"/>
      <c r="V143" s="417">
        <f t="shared" si="46"/>
        <v>-0.6</v>
      </c>
      <c r="W143" s="418" t="str">
        <f>I143/Q143</f>
        <v>#DIV/0!</v>
      </c>
      <c r="X143" s="420"/>
      <c r="Y143" s="420"/>
      <c r="Z143" s="442" t="s">
        <v>4647</v>
      </c>
      <c r="AA143" s="420"/>
      <c r="AB143" s="512" t="s">
        <v>4622</v>
      </c>
      <c r="AC143" s="424" t="s">
        <v>4491</v>
      </c>
      <c r="AD143" s="420"/>
      <c r="AE143" s="420"/>
      <c r="AF143" s="518"/>
      <c r="AG143" s="444">
        <v>0.05</v>
      </c>
      <c r="AH143" s="465"/>
      <c r="AI143" s="513">
        <f>AG143-AF139</f>
        <v>-0.6</v>
      </c>
      <c r="AJ143" s="445"/>
      <c r="AK143" s="419">
        <v>75.0</v>
      </c>
      <c r="AL143" s="417">
        <f t="shared" si="45"/>
        <v>-45</v>
      </c>
      <c r="AM143" s="420"/>
      <c r="AN143" s="428">
        <v>68.0</v>
      </c>
      <c r="AO143" s="417">
        <f t="shared" si="27"/>
        <v>-113</v>
      </c>
      <c r="AP143" s="420"/>
      <c r="AQ143" s="420"/>
      <c r="AR143" s="420"/>
    </row>
    <row r="144" ht="22.5" customHeight="1">
      <c r="A144" s="378" t="s">
        <v>4572</v>
      </c>
      <c r="B144" s="261">
        <v>45856.0</v>
      </c>
      <c r="C144" s="379" t="s">
        <v>4550</v>
      </c>
      <c r="D144" s="263" t="s">
        <v>4481</v>
      </c>
      <c r="E144" s="263" t="s">
        <v>4573</v>
      </c>
      <c r="F144" s="380" t="s">
        <v>4574</v>
      </c>
      <c r="G144" s="466" t="s">
        <v>131</v>
      </c>
      <c r="H144" s="267" t="s">
        <v>4485</v>
      </c>
      <c r="I144" s="431"/>
      <c r="Q144" s="431"/>
      <c r="S144" s="387">
        <f t="shared" si="25"/>
        <v>367.5</v>
      </c>
      <c r="T144" s="519" t="s">
        <v>4649</v>
      </c>
      <c r="U144" s="432"/>
      <c r="V144" s="389">
        <f t="shared" si="46"/>
        <v>4.9</v>
      </c>
      <c r="W144" s="449"/>
      <c r="X144" s="228">
        <v>1.0</v>
      </c>
      <c r="Z144" s="436" t="s">
        <v>4650</v>
      </c>
      <c r="AB144" s="467" t="s">
        <v>4622</v>
      </c>
      <c r="AC144" s="212" t="s">
        <v>4495</v>
      </c>
      <c r="AD144" s="520">
        <v>0.38680555555555557</v>
      </c>
      <c r="AF144" s="439">
        <v>7.6</v>
      </c>
      <c r="AG144" s="439">
        <v>12.5</v>
      </c>
      <c r="AH144" s="303"/>
      <c r="AI144" s="453">
        <f>AG144-AF144</f>
        <v>4.9</v>
      </c>
      <c r="AJ144" s="209"/>
      <c r="AK144" s="391">
        <v>75.0</v>
      </c>
      <c r="AM144" s="389">
        <f>AK144*AI144</f>
        <v>367.5</v>
      </c>
      <c r="AN144" s="271">
        <v>68.0</v>
      </c>
      <c r="AO144" s="389">
        <f t="shared" si="27"/>
        <v>299.5</v>
      </c>
    </row>
    <row r="145" ht="22.5" customHeight="1">
      <c r="A145" s="378" t="s">
        <v>4572</v>
      </c>
      <c r="B145" s="261">
        <v>45856.0</v>
      </c>
      <c r="C145" s="379" t="s">
        <v>4550</v>
      </c>
      <c r="D145" s="263" t="s">
        <v>4481</v>
      </c>
      <c r="E145" s="263" t="s">
        <v>4573</v>
      </c>
      <c r="F145" s="380" t="s">
        <v>4574</v>
      </c>
      <c r="G145" s="466" t="s">
        <v>131</v>
      </c>
      <c r="H145" s="267" t="s">
        <v>4485</v>
      </c>
      <c r="I145" s="431"/>
      <c r="Q145" s="431"/>
      <c r="S145" s="387">
        <f t="shared" si="25"/>
        <v>2928.75</v>
      </c>
      <c r="T145" s="519" t="s">
        <v>4649</v>
      </c>
      <c r="U145" s="432"/>
      <c r="V145" s="389">
        <f t="shared" si="46"/>
        <v>39.05</v>
      </c>
      <c r="W145" s="449"/>
      <c r="X145" s="228">
        <v>2.0</v>
      </c>
      <c r="Z145" s="436" t="s">
        <v>4651</v>
      </c>
      <c r="AB145" s="394" t="s">
        <v>92</v>
      </c>
      <c r="AC145" s="277" t="s">
        <v>4491</v>
      </c>
      <c r="AD145" s="520">
        <v>0.38680555555555557</v>
      </c>
      <c r="AF145" s="439">
        <v>112.0</v>
      </c>
      <c r="AG145" s="439">
        <v>72.95</v>
      </c>
      <c r="AH145" s="303"/>
      <c r="AI145" s="453">
        <f t="shared" ref="AI145:AI146" si="48">AF145-AG145</f>
        <v>39.05</v>
      </c>
      <c r="AJ145" s="209"/>
      <c r="AK145" s="391">
        <v>75.0</v>
      </c>
      <c r="AL145" s="389">
        <f t="shared" ref="AL145:AL147" si="49">AK145*AI145</f>
        <v>2928.75</v>
      </c>
      <c r="AN145" s="271">
        <v>68.0</v>
      </c>
      <c r="AO145" s="389">
        <f t="shared" si="27"/>
        <v>2860.75</v>
      </c>
    </row>
    <row r="146" ht="22.5" customHeight="1">
      <c r="A146" s="378" t="s">
        <v>4572</v>
      </c>
      <c r="B146" s="261">
        <v>45856.0</v>
      </c>
      <c r="C146" s="379" t="s">
        <v>4550</v>
      </c>
      <c r="D146" s="263" t="s">
        <v>4481</v>
      </c>
      <c r="E146" s="263" t="s">
        <v>4573</v>
      </c>
      <c r="F146" s="380" t="s">
        <v>4574</v>
      </c>
      <c r="G146" s="466" t="s">
        <v>131</v>
      </c>
      <c r="H146" s="267" t="s">
        <v>4485</v>
      </c>
      <c r="I146" s="431"/>
      <c r="Q146" s="431"/>
      <c r="S146" s="387">
        <f t="shared" si="25"/>
        <v>-4901.25</v>
      </c>
      <c r="T146" s="521" t="s">
        <v>4652</v>
      </c>
      <c r="U146" s="432"/>
      <c r="V146" s="389">
        <f t="shared" si="46"/>
        <v>-65.35</v>
      </c>
      <c r="W146" s="449"/>
      <c r="X146" s="228">
        <v>3.0</v>
      </c>
      <c r="Z146" s="436" t="s">
        <v>4653</v>
      </c>
      <c r="AB146" s="394" t="s">
        <v>92</v>
      </c>
      <c r="AC146" s="212" t="s">
        <v>4495</v>
      </c>
      <c r="AD146" s="520">
        <v>0.38680555555555557</v>
      </c>
      <c r="AF146" s="439">
        <v>141.25</v>
      </c>
      <c r="AG146" s="439">
        <v>206.6</v>
      </c>
      <c r="AH146" s="303"/>
      <c r="AI146" s="453">
        <f t="shared" si="48"/>
        <v>-65.35</v>
      </c>
      <c r="AJ146" s="209"/>
      <c r="AK146" s="391">
        <v>75.0</v>
      </c>
      <c r="AL146" s="389">
        <f t="shared" si="49"/>
        <v>-4901.25</v>
      </c>
      <c r="AN146" s="271">
        <v>68.0</v>
      </c>
      <c r="AO146" s="389">
        <f t="shared" si="27"/>
        <v>-4969.25</v>
      </c>
    </row>
    <row r="147" ht="22.5" customHeight="1">
      <c r="A147" s="400" t="s">
        <v>4572</v>
      </c>
      <c r="B147" s="447">
        <v>45856.0</v>
      </c>
      <c r="C147" s="402" t="s">
        <v>4550</v>
      </c>
      <c r="D147" s="403" t="s">
        <v>4481</v>
      </c>
      <c r="E147" s="403" t="s">
        <v>4573</v>
      </c>
      <c r="F147" s="404" t="s">
        <v>4574</v>
      </c>
      <c r="G147" s="508" t="s">
        <v>131</v>
      </c>
      <c r="H147" s="406" t="s">
        <v>4485</v>
      </c>
      <c r="I147" s="407">
        <f>sum(S144:S147)</f>
        <v>-1635</v>
      </c>
      <c r="J147" s="522" t="s">
        <v>4652</v>
      </c>
      <c r="K147" s="420"/>
      <c r="L147" s="420"/>
      <c r="M147" s="411" t="s">
        <v>4654</v>
      </c>
      <c r="N147" s="420"/>
      <c r="O147" s="411" t="s">
        <v>4655</v>
      </c>
      <c r="P147" s="420"/>
      <c r="Q147" s="462">
        <v>128000.0</v>
      </c>
      <c r="R147" s="420"/>
      <c r="S147" s="414">
        <f t="shared" si="25"/>
        <v>-30</v>
      </c>
      <c r="T147" s="522" t="s">
        <v>4652</v>
      </c>
      <c r="U147" s="416"/>
      <c r="V147" s="417">
        <f t="shared" si="46"/>
        <v>-0.4</v>
      </c>
      <c r="W147" s="418">
        <f>I147/Q147</f>
        <v>-0.0127734375</v>
      </c>
      <c r="X147" s="441">
        <v>4.0</v>
      </c>
      <c r="Y147" s="420"/>
      <c r="Z147" s="442" t="s">
        <v>4656</v>
      </c>
      <c r="AA147" s="420"/>
      <c r="AB147" s="512" t="s">
        <v>4622</v>
      </c>
      <c r="AC147" s="424" t="s">
        <v>4491</v>
      </c>
      <c r="AD147" s="523">
        <v>0.38680555555555557</v>
      </c>
      <c r="AE147" s="420"/>
      <c r="AF147" s="444">
        <v>3.4</v>
      </c>
      <c r="AG147" s="444">
        <v>3.0</v>
      </c>
      <c r="AH147" s="465"/>
      <c r="AI147" s="513">
        <f>AG147-AF147</f>
        <v>-0.4</v>
      </c>
      <c r="AJ147" s="445"/>
      <c r="AK147" s="419">
        <v>75.0</v>
      </c>
      <c r="AL147" s="417">
        <f t="shared" si="49"/>
        <v>-30</v>
      </c>
      <c r="AM147" s="420"/>
      <c r="AN147" s="428">
        <v>68.0</v>
      </c>
      <c r="AO147" s="417">
        <f t="shared" si="27"/>
        <v>-98</v>
      </c>
      <c r="AP147" s="420"/>
      <c r="AQ147" s="420"/>
      <c r="AR147" s="420"/>
    </row>
    <row r="148" ht="22.5" customHeight="1">
      <c r="A148" s="378" t="s">
        <v>4572</v>
      </c>
      <c r="B148" s="261">
        <v>45859.0</v>
      </c>
      <c r="C148" s="524"/>
      <c r="D148" s="524"/>
      <c r="F148" s="525"/>
      <c r="I148" s="431"/>
      <c r="Q148" s="431"/>
      <c r="T148" s="519"/>
      <c r="U148" s="432"/>
      <c r="V148" s="209"/>
      <c r="W148" s="449"/>
      <c r="AF148" s="453"/>
      <c r="AG148" s="453"/>
      <c r="AH148" s="303"/>
      <c r="AI148" s="453"/>
      <c r="AJ148" s="209"/>
      <c r="AK148" s="209"/>
      <c r="AN148" s="431"/>
      <c r="AO148" s="209"/>
    </row>
    <row r="149" ht="22.5" customHeight="1">
      <c r="A149" s="378" t="s">
        <v>4572</v>
      </c>
      <c r="B149" s="261">
        <v>45859.0</v>
      </c>
      <c r="C149" s="524"/>
      <c r="D149" s="524"/>
      <c r="F149" s="525"/>
      <c r="I149" s="431"/>
      <c r="Q149" s="431"/>
      <c r="T149" s="519"/>
      <c r="U149" s="432"/>
      <c r="V149" s="209"/>
      <c r="W149" s="449"/>
      <c r="AF149" s="453"/>
      <c r="AG149" s="453"/>
      <c r="AH149" s="303"/>
      <c r="AI149" s="453"/>
      <c r="AJ149" s="209"/>
      <c r="AK149" s="209"/>
      <c r="AN149" s="431"/>
      <c r="AO149" s="209"/>
    </row>
    <row r="150" ht="22.5" customHeight="1">
      <c r="A150" s="378" t="s">
        <v>4572</v>
      </c>
      <c r="B150" s="261">
        <v>45859.0</v>
      </c>
      <c r="C150" s="524"/>
      <c r="D150" s="524"/>
      <c r="F150" s="525"/>
      <c r="I150" s="431"/>
      <c r="Q150" s="431"/>
      <c r="T150" s="519"/>
      <c r="U150" s="432"/>
      <c r="V150" s="209"/>
      <c r="W150" s="449"/>
      <c r="AF150" s="453"/>
      <c r="AG150" s="453"/>
      <c r="AH150" s="303"/>
      <c r="AI150" s="453"/>
      <c r="AJ150" s="209"/>
      <c r="AK150" s="209"/>
      <c r="AN150" s="431"/>
      <c r="AO150" s="209"/>
    </row>
    <row r="151" ht="22.5" customHeight="1">
      <c r="A151" s="400" t="s">
        <v>4572</v>
      </c>
      <c r="B151" s="447">
        <v>45859.0</v>
      </c>
      <c r="C151" s="526"/>
      <c r="D151" s="526"/>
      <c r="E151" s="420"/>
      <c r="F151" s="527"/>
      <c r="G151" s="420"/>
      <c r="H151" s="420"/>
      <c r="I151" s="509"/>
      <c r="J151" s="420"/>
      <c r="K151" s="420"/>
      <c r="L151" s="420"/>
      <c r="M151" s="420"/>
      <c r="N151" s="420"/>
      <c r="O151" s="420"/>
      <c r="P151" s="420"/>
      <c r="Q151" s="509"/>
      <c r="R151" s="420"/>
      <c r="S151" s="420"/>
      <c r="T151" s="528"/>
      <c r="U151" s="416"/>
      <c r="V151" s="445"/>
      <c r="W151" s="463"/>
      <c r="X151" s="420"/>
      <c r="Y151" s="420"/>
      <c r="Z151" s="420"/>
      <c r="AA151" s="420"/>
      <c r="AB151" s="420"/>
      <c r="AC151" s="420"/>
      <c r="AD151" s="420"/>
      <c r="AE151" s="420"/>
      <c r="AF151" s="513"/>
      <c r="AG151" s="513"/>
      <c r="AH151" s="465"/>
      <c r="AI151" s="513"/>
      <c r="AJ151" s="445"/>
      <c r="AK151" s="445"/>
      <c r="AL151" s="420"/>
      <c r="AM151" s="420"/>
      <c r="AN151" s="509"/>
      <c r="AO151" s="445"/>
      <c r="AP151" s="420"/>
      <c r="AQ151" s="420"/>
      <c r="AR151" s="420"/>
    </row>
    <row r="152" ht="22.5" customHeight="1">
      <c r="A152" s="378"/>
      <c r="B152" s="261">
        <v>45860.0</v>
      </c>
      <c r="C152" s="524"/>
      <c r="D152" s="524"/>
      <c r="F152" s="525"/>
      <c r="I152" s="431"/>
      <c r="Q152" s="431"/>
      <c r="T152" s="519"/>
      <c r="U152" s="432"/>
      <c r="V152" s="209"/>
      <c r="W152" s="449"/>
      <c r="AF152" s="453"/>
      <c r="AG152" s="453"/>
      <c r="AH152" s="303"/>
      <c r="AI152" s="453"/>
      <c r="AJ152" s="209"/>
      <c r="AK152" s="209"/>
      <c r="AN152" s="431"/>
      <c r="AO152" s="209"/>
    </row>
    <row r="153" ht="22.5" customHeight="1">
      <c r="A153" s="378"/>
      <c r="B153" s="261">
        <v>45860.0</v>
      </c>
      <c r="C153" s="524"/>
      <c r="D153" s="524"/>
      <c r="F153" s="525"/>
      <c r="I153" s="431"/>
      <c r="Q153" s="431"/>
      <c r="T153" s="519"/>
      <c r="U153" s="432"/>
      <c r="V153" s="209"/>
      <c r="W153" s="449"/>
      <c r="AF153" s="453"/>
      <c r="AG153" s="453"/>
      <c r="AH153" s="303"/>
      <c r="AI153" s="453"/>
      <c r="AJ153" s="209"/>
      <c r="AK153" s="209"/>
      <c r="AN153" s="431"/>
      <c r="AO153" s="209"/>
    </row>
    <row r="154" ht="22.5" customHeight="1">
      <c r="A154" s="378"/>
      <c r="B154" s="261">
        <v>45860.0</v>
      </c>
      <c r="C154" s="524"/>
      <c r="D154" s="524"/>
      <c r="F154" s="525"/>
      <c r="I154" s="431"/>
      <c r="Q154" s="431"/>
      <c r="T154" s="519"/>
      <c r="U154" s="432"/>
      <c r="V154" s="209"/>
      <c r="W154" s="449"/>
      <c r="AF154" s="453"/>
      <c r="AG154" s="453"/>
      <c r="AH154" s="303"/>
      <c r="AI154" s="453"/>
      <c r="AJ154" s="209"/>
      <c r="AK154" s="209"/>
      <c r="AN154" s="431"/>
      <c r="AO154" s="209"/>
    </row>
    <row r="155" ht="22.5" customHeight="1">
      <c r="A155" s="378"/>
      <c r="B155" s="261">
        <v>45860.0</v>
      </c>
      <c r="C155" s="524"/>
      <c r="D155" s="524"/>
      <c r="F155" s="525"/>
      <c r="I155" s="431"/>
      <c r="Q155" s="431"/>
      <c r="T155" s="519"/>
      <c r="U155" s="432"/>
      <c r="V155" s="209"/>
      <c r="W155" s="449"/>
      <c r="AF155" s="453"/>
      <c r="AG155" s="453"/>
      <c r="AH155" s="303"/>
      <c r="AI155" s="453"/>
      <c r="AJ155" s="209"/>
      <c r="AK155" s="209"/>
      <c r="AN155" s="431"/>
      <c r="AO155" s="209"/>
    </row>
    <row r="156" ht="22.5" customHeight="1">
      <c r="A156" s="378"/>
      <c r="B156" s="261">
        <v>45860.0</v>
      </c>
      <c r="C156" s="524"/>
      <c r="D156" s="524"/>
      <c r="F156" s="525"/>
      <c r="I156" s="431"/>
      <c r="Q156" s="431"/>
      <c r="T156" s="519"/>
      <c r="U156" s="432"/>
      <c r="V156" s="209"/>
      <c r="W156" s="449"/>
      <c r="AF156" s="453"/>
      <c r="AG156" s="453"/>
      <c r="AH156" s="303"/>
      <c r="AI156" s="453"/>
      <c r="AJ156" s="209"/>
      <c r="AK156" s="209"/>
      <c r="AN156" s="431"/>
      <c r="AO156" s="209"/>
    </row>
    <row r="157" ht="22.5" customHeight="1">
      <c r="A157" s="378"/>
      <c r="B157" s="261">
        <v>45860.0</v>
      </c>
      <c r="C157" s="524"/>
      <c r="D157" s="524"/>
      <c r="F157" s="525"/>
      <c r="I157" s="431"/>
      <c r="Q157" s="431"/>
      <c r="T157" s="519"/>
      <c r="U157" s="432"/>
      <c r="V157" s="209"/>
      <c r="W157" s="449"/>
      <c r="AF157" s="453"/>
      <c r="AG157" s="453"/>
      <c r="AH157" s="303"/>
      <c r="AI157" s="453"/>
      <c r="AJ157" s="209"/>
      <c r="AK157" s="209"/>
      <c r="AN157" s="431"/>
      <c r="AO157" s="209"/>
    </row>
    <row r="158" ht="22.5" customHeight="1">
      <c r="A158" s="378"/>
      <c r="B158" s="261"/>
      <c r="C158" s="524"/>
      <c r="D158" s="524"/>
      <c r="F158" s="525"/>
      <c r="I158" s="431"/>
      <c r="Q158" s="431"/>
      <c r="T158" s="519"/>
      <c r="U158" s="432"/>
      <c r="V158" s="209"/>
      <c r="W158" s="449"/>
      <c r="AF158" s="453"/>
      <c r="AG158" s="453"/>
      <c r="AH158" s="303"/>
      <c r="AI158" s="453"/>
      <c r="AJ158" s="209"/>
      <c r="AK158" s="209"/>
      <c r="AN158" s="431"/>
      <c r="AO158" s="209"/>
    </row>
    <row r="159" ht="22.5" customHeight="1">
      <c r="A159" s="378"/>
      <c r="B159" s="261"/>
      <c r="C159" s="524"/>
      <c r="D159" s="524"/>
      <c r="F159" s="525"/>
      <c r="I159" s="431"/>
      <c r="Q159" s="431"/>
      <c r="T159" s="519"/>
      <c r="U159" s="432"/>
      <c r="V159" s="209"/>
      <c r="W159" s="449"/>
      <c r="AF159" s="453"/>
      <c r="AG159" s="453"/>
      <c r="AH159" s="303"/>
      <c r="AI159" s="453"/>
      <c r="AJ159" s="209"/>
      <c r="AK159" s="209"/>
      <c r="AN159" s="431"/>
      <c r="AO159" s="209"/>
    </row>
    <row r="160" ht="22.5" customHeight="1">
      <c r="B160" s="529"/>
      <c r="C160" s="524"/>
      <c r="D160" s="524"/>
      <c r="F160" s="525"/>
      <c r="I160" s="431"/>
      <c r="Q160" s="431"/>
      <c r="T160" s="519" t="s">
        <v>4649</v>
      </c>
      <c r="U160" s="432"/>
      <c r="V160" s="209"/>
      <c r="W160" s="449"/>
      <c r="AF160" s="453"/>
      <c r="AG160" s="453"/>
      <c r="AH160" s="303"/>
      <c r="AI160" s="453"/>
      <c r="AJ160" s="209"/>
      <c r="AK160" s="209"/>
      <c r="AN160" s="431"/>
      <c r="AO160" s="209"/>
    </row>
    <row r="161" ht="22.5" customHeight="1">
      <c r="B161" s="529"/>
      <c r="C161" s="524"/>
      <c r="D161" s="524"/>
      <c r="F161" s="525"/>
      <c r="I161" s="431"/>
      <c r="Q161" s="431"/>
      <c r="T161" s="519" t="s">
        <v>4649</v>
      </c>
      <c r="U161" s="432"/>
      <c r="V161" s="209"/>
      <c r="W161" s="449"/>
      <c r="AF161" s="453"/>
      <c r="AG161" s="453"/>
      <c r="AH161" s="303"/>
      <c r="AI161" s="453"/>
      <c r="AJ161" s="209"/>
      <c r="AK161" s="209"/>
      <c r="AN161" s="431"/>
      <c r="AO161" s="209"/>
    </row>
    <row r="162" ht="22.5" customHeight="1">
      <c r="B162" s="529"/>
      <c r="C162" s="524"/>
      <c r="D162" s="524"/>
      <c r="F162" s="525"/>
      <c r="I162" s="431"/>
      <c r="Q162" s="431"/>
      <c r="T162" s="521" t="s">
        <v>4652</v>
      </c>
      <c r="U162" s="432"/>
      <c r="V162" s="209"/>
      <c r="W162" s="449"/>
      <c r="AF162" s="453"/>
      <c r="AG162" s="453"/>
      <c r="AH162" s="303"/>
      <c r="AI162" s="453"/>
      <c r="AJ162" s="209"/>
      <c r="AK162" s="209"/>
      <c r="AN162" s="431"/>
      <c r="AO162" s="209"/>
    </row>
    <row r="163" ht="22.5" customHeight="1">
      <c r="B163" s="529"/>
      <c r="C163" s="524"/>
      <c r="D163" s="524"/>
      <c r="F163" s="525"/>
      <c r="I163" s="431"/>
      <c r="Q163" s="431"/>
      <c r="T163" s="522" t="s">
        <v>4652</v>
      </c>
      <c r="U163" s="432"/>
      <c r="V163" s="209"/>
      <c r="W163" s="449"/>
      <c r="AF163" s="453"/>
      <c r="AG163" s="453"/>
      <c r="AH163" s="303"/>
      <c r="AI163" s="453"/>
      <c r="AJ163" s="209"/>
      <c r="AK163" s="209"/>
      <c r="AN163" s="431"/>
      <c r="AO163" s="209"/>
    </row>
    <row r="164" ht="22.5" customHeight="1">
      <c r="B164" s="529"/>
      <c r="C164" s="524"/>
      <c r="D164" s="524"/>
      <c r="F164" s="525"/>
      <c r="I164" s="431"/>
      <c r="Q164" s="431"/>
      <c r="T164" s="188"/>
      <c r="U164" s="432"/>
      <c r="V164" s="209"/>
      <c r="W164" s="449"/>
      <c r="AF164" s="453"/>
      <c r="AG164" s="453"/>
      <c r="AH164" s="303"/>
      <c r="AI164" s="453"/>
      <c r="AJ164" s="209"/>
      <c r="AK164" s="209"/>
      <c r="AN164" s="431"/>
      <c r="AO164" s="209"/>
    </row>
    <row r="165">
      <c r="B165" s="1"/>
      <c r="T165" s="1"/>
      <c r="AF165" s="530"/>
      <c r="AG165" s="530"/>
      <c r="AH165" s="1"/>
      <c r="AI165" s="1"/>
    </row>
    <row r="166">
      <c r="B166" s="1"/>
      <c r="T166" s="1"/>
      <c r="AC166" s="46">
        <v>253.3</v>
      </c>
      <c r="AF166" s="530"/>
      <c r="AG166" s="530"/>
      <c r="AH166" s="1"/>
      <c r="AI166" s="1"/>
    </row>
    <row r="167">
      <c r="A167" s="2"/>
      <c r="B167" s="1"/>
      <c r="C167" s="1"/>
      <c r="D167" s="1"/>
      <c r="E167" s="1"/>
      <c r="F167" s="1"/>
      <c r="G167" s="1"/>
      <c r="H167" s="1"/>
      <c r="I167" s="2"/>
      <c r="J167" s="2"/>
      <c r="K167" s="2"/>
      <c r="L167" s="2"/>
      <c r="M167" s="1"/>
      <c r="N167" s="1"/>
      <c r="T167" s="1"/>
      <c r="AC167" s="46">
        <v>11.0</v>
      </c>
      <c r="AF167" s="530"/>
      <c r="AG167" s="530"/>
      <c r="AH167" s="1"/>
      <c r="AI167" s="1"/>
    </row>
    <row r="168">
      <c r="A168" s="531" t="s">
        <v>4523</v>
      </c>
      <c r="B168" s="532" t="s">
        <v>4657</v>
      </c>
      <c r="C168" s="532" t="s">
        <v>4658</v>
      </c>
      <c r="D168" s="532" t="s">
        <v>4659</v>
      </c>
      <c r="E168" s="532" t="s">
        <v>4660</v>
      </c>
      <c r="F168" s="533"/>
      <c r="G168" s="533"/>
      <c r="H168" s="532" t="s">
        <v>4661</v>
      </c>
      <c r="I168" s="532" t="s">
        <v>4662</v>
      </c>
      <c r="J168" s="532" t="s">
        <v>4663</v>
      </c>
      <c r="K168" s="534" t="s">
        <v>4664</v>
      </c>
      <c r="L168" s="534" t="s">
        <v>4665</v>
      </c>
      <c r="M168" s="534" t="s">
        <v>4666</v>
      </c>
      <c r="N168" s="534" t="s">
        <v>4667</v>
      </c>
      <c r="O168" s="534" t="s">
        <v>4668</v>
      </c>
      <c r="P168" s="532" t="s">
        <v>4361</v>
      </c>
      <c r="Q168" s="532" t="s">
        <v>4382</v>
      </c>
      <c r="R168" s="535" t="s">
        <v>4669</v>
      </c>
      <c r="S168" s="536" t="s">
        <v>4670</v>
      </c>
      <c r="T168" s="534" t="s">
        <v>4664</v>
      </c>
      <c r="U168" s="534" t="s">
        <v>4665</v>
      </c>
      <c r="V168" s="534" t="s">
        <v>4666</v>
      </c>
      <c r="W168" s="534" t="s">
        <v>4667</v>
      </c>
      <c r="X168" s="534" t="s">
        <v>4668</v>
      </c>
      <c r="Y168" s="13"/>
      <c r="Z168" s="13"/>
      <c r="AA168" s="13"/>
      <c r="AB168" s="13"/>
      <c r="AC168" s="13">
        <f>AC166-AC167</f>
        <v>242.3</v>
      </c>
      <c r="AD168" s="13"/>
      <c r="AE168" s="13"/>
      <c r="AF168" s="537"/>
      <c r="AG168" s="537"/>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row>
    <row r="169">
      <c r="A169" s="538">
        <v>45849.0</v>
      </c>
      <c r="B169" s="539" t="s">
        <v>4550</v>
      </c>
      <c r="C169" s="540" t="s">
        <v>4481</v>
      </c>
      <c r="D169" s="540" t="s">
        <v>4573</v>
      </c>
      <c r="E169" s="541" t="s">
        <v>4574</v>
      </c>
      <c r="F169" s="13"/>
      <c r="G169" s="13"/>
      <c r="H169" s="65">
        <v>250000.0</v>
      </c>
      <c r="I169" s="216">
        <v>40.5</v>
      </c>
      <c r="J169" s="64">
        <v>2.0</v>
      </c>
      <c r="K169" s="542">
        <v>-382.5000000000001</v>
      </c>
      <c r="L169" s="543">
        <v>701.25</v>
      </c>
      <c r="M169" s="544">
        <v>2348.0</v>
      </c>
      <c r="N169" s="544">
        <v>2719.0</v>
      </c>
      <c r="O169" s="544">
        <v>3030.0</v>
      </c>
      <c r="P169" s="545">
        <f t="shared" ref="P169:P171" si="50">J169*68</f>
        <v>136</v>
      </c>
      <c r="Q169" s="544">
        <f t="shared" ref="Q169:Q171" si="51">O169-P169</f>
        <v>2894</v>
      </c>
      <c r="R169" s="546">
        <f t="shared" ref="R169:R172" si="52">Q169/H169</f>
        <v>0.011576</v>
      </c>
      <c r="S169" s="547">
        <f t="shared" ref="S169:S174" si="53">I169*75</f>
        <v>3037.5</v>
      </c>
      <c r="T169" s="13"/>
      <c r="U169" s="46" t="s">
        <v>65</v>
      </c>
      <c r="V169" s="13"/>
      <c r="W169" s="13"/>
      <c r="X169" s="13"/>
      <c r="Y169" s="13"/>
      <c r="Z169" s="13"/>
      <c r="AA169" s="13"/>
      <c r="AB169" s="13"/>
      <c r="AC169" s="13"/>
      <c r="AD169" s="13"/>
      <c r="AE169" s="13"/>
      <c r="AF169" s="537"/>
      <c r="AG169" s="537"/>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row>
    <row r="170">
      <c r="A170" s="548">
        <v>45852.0</v>
      </c>
      <c r="B170" s="549" t="s">
        <v>4550</v>
      </c>
      <c r="C170" s="550" t="s">
        <v>4481</v>
      </c>
      <c r="D170" s="550" t="s">
        <v>4573</v>
      </c>
      <c r="E170" s="551" t="s">
        <v>4574</v>
      </c>
      <c r="F170" s="13"/>
      <c r="G170" s="13"/>
      <c r="H170" s="65">
        <v>154000.0</v>
      </c>
      <c r="I170" s="216">
        <v>34.7</v>
      </c>
      <c r="J170" s="64">
        <v>4.0</v>
      </c>
      <c r="K170" s="552" t="s">
        <v>65</v>
      </c>
      <c r="L170" s="542">
        <v>-139.0</v>
      </c>
      <c r="M170" s="552">
        <v>281.0</v>
      </c>
      <c r="N170" s="544">
        <v>1474.0</v>
      </c>
      <c r="O170" s="544">
        <v>2209.0</v>
      </c>
      <c r="P170" s="545">
        <f t="shared" si="50"/>
        <v>272</v>
      </c>
      <c r="Q170" s="544">
        <f t="shared" si="51"/>
        <v>1937</v>
      </c>
      <c r="R170" s="546">
        <f t="shared" si="52"/>
        <v>0.01257792208</v>
      </c>
      <c r="S170" s="547">
        <f t="shared" si="53"/>
        <v>2602.5</v>
      </c>
      <c r="T170" s="13"/>
      <c r="V170" s="13"/>
      <c r="W170" s="13"/>
      <c r="X170" s="13"/>
      <c r="Y170" s="13"/>
      <c r="Z170" s="13"/>
      <c r="AA170" s="13"/>
      <c r="AB170" s="13"/>
      <c r="AC170" s="13"/>
      <c r="AD170" s="13"/>
      <c r="AE170" s="13"/>
      <c r="AF170" s="537"/>
      <c r="AG170" s="537"/>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row>
    <row r="171">
      <c r="A171" s="538">
        <v>45853.0</v>
      </c>
      <c r="B171" s="539" t="s">
        <v>4550</v>
      </c>
      <c r="C171" s="540" t="s">
        <v>4481</v>
      </c>
      <c r="D171" s="540" t="s">
        <v>4573</v>
      </c>
      <c r="E171" s="541" t="s">
        <v>4574</v>
      </c>
      <c r="F171" s="13"/>
      <c r="G171" s="13"/>
      <c r="H171" s="65">
        <v>224000.0</v>
      </c>
      <c r="I171" s="216">
        <v>30.7</v>
      </c>
      <c r="J171" s="64">
        <v>4.0</v>
      </c>
      <c r="K171" s="552" t="s">
        <v>65</v>
      </c>
      <c r="L171" s="552" t="s">
        <v>65</v>
      </c>
      <c r="M171" s="543">
        <v>558.7500000000001</v>
      </c>
      <c r="N171" s="64" t="s">
        <v>4671</v>
      </c>
      <c r="O171" s="543">
        <v>2096.25</v>
      </c>
      <c r="P171" s="545">
        <f t="shared" si="50"/>
        <v>272</v>
      </c>
      <c r="Q171" s="544">
        <f t="shared" si="51"/>
        <v>1824.25</v>
      </c>
      <c r="R171" s="546">
        <f t="shared" si="52"/>
        <v>0.008143973214</v>
      </c>
      <c r="S171" s="547">
        <f t="shared" si="53"/>
        <v>2302.5</v>
      </c>
      <c r="T171" s="13"/>
      <c r="V171" s="13"/>
      <c r="W171" s="13"/>
      <c r="X171" s="13"/>
      <c r="Y171" s="13"/>
      <c r="Z171" s="13"/>
      <c r="AA171" s="13"/>
      <c r="AB171" s="13"/>
      <c r="AC171" s="13"/>
      <c r="AD171" s="13"/>
      <c r="AE171" s="13"/>
      <c r="AF171" s="537"/>
      <c r="AG171" s="537"/>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row>
    <row r="172">
      <c r="A172" s="553">
        <v>45855.0</v>
      </c>
      <c r="B172" s="554" t="s">
        <v>4550</v>
      </c>
      <c r="C172" s="555" t="s">
        <v>4481</v>
      </c>
      <c r="D172" s="555" t="s">
        <v>4573</v>
      </c>
      <c r="E172" s="556" t="s">
        <v>4574</v>
      </c>
      <c r="F172" s="557"/>
      <c r="G172" s="557"/>
      <c r="H172" s="558">
        <f t="shared" ref="H172:Q172" si="54">SUM(H168:H171)</f>
        <v>628000</v>
      </c>
      <c r="I172" s="559">
        <f t="shared" si="54"/>
        <v>105.9</v>
      </c>
      <c r="J172" s="558">
        <f t="shared" si="54"/>
        <v>10</v>
      </c>
      <c r="K172" s="560">
        <f t="shared" si="54"/>
        <v>-382.5</v>
      </c>
      <c r="L172" s="558">
        <f t="shared" si="54"/>
        <v>562.25</v>
      </c>
      <c r="M172" s="558">
        <f t="shared" si="54"/>
        <v>3187.75</v>
      </c>
      <c r="N172" s="558">
        <f t="shared" si="54"/>
        <v>4193</v>
      </c>
      <c r="O172" s="558">
        <f t="shared" si="54"/>
        <v>7335.25</v>
      </c>
      <c r="P172" s="558">
        <f t="shared" si="54"/>
        <v>680</v>
      </c>
      <c r="Q172" s="559">
        <f t="shared" si="54"/>
        <v>6655.25</v>
      </c>
      <c r="R172" s="561">
        <f t="shared" si="52"/>
        <v>0.01059753185</v>
      </c>
      <c r="S172" s="562">
        <f t="shared" si="53"/>
        <v>7942.5</v>
      </c>
      <c r="T172" s="13"/>
      <c r="V172" s="13"/>
      <c r="W172" s="13"/>
      <c r="X172" s="13"/>
      <c r="Y172" s="13"/>
      <c r="Z172" s="13"/>
      <c r="AA172" s="13"/>
      <c r="AB172" s="13"/>
      <c r="AC172" s="13"/>
      <c r="AD172" s="13"/>
      <c r="AE172" s="13"/>
      <c r="AF172" s="537"/>
      <c r="AG172" s="537"/>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row>
    <row r="173">
      <c r="A173" s="538">
        <v>45856.0</v>
      </c>
      <c r="B173" s="539" t="s">
        <v>4550</v>
      </c>
      <c r="C173" s="540" t="s">
        <v>4481</v>
      </c>
      <c r="D173" s="540" t="s">
        <v>4573</v>
      </c>
      <c r="E173" s="541" t="s">
        <v>4574</v>
      </c>
      <c r="F173" s="563"/>
      <c r="G173" s="563"/>
      <c r="H173" s="564">
        <v>128000.0</v>
      </c>
      <c r="I173" s="564">
        <v>242.3</v>
      </c>
      <c r="J173" s="64">
        <v>4.0</v>
      </c>
      <c r="K173" s="542">
        <v>-1635.0</v>
      </c>
      <c r="L173" s="565">
        <v>5160.0</v>
      </c>
      <c r="M173" s="566"/>
      <c r="N173" s="566"/>
      <c r="O173" s="566"/>
      <c r="P173" s="566"/>
      <c r="Q173" s="566"/>
      <c r="R173" s="567"/>
      <c r="S173" s="547">
        <f t="shared" si="53"/>
        <v>18172.5</v>
      </c>
      <c r="T173" s="568" t="s">
        <v>4672</v>
      </c>
      <c r="U173" s="569" t="s">
        <v>4673</v>
      </c>
      <c r="V173" s="570"/>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row>
    <row r="174">
      <c r="A174" s="538">
        <v>45859.0</v>
      </c>
      <c r="B174" s="571"/>
      <c r="C174" s="572"/>
      <c r="D174" s="573"/>
      <c r="E174" s="573"/>
      <c r="F174" s="551"/>
      <c r="G174" s="563"/>
      <c r="H174" s="565">
        <v>128000.0</v>
      </c>
      <c r="I174" s="564">
        <v>171.15</v>
      </c>
      <c r="J174" s="64">
        <v>4.0</v>
      </c>
      <c r="K174" s="64" t="s">
        <v>65</v>
      </c>
      <c r="L174" s="565">
        <v>-919.0</v>
      </c>
      <c r="M174" s="566"/>
      <c r="N174" s="566"/>
      <c r="O174" s="566"/>
      <c r="P174" s="566"/>
      <c r="Q174" s="566"/>
      <c r="R174" s="567"/>
      <c r="S174" s="547">
        <f t="shared" si="53"/>
        <v>12836.25</v>
      </c>
      <c r="T174" s="574" t="s">
        <v>65</v>
      </c>
      <c r="U174" s="575" t="s">
        <v>4674</v>
      </c>
      <c r="V174" s="570"/>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row>
    <row r="175">
      <c r="A175" s="576"/>
      <c r="B175" s="13"/>
      <c r="C175" s="13"/>
      <c r="D175" s="13"/>
      <c r="E175" s="13"/>
      <c r="F175" s="13"/>
      <c r="G175" s="13"/>
      <c r="H175" s="13"/>
      <c r="I175" s="13"/>
      <c r="J175" s="13"/>
      <c r="K175" s="13"/>
      <c r="L175" s="13"/>
      <c r="M175" s="13"/>
      <c r="N175" s="13"/>
      <c r="O175" s="13"/>
      <c r="P175" s="13"/>
      <c r="Q175" s="13"/>
      <c r="R175" s="13"/>
      <c r="S175" s="577"/>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row>
    <row r="183" ht="22.5" customHeight="1">
      <c r="A183" s="578" t="s">
        <v>26</v>
      </c>
      <c r="B183" s="578" t="s">
        <v>4256</v>
      </c>
      <c r="C183" s="578" t="s">
        <v>4675</v>
      </c>
      <c r="D183" s="578" t="s">
        <v>4676</v>
      </c>
      <c r="E183" s="578" t="s">
        <v>4677</v>
      </c>
      <c r="F183" s="578" t="s">
        <v>4678</v>
      </c>
      <c r="G183" s="578" t="s">
        <v>4679</v>
      </c>
      <c r="H183" s="578" t="s">
        <v>4680</v>
      </c>
      <c r="I183" s="578" t="s">
        <v>4681</v>
      </c>
      <c r="J183" s="579" t="s">
        <v>4364</v>
      </c>
      <c r="K183" s="579" t="s">
        <v>4682</v>
      </c>
      <c r="L183" s="579" t="s">
        <v>4683</v>
      </c>
      <c r="M183" s="579" t="s">
        <v>4684</v>
      </c>
      <c r="N183" s="579" t="s">
        <v>4685</v>
      </c>
      <c r="O183" s="579" t="s">
        <v>4422</v>
      </c>
      <c r="P183" s="579" t="s">
        <v>4559</v>
      </c>
      <c r="Q183" s="579" t="s">
        <v>4686</v>
      </c>
      <c r="R183" s="579" t="s">
        <v>4361</v>
      </c>
      <c r="S183" s="579" t="s">
        <v>4687</v>
      </c>
    </row>
    <row r="184" ht="22.5" customHeight="1">
      <c r="A184" s="580">
        <v>45663.0</v>
      </c>
      <c r="B184" s="261"/>
      <c r="C184" s="581"/>
      <c r="D184" s="581"/>
      <c r="E184" s="581"/>
      <c r="F184" s="582" t="s">
        <v>4688</v>
      </c>
      <c r="G184" s="582" t="s">
        <v>4689</v>
      </c>
      <c r="H184" s="582" t="s">
        <v>4690</v>
      </c>
      <c r="I184" s="583" t="s">
        <v>4691</v>
      </c>
      <c r="J184" s="261"/>
      <c r="K184" s="261"/>
      <c r="L184" s="261"/>
      <c r="M184" s="261"/>
      <c r="N184" s="261"/>
      <c r="O184" s="261"/>
      <c r="P184" s="584"/>
      <c r="Q184" s="261"/>
      <c r="R184" s="261"/>
      <c r="S184" s="261"/>
    </row>
    <row r="185" ht="22.5" customHeight="1">
      <c r="A185" s="580">
        <v>45663.0</v>
      </c>
      <c r="B185" s="585">
        <v>0.4027777777777778</v>
      </c>
      <c r="C185" s="586">
        <v>111000.0</v>
      </c>
      <c r="D185" s="188">
        <f t="shared" ref="D185:D188" si="55">sum(F185:I185)</f>
        <v>0</v>
      </c>
      <c r="E185" s="261"/>
      <c r="F185" s="586">
        <v>0.0</v>
      </c>
      <c r="G185" s="586">
        <v>0.0</v>
      </c>
      <c r="H185" s="586">
        <v>0.0</v>
      </c>
      <c r="I185" s="587">
        <v>0.0</v>
      </c>
      <c r="J185" s="586"/>
      <c r="K185" s="586"/>
      <c r="L185" s="586"/>
      <c r="M185" s="586">
        <v>147.7</v>
      </c>
      <c r="N185" s="586">
        <v>94.3</v>
      </c>
      <c r="O185" s="586">
        <v>30.6</v>
      </c>
      <c r="P185" s="587">
        <v>34.8</v>
      </c>
      <c r="Q185" s="261"/>
      <c r="R185" s="261"/>
      <c r="S185" s="261"/>
    </row>
    <row r="186" ht="22.5" customHeight="1">
      <c r="A186" s="580">
        <v>45663.0</v>
      </c>
      <c r="B186" s="585">
        <v>0.4166666666666667</v>
      </c>
      <c r="D186" s="188">
        <f t="shared" si="55"/>
        <v>247</v>
      </c>
      <c r="E186" s="261"/>
      <c r="F186" s="586">
        <v>-510.0</v>
      </c>
      <c r="G186" s="586">
        <v>922.0</v>
      </c>
      <c r="H186" s="586">
        <v>-105.0</v>
      </c>
      <c r="I186" s="587">
        <v>-60.0</v>
      </c>
      <c r="P186" s="588"/>
      <c r="Q186" s="261"/>
      <c r="R186" s="261"/>
      <c r="S186" s="261"/>
    </row>
    <row r="187" ht="22.5" customHeight="1">
      <c r="A187" s="580">
        <v>45663.0</v>
      </c>
      <c r="B187" s="585">
        <v>0.4270833333333333</v>
      </c>
      <c r="C187" s="261"/>
      <c r="D187" s="188">
        <f t="shared" si="55"/>
        <v>1192</v>
      </c>
      <c r="E187" s="261"/>
      <c r="F187" s="586">
        <v>-1785.0</v>
      </c>
      <c r="G187" s="586">
        <v>3360.0</v>
      </c>
      <c r="H187" s="586">
        <v>-825.0</v>
      </c>
      <c r="I187" s="587">
        <v>442.0</v>
      </c>
      <c r="J187" s="261"/>
      <c r="K187" s="261"/>
      <c r="L187" s="261"/>
      <c r="M187" s="261"/>
      <c r="N187" s="261"/>
      <c r="O187" s="261"/>
      <c r="P187" s="584"/>
      <c r="Q187" s="261"/>
      <c r="R187" s="261"/>
      <c r="S187" s="261"/>
    </row>
    <row r="188" ht="22.5" customHeight="1">
      <c r="A188" s="580">
        <v>45663.0</v>
      </c>
      <c r="B188" s="585">
        <v>0.4340277777777778</v>
      </c>
      <c r="C188" s="586">
        <v>60009.0</v>
      </c>
      <c r="D188" s="188">
        <f t="shared" si="55"/>
        <v>833</v>
      </c>
      <c r="E188" s="586" t="s">
        <v>4692</v>
      </c>
      <c r="F188" s="586">
        <v>-592.0</v>
      </c>
      <c r="G188" s="589">
        <v>1905.0</v>
      </c>
      <c r="H188" s="586">
        <v>-450.0</v>
      </c>
      <c r="I188" s="587">
        <v>-30.0</v>
      </c>
      <c r="J188" s="261"/>
      <c r="K188" s="261"/>
      <c r="L188" s="261"/>
      <c r="M188" s="261"/>
      <c r="N188" s="590">
        <v>122.0</v>
      </c>
      <c r="O188" s="261"/>
      <c r="P188" s="584"/>
      <c r="Q188" s="261"/>
      <c r="R188" s="261"/>
      <c r="S188" s="261"/>
    </row>
    <row r="189" ht="22.5" customHeight="1">
      <c r="A189" s="591">
        <v>45663.0</v>
      </c>
      <c r="B189" s="592">
        <v>0.6458333333333334</v>
      </c>
      <c r="C189" s="447"/>
      <c r="D189" s="593">
        <v>-4741.0</v>
      </c>
      <c r="E189" s="593">
        <v>12029.0</v>
      </c>
      <c r="F189" s="593">
        <v>4012.0</v>
      </c>
      <c r="G189" s="594">
        <v>1905.0</v>
      </c>
      <c r="H189" s="593">
        <v>7612.0</v>
      </c>
      <c r="I189" s="595">
        <v>-1500.0</v>
      </c>
      <c r="J189" s="593"/>
      <c r="K189" s="593"/>
      <c r="L189" s="593"/>
      <c r="M189" s="593">
        <v>122.3</v>
      </c>
      <c r="N189" s="593">
        <v>40.8</v>
      </c>
      <c r="O189" s="593">
        <v>132.1</v>
      </c>
      <c r="P189" s="595">
        <v>14.8</v>
      </c>
      <c r="Q189" s="596">
        <v>4.0</v>
      </c>
      <c r="R189" s="596">
        <f>Q189*68</f>
        <v>272</v>
      </c>
      <c r="S189" s="596">
        <f>D189-R189</f>
        <v>-5013</v>
      </c>
    </row>
    <row r="190" ht="22.5" customHeight="1">
      <c r="A190" s="580">
        <v>45666.0</v>
      </c>
      <c r="B190" s="270"/>
      <c r="C190" s="581"/>
      <c r="D190" s="581"/>
      <c r="E190" s="581"/>
      <c r="F190" s="582" t="s">
        <v>4693</v>
      </c>
      <c r="G190" s="582" t="s">
        <v>4694</v>
      </c>
      <c r="H190" s="582" t="s">
        <v>4695</v>
      </c>
      <c r="I190" s="583" t="s">
        <v>4696</v>
      </c>
      <c r="J190" s="597"/>
      <c r="K190" s="597"/>
      <c r="L190" s="597"/>
      <c r="M190" s="598" t="s">
        <v>4697</v>
      </c>
      <c r="N190" s="599" t="s">
        <v>4698</v>
      </c>
      <c r="O190" s="598" t="s">
        <v>4699</v>
      </c>
      <c r="P190" s="600" t="s">
        <v>4700</v>
      </c>
      <c r="Q190" s="597"/>
      <c r="R190" s="597"/>
      <c r="S190" s="597"/>
    </row>
    <row r="191" ht="22.5" customHeight="1">
      <c r="A191" s="580">
        <v>45666.0</v>
      </c>
      <c r="B191" s="270">
        <v>0.3958333333333333</v>
      </c>
      <c r="C191" s="188"/>
      <c r="D191" s="351">
        <v>0.0</v>
      </c>
      <c r="E191" s="188"/>
      <c r="F191" s="212">
        <v>0.0</v>
      </c>
      <c r="G191" s="212">
        <v>0.0</v>
      </c>
      <c r="H191" s="212">
        <v>0.0</v>
      </c>
      <c r="I191" s="351">
        <v>0.0</v>
      </c>
      <c r="J191" s="212"/>
      <c r="K191" s="212"/>
      <c r="L191" s="212"/>
      <c r="M191" s="212">
        <v>11.9</v>
      </c>
      <c r="N191" s="212">
        <v>11.1</v>
      </c>
      <c r="O191" s="212">
        <v>17.2</v>
      </c>
      <c r="P191" s="351">
        <v>20.0</v>
      </c>
      <c r="Q191" s="212"/>
      <c r="R191" s="212"/>
      <c r="S191" s="212"/>
    </row>
    <row r="192" ht="22.5" customHeight="1">
      <c r="A192" s="580">
        <v>45666.0</v>
      </c>
      <c r="B192" s="270">
        <v>0.4375</v>
      </c>
      <c r="C192" s="212">
        <v>151000.0</v>
      </c>
      <c r="D192" s="351">
        <v>262.0</v>
      </c>
      <c r="E192" s="188"/>
      <c r="F192" s="212">
        <v>-397.0</v>
      </c>
      <c r="G192" s="212">
        <v>-255.0</v>
      </c>
      <c r="H192" s="212">
        <v>532.0</v>
      </c>
      <c r="I192" s="351">
        <v>420.0</v>
      </c>
      <c r="J192" s="601"/>
      <c r="K192" s="601"/>
      <c r="L192" s="601"/>
      <c r="M192" s="601"/>
      <c r="N192" s="601"/>
      <c r="O192" s="601"/>
      <c r="P192" s="602"/>
      <c r="Q192" s="601"/>
      <c r="R192" s="601"/>
      <c r="S192" s="601"/>
    </row>
    <row r="193" ht="22.5" customHeight="1">
      <c r="A193" s="580">
        <v>45666.0</v>
      </c>
      <c r="B193" s="270">
        <v>0.4479166666666667</v>
      </c>
      <c r="C193" s="188"/>
      <c r="D193" s="351">
        <v>338.0</v>
      </c>
      <c r="E193" s="188"/>
      <c r="F193" s="212">
        <v>-382.0</v>
      </c>
      <c r="G193" s="212">
        <v>-405.0</v>
      </c>
      <c r="H193" s="212">
        <v>450.0</v>
      </c>
      <c r="I193" s="351">
        <v>675.0</v>
      </c>
      <c r="J193" s="601"/>
      <c r="K193" s="601"/>
      <c r="L193" s="601"/>
      <c r="M193" s="601"/>
      <c r="N193" s="601"/>
      <c r="O193" s="601"/>
      <c r="P193" s="602"/>
      <c r="Q193" s="601"/>
      <c r="R193" s="601"/>
      <c r="S193" s="601"/>
    </row>
    <row r="194" ht="22.5" customHeight="1">
      <c r="A194" s="580">
        <v>45666.0</v>
      </c>
      <c r="B194" s="270">
        <v>0.4513888888888889</v>
      </c>
      <c r="D194" s="351">
        <v>-285.0</v>
      </c>
      <c r="E194" s="249" t="s">
        <v>4701</v>
      </c>
      <c r="F194" s="212">
        <v>570.0</v>
      </c>
      <c r="G194" s="212">
        <v>-450.0</v>
      </c>
      <c r="H194" s="603">
        <v>-1230.0</v>
      </c>
      <c r="I194" s="351">
        <v>825.0</v>
      </c>
      <c r="J194" s="601"/>
      <c r="K194" s="601"/>
      <c r="L194" s="601"/>
      <c r="M194" s="601"/>
      <c r="N194" s="601"/>
      <c r="O194" s="601"/>
      <c r="P194" s="602"/>
      <c r="Q194" s="601"/>
      <c r="R194" s="601"/>
      <c r="S194" s="601"/>
    </row>
    <row r="195" ht="22.5" customHeight="1">
      <c r="A195" s="591">
        <v>45666.0</v>
      </c>
      <c r="B195" s="592">
        <v>0.6458333333333334</v>
      </c>
      <c r="C195" s="604"/>
      <c r="D195" s="605">
        <v>1124.0</v>
      </c>
      <c r="E195" s="596">
        <v>-1388.0</v>
      </c>
      <c r="F195" s="596">
        <v>-885.0</v>
      </c>
      <c r="G195" s="596">
        <v>-825.0</v>
      </c>
      <c r="H195" s="596">
        <v>1282.0</v>
      </c>
      <c r="I195" s="605">
        <v>1552.0</v>
      </c>
      <c r="J195" s="596"/>
      <c r="K195" s="596"/>
      <c r="L195" s="596"/>
      <c r="M195" s="596">
        <v>0.1</v>
      </c>
      <c r="N195" s="596">
        <v>0.1</v>
      </c>
      <c r="O195" s="596">
        <v>0.01</v>
      </c>
      <c r="P195" s="605">
        <v>0.01</v>
      </c>
      <c r="Q195" s="596">
        <v>4.0</v>
      </c>
      <c r="R195" s="596">
        <f>Q195*68</f>
        <v>272</v>
      </c>
      <c r="S195" s="596">
        <f>D195-R195</f>
        <v>852</v>
      </c>
    </row>
    <row r="196" ht="22.5" customHeight="1">
      <c r="A196" s="261"/>
      <c r="B196" s="261"/>
      <c r="C196" s="261"/>
      <c r="D196" s="261"/>
      <c r="E196" s="261"/>
      <c r="F196" s="261"/>
      <c r="G196" s="261"/>
      <c r="H196" s="261"/>
      <c r="I196" s="584"/>
      <c r="J196" s="261"/>
      <c r="K196" s="261"/>
      <c r="L196" s="261"/>
      <c r="M196" s="261"/>
      <c r="N196" s="261"/>
      <c r="O196" s="261"/>
      <c r="P196" s="584"/>
      <c r="Q196" s="261"/>
      <c r="R196" s="261"/>
      <c r="S196" s="261"/>
    </row>
    <row r="197" ht="22.5" customHeight="1">
      <c r="A197" s="261"/>
      <c r="B197" s="261"/>
      <c r="C197" s="261"/>
      <c r="D197" s="261"/>
      <c r="E197" s="261"/>
      <c r="F197" s="261"/>
      <c r="G197" s="261"/>
      <c r="H197" s="261"/>
      <c r="I197" s="584"/>
      <c r="J197" s="261"/>
      <c r="K197" s="261"/>
      <c r="L197" s="261"/>
      <c r="M197" s="261"/>
      <c r="N197" s="261"/>
      <c r="O197" s="261"/>
      <c r="P197" s="584"/>
      <c r="Q197" s="261"/>
      <c r="R197" s="261"/>
      <c r="S197" s="261"/>
    </row>
    <row r="198" ht="22.5" customHeight="1">
      <c r="A198" s="261"/>
      <c r="B198" s="261"/>
      <c r="C198" s="261"/>
      <c r="D198" s="261"/>
      <c r="E198" s="261"/>
      <c r="F198" s="261"/>
      <c r="G198" s="261"/>
      <c r="H198" s="261"/>
      <c r="I198" s="584"/>
      <c r="J198" s="261"/>
      <c r="K198" s="261"/>
      <c r="L198" s="261"/>
      <c r="M198" s="261"/>
      <c r="N198" s="261"/>
      <c r="O198" s="261"/>
      <c r="P198" s="584"/>
      <c r="Q198" s="261"/>
      <c r="R198" s="261"/>
      <c r="S198" s="261"/>
    </row>
    <row r="199" ht="22.5" customHeight="1">
      <c r="B199" s="261"/>
      <c r="C199" s="261"/>
      <c r="D199" s="261"/>
      <c r="E199" s="261"/>
      <c r="F199" s="586" t="s">
        <v>4702</v>
      </c>
      <c r="G199" s="586" t="s">
        <v>4703</v>
      </c>
      <c r="H199" s="586" t="s">
        <v>4704</v>
      </c>
      <c r="I199" s="587" t="s">
        <v>4705</v>
      </c>
      <c r="J199" s="586"/>
      <c r="K199" s="586"/>
      <c r="L199" s="586"/>
      <c r="M199" s="586">
        <v>5.5</v>
      </c>
      <c r="N199" s="586">
        <v>5.0</v>
      </c>
      <c r="O199" s="586">
        <v>44.5</v>
      </c>
      <c r="P199" s="587">
        <v>42.4</v>
      </c>
      <c r="Q199" s="261"/>
      <c r="R199" s="261"/>
      <c r="S199" s="261"/>
    </row>
    <row r="200" ht="22.5" customHeight="1">
      <c r="A200" s="580">
        <v>45660.0</v>
      </c>
      <c r="B200" s="585">
        <v>0.3861111111111111</v>
      </c>
      <c r="C200" s="261"/>
      <c r="D200" s="188">
        <f t="shared" ref="D200:D201" si="56">sum(F200:I200)</f>
        <v>1800</v>
      </c>
      <c r="E200" s="261"/>
      <c r="F200" s="586">
        <v>-247.0</v>
      </c>
      <c r="G200" s="586">
        <v>-180.0</v>
      </c>
      <c r="H200" s="586">
        <v>120.0</v>
      </c>
      <c r="I200" s="587">
        <v>2107.0</v>
      </c>
      <c r="J200" s="228"/>
      <c r="K200" s="228"/>
      <c r="L200" s="228" t="s">
        <v>4706</v>
      </c>
      <c r="M200" s="228">
        <v>2.2</v>
      </c>
      <c r="N200" s="228">
        <v>2.6</v>
      </c>
      <c r="O200" s="228">
        <v>42.9</v>
      </c>
      <c r="P200" s="228">
        <v>14.3</v>
      </c>
      <c r="Q200" s="261"/>
      <c r="R200" s="261"/>
      <c r="S200" s="261"/>
    </row>
    <row r="201" ht="22.5" customHeight="1">
      <c r="A201" s="580">
        <v>45663.0</v>
      </c>
      <c r="B201" s="585">
        <v>0.13125</v>
      </c>
      <c r="C201" s="586">
        <v>65703.0</v>
      </c>
      <c r="D201" s="188">
        <f t="shared" si="56"/>
        <v>1598</v>
      </c>
      <c r="E201" s="586" t="s">
        <v>4704</v>
      </c>
      <c r="F201" s="586">
        <v>-247.0</v>
      </c>
      <c r="G201" s="586">
        <v>-180.0</v>
      </c>
      <c r="H201" s="586">
        <v>-82.0</v>
      </c>
      <c r="I201" s="587">
        <v>2107.0</v>
      </c>
      <c r="L201" s="261"/>
      <c r="M201" s="261"/>
      <c r="N201" s="261"/>
      <c r="O201" s="261"/>
      <c r="P201" s="584"/>
      <c r="Q201" s="261"/>
      <c r="R201" s="261"/>
      <c r="S201" s="261"/>
    </row>
    <row r="202" ht="22.5" customHeight="1">
      <c r="A202" s="580">
        <v>45664.0</v>
      </c>
      <c r="B202" s="261"/>
      <c r="C202" s="586">
        <v>120000.0</v>
      </c>
      <c r="D202" s="261"/>
      <c r="E202" s="261"/>
      <c r="F202" s="261"/>
      <c r="G202" s="261"/>
      <c r="H202" s="261"/>
      <c r="I202" s="584"/>
      <c r="J202" s="586" t="s">
        <v>4707</v>
      </c>
      <c r="K202" s="586" t="s">
        <v>4708</v>
      </c>
      <c r="L202" s="261"/>
      <c r="M202" s="261"/>
      <c r="N202" s="261"/>
      <c r="O202" s="261"/>
      <c r="P202" s="584"/>
      <c r="Q202" s="261"/>
      <c r="R202" s="261"/>
      <c r="S202" s="261"/>
    </row>
    <row r="203" ht="22.5" customHeight="1">
      <c r="A203" s="261"/>
      <c r="B203" s="585">
        <v>0.40069444444444446</v>
      </c>
      <c r="C203" s="586" t="s">
        <v>4705</v>
      </c>
      <c r="D203" s="261"/>
      <c r="E203" s="261"/>
      <c r="F203" s="261"/>
      <c r="G203" s="261"/>
      <c r="H203" s="261"/>
      <c r="I203" s="584"/>
      <c r="J203" s="261"/>
      <c r="K203" s="261"/>
      <c r="L203" s="261"/>
      <c r="M203" s="261"/>
      <c r="N203" s="261"/>
      <c r="O203" s="261"/>
      <c r="P203" s="584"/>
      <c r="Q203" s="261"/>
      <c r="R203" s="261"/>
      <c r="S203" s="261"/>
    </row>
    <row r="204" ht="22.5" customHeight="1">
      <c r="A204" s="261"/>
      <c r="B204" s="261"/>
      <c r="C204" s="261"/>
      <c r="D204" s="261"/>
      <c r="E204" s="261"/>
      <c r="F204" s="261"/>
      <c r="G204" s="261"/>
      <c r="H204" s="261"/>
      <c r="I204" s="584"/>
      <c r="J204" s="261"/>
      <c r="K204" s="261"/>
      <c r="L204" s="261"/>
      <c r="M204" s="261"/>
      <c r="N204" s="261"/>
      <c r="O204" s="261"/>
      <c r="P204" s="584"/>
      <c r="Q204" s="261"/>
      <c r="R204" s="261"/>
      <c r="S204" s="261"/>
    </row>
    <row r="210" ht="35.25" customHeight="1">
      <c r="A210" s="606" t="s">
        <v>26</v>
      </c>
      <c r="B210" s="597" t="s">
        <v>42</v>
      </c>
      <c r="C210" s="597" t="s">
        <v>4709</v>
      </c>
      <c r="D210" s="607" t="s">
        <v>4364</v>
      </c>
      <c r="E210" s="608" t="s">
        <v>4710</v>
      </c>
      <c r="F210" s="586" t="s">
        <v>4711</v>
      </c>
      <c r="G210" s="261" t="s">
        <v>4712</v>
      </c>
      <c r="H210" s="261" t="s">
        <v>4713</v>
      </c>
      <c r="I210" s="261" t="s">
        <v>4714</v>
      </c>
      <c r="J210" s="261" t="s">
        <v>4682</v>
      </c>
      <c r="K210" s="261" t="s">
        <v>4715</v>
      </c>
      <c r="L210" s="261" t="s">
        <v>4716</v>
      </c>
      <c r="M210" s="225" t="s">
        <v>4683</v>
      </c>
      <c r="N210" s="608" t="s">
        <v>4717</v>
      </c>
      <c r="O210" s="586" t="s">
        <v>4718</v>
      </c>
      <c r="P210" s="261" t="s">
        <v>4719</v>
      </c>
      <c r="Q210" s="261" t="s">
        <v>4720</v>
      </c>
      <c r="R210" s="261" t="s">
        <v>4721</v>
      </c>
      <c r="S210" s="261" t="s">
        <v>4722</v>
      </c>
      <c r="T210" s="261" t="s">
        <v>4723</v>
      </c>
      <c r="U210" s="261" t="s">
        <v>4724</v>
      </c>
      <c r="V210" s="261" t="s">
        <v>4725</v>
      </c>
      <c r="W210" s="261" t="s">
        <v>4726</v>
      </c>
      <c r="X210" s="261" t="s">
        <v>4727</v>
      </c>
      <c r="Y210" s="261" t="s">
        <v>4728</v>
      </c>
      <c r="Z210" s="607" t="s">
        <v>4365</v>
      </c>
      <c r="AA210" s="609" t="s">
        <v>4366</v>
      </c>
      <c r="AB210" s="608" t="s">
        <v>4729</v>
      </c>
      <c r="AC210" s="586" t="s">
        <v>4730</v>
      </c>
      <c r="AD210" s="261" t="s">
        <v>4731</v>
      </c>
      <c r="AE210" s="261" t="s">
        <v>4732</v>
      </c>
      <c r="AF210" s="261" t="s">
        <v>4367</v>
      </c>
      <c r="AG210" s="261" t="s">
        <v>4733</v>
      </c>
      <c r="AH210" s="261" t="s">
        <v>4734</v>
      </c>
      <c r="AI210" s="261" t="s">
        <v>4735</v>
      </c>
      <c r="AJ210" s="607" t="s">
        <v>4368</v>
      </c>
      <c r="AK210" s="608" t="s">
        <v>4736</v>
      </c>
      <c r="AL210" s="586" t="s">
        <v>4737</v>
      </c>
      <c r="AM210" s="261" t="s">
        <v>4738</v>
      </c>
      <c r="AN210" s="261" t="s">
        <v>4739</v>
      </c>
      <c r="AO210" s="261" t="s">
        <v>4740</v>
      </c>
      <c r="AP210" s="261" t="s">
        <v>4741</v>
      </c>
      <c r="AQ210" s="261" t="s">
        <v>4742</v>
      </c>
      <c r="AR210" s="261" t="s">
        <v>4743</v>
      </c>
      <c r="AS210" s="261" t="s">
        <v>4744</v>
      </c>
      <c r="AT210" s="261" t="s">
        <v>4745</v>
      </c>
      <c r="AU210" s="261" t="s">
        <v>4746</v>
      </c>
      <c r="AV210" s="610"/>
      <c r="AW210" s="611" t="s">
        <v>4747</v>
      </c>
      <c r="AX210" s="610"/>
      <c r="AY210" s="610"/>
      <c r="AZ210" s="610"/>
      <c r="BA210" s="610"/>
      <c r="BB210" s="610"/>
      <c r="BC210" s="610"/>
      <c r="BD210" s="610"/>
      <c r="BE210" s="610"/>
      <c r="BF210" s="610"/>
      <c r="BG210" s="610"/>
      <c r="BH210" s="612"/>
      <c r="BI210" s="612"/>
      <c r="BJ210" s="612"/>
      <c r="BK210" s="612"/>
      <c r="BL210" s="612"/>
      <c r="BM210" s="612"/>
      <c r="BN210" s="612"/>
      <c r="BO210" s="612"/>
      <c r="BP210" s="612"/>
      <c r="BQ210" s="612"/>
    </row>
    <row r="211" ht="33.0" customHeight="1">
      <c r="A211" s="613" t="s">
        <v>4748</v>
      </c>
      <c r="B211" s="614">
        <f>sum(B219,B223,B230,B237)</f>
        <v>38</v>
      </c>
      <c r="C211" s="615">
        <f>sum(B219,B223,B230,B237)</f>
        <v>38</v>
      </c>
      <c r="D211" s="607"/>
      <c r="E211" s="616">
        <f>AVERAGE(G211:K211)</f>
        <v>8.6</v>
      </c>
      <c r="F211" s="617">
        <f>E211/B211</f>
        <v>0.2263157895</v>
      </c>
      <c r="G211" s="618">
        <f t="shared" ref="G211:L211" si="57">sum(G219,G223,G230,G237)</f>
        <v>6</v>
      </c>
      <c r="H211" s="618">
        <f t="shared" si="57"/>
        <v>6</v>
      </c>
      <c r="I211" s="618">
        <f t="shared" si="57"/>
        <v>3</v>
      </c>
      <c r="J211" s="618">
        <f t="shared" si="57"/>
        <v>14</v>
      </c>
      <c r="K211" s="618">
        <f t="shared" si="57"/>
        <v>14</v>
      </c>
      <c r="L211" s="618">
        <f t="shared" si="57"/>
        <v>14</v>
      </c>
      <c r="M211" s="607"/>
      <c r="N211" s="619">
        <f>AVERAGE(P211:W211)</f>
        <v>1.0625</v>
      </c>
      <c r="O211" s="617">
        <f>N211/B211</f>
        <v>0.02796052632</v>
      </c>
      <c r="P211" s="618">
        <f t="shared" ref="P211:Y211" si="58">sum(P219,P223,P230,P237)</f>
        <v>9</v>
      </c>
      <c r="Q211" s="618">
        <f t="shared" si="58"/>
        <v>-6</v>
      </c>
      <c r="R211" s="618">
        <f t="shared" si="58"/>
        <v>-12</v>
      </c>
      <c r="S211" s="618">
        <f t="shared" si="58"/>
        <v>14</v>
      </c>
      <c r="T211" s="618">
        <f t="shared" si="58"/>
        <v>-2.5</v>
      </c>
      <c r="U211" s="618">
        <f t="shared" si="58"/>
        <v>-6</v>
      </c>
      <c r="V211" s="618">
        <f t="shared" si="58"/>
        <v>1</v>
      </c>
      <c r="W211" s="618">
        <f t="shared" si="58"/>
        <v>11</v>
      </c>
      <c r="X211" s="618">
        <f t="shared" si="58"/>
        <v>2</v>
      </c>
      <c r="Y211" s="618">
        <f t="shared" si="58"/>
        <v>20</v>
      </c>
      <c r="Z211" s="607"/>
      <c r="AA211" s="620"/>
      <c r="AB211" s="621">
        <f>average(AD211,AE211:AI211)</f>
        <v>9.666666667</v>
      </c>
      <c r="AC211" s="617">
        <f>AB211/B211</f>
        <v>0.2543859649</v>
      </c>
      <c r="AD211" s="618">
        <f t="shared" ref="AD211:AI211" si="59">sum(AD219,AD223,AD230,AD237)</f>
        <v>14</v>
      </c>
      <c r="AE211" s="622">
        <f t="shared" si="59"/>
        <v>3</v>
      </c>
      <c r="AF211" s="622">
        <f t="shared" si="59"/>
        <v>0</v>
      </c>
      <c r="AG211" s="618">
        <f t="shared" si="59"/>
        <v>10</v>
      </c>
      <c r="AH211" s="618">
        <f t="shared" si="59"/>
        <v>15</v>
      </c>
      <c r="AI211" s="618">
        <f t="shared" si="59"/>
        <v>16</v>
      </c>
      <c r="AJ211" s="607"/>
      <c r="AK211" s="623">
        <f>AVERAGE(AM211:AT211)</f>
        <v>14.75</v>
      </c>
      <c r="AL211" s="617">
        <f>AK211/B211</f>
        <v>0.3881578947</v>
      </c>
      <c r="AM211" s="624">
        <f t="shared" ref="AM211:AU211" si="60">sum(AM219,AM223,AM230,AM237)</f>
        <v>12</v>
      </c>
      <c r="AN211" s="624">
        <f t="shared" si="60"/>
        <v>15.5</v>
      </c>
      <c r="AO211" s="624">
        <f t="shared" si="60"/>
        <v>2</v>
      </c>
      <c r="AP211" s="624">
        <f t="shared" si="60"/>
        <v>11</v>
      </c>
      <c r="AQ211" s="624">
        <f t="shared" si="60"/>
        <v>9</v>
      </c>
      <c r="AR211" s="624">
        <f t="shared" si="60"/>
        <v>23</v>
      </c>
      <c r="AS211" s="624">
        <f t="shared" si="60"/>
        <v>23.5</v>
      </c>
      <c r="AT211" s="624">
        <f t="shared" si="60"/>
        <v>22</v>
      </c>
      <c r="AU211" s="624">
        <f t="shared" si="60"/>
        <v>8</v>
      </c>
      <c r="AV211" s="610"/>
      <c r="AW211" s="611" t="s">
        <v>4749</v>
      </c>
      <c r="AX211" s="610"/>
      <c r="AY211" s="610"/>
      <c r="AZ211" s="610"/>
      <c r="BA211" s="610"/>
      <c r="BB211" s="610"/>
      <c r="BC211" s="610"/>
      <c r="BD211" s="610"/>
      <c r="BE211" s="610"/>
      <c r="BF211" s="610"/>
      <c r="BG211" s="610"/>
      <c r="BH211" s="612"/>
      <c r="BI211" s="612"/>
      <c r="BJ211" s="612"/>
      <c r="BK211" s="612"/>
      <c r="BL211" s="612"/>
      <c r="BM211" s="612"/>
      <c r="BN211" s="612"/>
      <c r="BO211" s="612"/>
      <c r="BP211" s="612"/>
      <c r="BQ211" s="612"/>
    </row>
    <row r="212" ht="33.0" customHeight="1">
      <c r="A212" s="625" t="s">
        <v>4424</v>
      </c>
      <c r="B212" s="626"/>
      <c r="C212" s="627"/>
      <c r="D212" s="607"/>
      <c r="E212" s="628">
        <f>AVERAGE(G212:L212)</f>
        <v>559.1666667</v>
      </c>
      <c r="F212" s="629">
        <f>SUM(G212:L212)</f>
        <v>3355</v>
      </c>
      <c r="G212" s="630">
        <v>540.0</v>
      </c>
      <c r="H212" s="627">
        <v>626.0</v>
      </c>
      <c r="I212" s="631">
        <v>-1463.0</v>
      </c>
      <c r="J212" s="630">
        <v>1562.0</v>
      </c>
      <c r="K212" s="630">
        <v>1101.0</v>
      </c>
      <c r="L212" s="627">
        <v>989.0</v>
      </c>
      <c r="M212" s="607"/>
      <c r="N212" s="632">
        <f>AVERAGE(P212:Y212)</f>
        <v>137.1666667</v>
      </c>
      <c r="O212" s="629">
        <f>SUM(P212:Y212)</f>
        <v>1234.5</v>
      </c>
      <c r="P212" s="630">
        <v>1112.0</v>
      </c>
      <c r="Q212" s="630">
        <v>262.5</v>
      </c>
      <c r="R212" s="630">
        <v>-681.0000000000005</v>
      </c>
      <c r="S212" s="627">
        <v>218.0</v>
      </c>
      <c r="T212" s="627">
        <v>-212.0</v>
      </c>
      <c r="U212" s="627">
        <v>210.0</v>
      </c>
      <c r="V212" s="627">
        <v>-182.0</v>
      </c>
      <c r="W212" s="627">
        <v>-775.0</v>
      </c>
      <c r="X212" s="633"/>
      <c r="Y212" s="630">
        <v>1282.0</v>
      </c>
      <c r="Z212" s="607"/>
      <c r="AB212" s="634">
        <f>AVEDEV(AD212:AI212)</f>
        <v>625.5555556</v>
      </c>
      <c r="AC212" s="635">
        <f>SUM(AD212:AI212)</f>
        <v>2555</v>
      </c>
      <c r="AD212" s="627">
        <v>535.0</v>
      </c>
      <c r="AE212" s="631">
        <v>-474.0</v>
      </c>
      <c r="AF212" s="627">
        <v>-551.0</v>
      </c>
      <c r="AG212" s="627">
        <v>889.0000000000008</v>
      </c>
      <c r="AH212" s="636">
        <v>1065.750000000001</v>
      </c>
      <c r="AI212" s="630">
        <v>1090.25</v>
      </c>
      <c r="AJ212" s="607"/>
      <c r="AK212" s="634">
        <f>AVERAGE(AM212:AS212)</f>
        <v>-135.6071429</v>
      </c>
      <c r="AL212" s="629">
        <f>SUM(AM212:AS212)</f>
        <v>-949.25</v>
      </c>
      <c r="AM212" s="621">
        <v>145.2499999999992</v>
      </c>
      <c r="AN212" s="621">
        <v>-444.4999999999996</v>
      </c>
      <c r="AO212" s="621">
        <v>-1085.0</v>
      </c>
      <c r="AP212" s="621">
        <v>-626.0</v>
      </c>
      <c r="AQ212" s="637">
        <v>259.0</v>
      </c>
      <c r="AR212" s="637">
        <v>415.0</v>
      </c>
      <c r="AS212" s="637">
        <v>387.0</v>
      </c>
      <c r="AT212" s="638">
        <v>-246.0</v>
      </c>
      <c r="AU212" s="637">
        <v>-641.0</v>
      </c>
      <c r="AV212" s="610"/>
      <c r="AW212" s="610"/>
      <c r="BD212" s="610"/>
      <c r="BE212" s="610"/>
      <c r="BF212" s="610"/>
      <c r="BG212" s="610"/>
      <c r="BH212" s="612"/>
      <c r="BI212" s="612"/>
      <c r="BJ212" s="612"/>
      <c r="BK212" s="612"/>
      <c r="BL212" s="612"/>
      <c r="BM212" s="612"/>
      <c r="BN212" s="612"/>
      <c r="BO212" s="612"/>
      <c r="BP212" s="612"/>
      <c r="BQ212" s="612"/>
    </row>
    <row r="213" ht="35.25" customHeight="1">
      <c r="A213" s="639"/>
      <c r="B213" s="640"/>
      <c r="C213" s="641"/>
      <c r="D213" s="607"/>
      <c r="E213" s="642" t="s">
        <v>4750</v>
      </c>
      <c r="F213" s="643"/>
      <c r="G213" s="644" t="s">
        <v>4751</v>
      </c>
      <c r="H213" s="644" t="s">
        <v>4751</v>
      </c>
      <c r="I213" s="644" t="s">
        <v>4751</v>
      </c>
      <c r="J213" s="644" t="s">
        <v>4752</v>
      </c>
      <c r="K213" s="644" t="s">
        <v>4751</v>
      </c>
      <c r="L213" s="644" t="s">
        <v>4751</v>
      </c>
      <c r="M213" s="607"/>
      <c r="N213" s="645" t="s">
        <v>4753</v>
      </c>
      <c r="O213" s="643"/>
      <c r="P213" s="644" t="s">
        <v>4751</v>
      </c>
      <c r="Q213" s="644" t="s">
        <v>4751</v>
      </c>
      <c r="R213" s="644" t="s">
        <v>4752</v>
      </c>
      <c r="S213" s="644" t="s">
        <v>4751</v>
      </c>
      <c r="T213" s="644" t="s">
        <v>4751</v>
      </c>
      <c r="U213" s="644" t="s">
        <v>4752</v>
      </c>
      <c r="V213" s="644" t="s">
        <v>4754</v>
      </c>
      <c r="W213" s="644" t="s">
        <v>4751</v>
      </c>
      <c r="X213" s="644" t="s">
        <v>4752</v>
      </c>
      <c r="Y213" s="644" t="s">
        <v>4754</v>
      </c>
      <c r="Z213" s="607"/>
      <c r="AA213" s="620"/>
      <c r="AB213" s="642" t="s">
        <v>4755</v>
      </c>
      <c r="AC213" s="643"/>
      <c r="AD213" s="644" t="s">
        <v>4751</v>
      </c>
      <c r="AE213" s="644" t="s">
        <v>4751</v>
      </c>
      <c r="AF213" s="644" t="s">
        <v>4752</v>
      </c>
      <c r="AG213" s="644" t="s">
        <v>4751</v>
      </c>
      <c r="AH213" s="644" t="s">
        <v>4751</v>
      </c>
      <c r="AI213" s="644" t="s">
        <v>4751</v>
      </c>
      <c r="AJ213" s="607"/>
      <c r="AK213" s="642" t="s">
        <v>4574</v>
      </c>
      <c r="AL213" s="643"/>
      <c r="AM213" s="644" t="s">
        <v>4751</v>
      </c>
      <c r="AN213" s="644" t="s">
        <v>4752</v>
      </c>
      <c r="AO213" s="644" t="s">
        <v>4751</v>
      </c>
      <c r="AP213" s="644" t="s">
        <v>4752</v>
      </c>
      <c r="AQ213" s="644" t="s">
        <v>4751</v>
      </c>
      <c r="AR213" s="644" t="s">
        <v>4751</v>
      </c>
      <c r="AS213" s="644" t="s">
        <v>4752</v>
      </c>
      <c r="AT213" s="644" t="s">
        <v>4751</v>
      </c>
      <c r="AU213" s="644" t="s">
        <v>4752</v>
      </c>
      <c r="AV213" s="610"/>
      <c r="AW213" s="610"/>
      <c r="BD213" s="610"/>
      <c r="BE213" s="610"/>
      <c r="BF213" s="610"/>
      <c r="BG213" s="610"/>
      <c r="BH213" s="612"/>
      <c r="BI213" s="612"/>
      <c r="BJ213" s="612"/>
      <c r="BK213" s="612"/>
      <c r="BL213" s="612"/>
      <c r="BM213" s="612"/>
      <c r="BN213" s="612"/>
      <c r="BO213" s="612"/>
      <c r="BP213" s="612"/>
      <c r="BQ213" s="612"/>
    </row>
    <row r="214" ht="33.0" customHeight="1">
      <c r="A214" s="639" t="s">
        <v>4756</v>
      </c>
      <c r="B214" s="640"/>
      <c r="C214" s="641"/>
      <c r="D214" s="607"/>
      <c r="E214" s="646"/>
      <c r="F214" s="647"/>
      <c r="G214" s="648" t="s">
        <v>4757</v>
      </c>
      <c r="H214" s="648" t="s">
        <v>4758</v>
      </c>
      <c r="I214" s="649" t="s">
        <v>4759</v>
      </c>
      <c r="J214" s="649" t="s">
        <v>4759</v>
      </c>
      <c r="K214" s="648" t="s">
        <v>4760</v>
      </c>
      <c r="L214" s="648" t="s">
        <v>4761</v>
      </c>
      <c r="M214" s="607"/>
      <c r="N214" s="650"/>
      <c r="O214" s="647"/>
      <c r="P214" s="648" t="s">
        <v>4762</v>
      </c>
      <c r="Q214" s="648" t="s">
        <v>4763</v>
      </c>
      <c r="R214" s="648" t="s">
        <v>4763</v>
      </c>
      <c r="S214" s="648" t="s">
        <v>4764</v>
      </c>
      <c r="T214" s="648" t="s">
        <v>4765</v>
      </c>
      <c r="U214" s="648" t="s">
        <v>4765</v>
      </c>
      <c r="V214" s="648" t="s">
        <v>4765</v>
      </c>
      <c r="W214" s="648" t="s">
        <v>4766</v>
      </c>
      <c r="X214" s="651"/>
      <c r="Y214" s="648" t="s">
        <v>4766</v>
      </c>
      <c r="Z214" s="607"/>
      <c r="AA214" s="620"/>
      <c r="AB214" s="646"/>
      <c r="AC214" s="647"/>
      <c r="AD214" s="649" t="s">
        <v>4767</v>
      </c>
      <c r="AE214" s="649" t="s">
        <v>4768</v>
      </c>
      <c r="AF214" s="649" t="s">
        <v>4769</v>
      </c>
      <c r="AG214" s="652" t="s">
        <v>4770</v>
      </c>
      <c r="AH214" s="652" t="s">
        <v>4771</v>
      </c>
      <c r="AI214" s="652" t="s">
        <v>4772</v>
      </c>
      <c r="AJ214" s="607"/>
      <c r="AK214" s="646"/>
      <c r="AL214" s="647"/>
      <c r="AM214" s="652" t="s">
        <v>4773</v>
      </c>
      <c r="AN214" s="652" t="s">
        <v>4774</v>
      </c>
      <c r="AO214" s="653" t="s">
        <v>4775</v>
      </c>
      <c r="AP214" s="653" t="s">
        <v>4776</v>
      </c>
      <c r="AQ214" s="654" t="s">
        <v>4777</v>
      </c>
      <c r="AR214" s="654" t="s">
        <v>4778</v>
      </c>
      <c r="AS214" s="654" t="s">
        <v>4779</v>
      </c>
      <c r="AT214" s="637"/>
      <c r="AU214" s="637"/>
      <c r="AV214" s="610"/>
      <c r="AW214" s="610"/>
      <c r="BD214" s="610"/>
      <c r="BE214" s="610"/>
      <c r="BF214" s="610"/>
      <c r="BG214" s="610"/>
      <c r="BH214" s="612"/>
      <c r="BI214" s="612"/>
      <c r="BJ214" s="612"/>
      <c r="BK214" s="612"/>
      <c r="BL214" s="612"/>
      <c r="BM214" s="612"/>
      <c r="BN214" s="612"/>
      <c r="BO214" s="612"/>
      <c r="BP214" s="612"/>
      <c r="BQ214" s="612"/>
    </row>
    <row r="215" ht="33.0" customHeight="1">
      <c r="A215" s="655" t="s">
        <v>4780</v>
      </c>
      <c r="B215" s="597"/>
      <c r="C215" s="637"/>
      <c r="D215" s="607"/>
      <c r="E215" s="646"/>
      <c r="F215" s="647"/>
      <c r="G215" s="656" t="s">
        <v>4781</v>
      </c>
      <c r="H215" s="656" t="s">
        <v>4782</v>
      </c>
      <c r="I215" s="656" t="s">
        <v>4783</v>
      </c>
      <c r="J215" s="637" t="s">
        <v>65</v>
      </c>
      <c r="K215" s="656" t="s">
        <v>4784</v>
      </c>
      <c r="L215" s="656" t="s">
        <v>4785</v>
      </c>
      <c r="M215" s="607"/>
      <c r="N215" s="650"/>
      <c r="O215" s="647"/>
      <c r="P215" s="656" t="s">
        <v>4786</v>
      </c>
      <c r="Q215" s="656" t="s">
        <v>4787</v>
      </c>
      <c r="R215" s="637" t="s">
        <v>65</v>
      </c>
      <c r="S215" s="656" t="s">
        <v>4788</v>
      </c>
      <c r="T215" s="657" t="s">
        <v>4789</v>
      </c>
      <c r="U215" s="637" t="s">
        <v>65</v>
      </c>
      <c r="V215" s="637" t="s">
        <v>65</v>
      </c>
      <c r="W215" s="656" t="s">
        <v>4790</v>
      </c>
      <c r="X215" s="637" t="s">
        <v>65</v>
      </c>
      <c r="Y215" s="637" t="s">
        <v>65</v>
      </c>
      <c r="Z215" s="607"/>
      <c r="AA215" s="658"/>
      <c r="AB215" s="646"/>
      <c r="AC215" s="647"/>
      <c r="AD215" s="659"/>
      <c r="AE215" s="659"/>
      <c r="AF215" s="659"/>
      <c r="AG215" s="659"/>
      <c r="AH215" s="659"/>
      <c r="AI215" s="659"/>
      <c r="AJ215" s="607"/>
      <c r="AK215" s="646"/>
      <c r="AL215" s="647"/>
      <c r="AM215" s="659"/>
      <c r="AN215" s="659"/>
      <c r="AO215" s="359"/>
      <c r="AP215" s="359"/>
      <c r="AQ215" s="637"/>
      <c r="AR215" s="637"/>
      <c r="AS215" s="637"/>
      <c r="AT215" s="637"/>
      <c r="AU215" s="637"/>
      <c r="AV215" s="610"/>
      <c r="AW215" s="610"/>
      <c r="AX215" s="610"/>
      <c r="AY215" s="660"/>
      <c r="AZ215" s="610"/>
      <c r="BA215" s="610"/>
      <c r="BB215" s="610"/>
      <c r="BC215" s="610"/>
      <c r="BD215" s="610"/>
      <c r="BE215" s="610"/>
      <c r="BF215" s="610"/>
      <c r="BG215" s="610"/>
      <c r="BH215" s="612"/>
      <c r="BI215" s="612"/>
      <c r="BJ215" s="612"/>
      <c r="BK215" s="612"/>
      <c r="BL215" s="612"/>
      <c r="BM215" s="612"/>
      <c r="BN215" s="612"/>
      <c r="BO215" s="612"/>
      <c r="BP215" s="612"/>
      <c r="BQ215" s="612"/>
    </row>
    <row r="216" ht="33.0" customHeight="1">
      <c r="A216" s="655" t="s">
        <v>4791</v>
      </c>
      <c r="B216" s="597"/>
      <c r="C216" s="637"/>
      <c r="D216" s="607"/>
      <c r="E216" s="646"/>
      <c r="F216" s="647"/>
      <c r="G216" s="659">
        <v>0.4</v>
      </c>
      <c r="H216" s="659">
        <v>0.3902777777777778</v>
      </c>
      <c r="I216" s="659">
        <v>0.4152777777777778</v>
      </c>
      <c r="J216" s="659">
        <v>0.4340277777777778</v>
      </c>
      <c r="K216" s="659">
        <v>0.38958333333333334</v>
      </c>
      <c r="L216" s="659"/>
      <c r="M216" s="607"/>
      <c r="N216" s="650"/>
      <c r="O216" s="647"/>
      <c r="P216" s="659">
        <v>0.42083333333333334</v>
      </c>
      <c r="Q216" s="659">
        <v>0.4</v>
      </c>
      <c r="R216" s="659">
        <v>0.4222222222222222</v>
      </c>
      <c r="S216" s="659">
        <v>0.39444444444444443</v>
      </c>
      <c r="T216" s="659"/>
      <c r="U216" s="659"/>
      <c r="V216" s="659"/>
      <c r="W216" s="659"/>
      <c r="X216" s="659"/>
      <c r="Y216" s="659"/>
      <c r="Z216" s="607"/>
      <c r="AA216" s="658"/>
      <c r="AB216" s="646"/>
      <c r="AC216" s="647"/>
      <c r="AD216" s="659">
        <v>0.38958333333333334</v>
      </c>
      <c r="AE216" s="659">
        <v>0.40625</v>
      </c>
      <c r="AF216" s="659">
        <v>0.41041666666666665</v>
      </c>
      <c r="AG216" s="659">
        <v>0.3888888888888889</v>
      </c>
      <c r="AH216" s="659">
        <v>0.4041666666666667</v>
      </c>
      <c r="AI216" s="659">
        <v>0.3909722222222222</v>
      </c>
      <c r="AJ216" s="607"/>
      <c r="AK216" s="646"/>
      <c r="AL216" s="647"/>
      <c r="AM216" s="659">
        <v>0.3888888888888889</v>
      </c>
      <c r="AN216" s="659">
        <v>0.4152777777777778</v>
      </c>
      <c r="AO216" s="659">
        <v>0.40208333333333335</v>
      </c>
      <c r="AP216" s="659">
        <v>0.43819444444444444</v>
      </c>
      <c r="AQ216" s="659">
        <v>0.4125</v>
      </c>
      <c r="AR216" s="659">
        <v>0.3958333333333333</v>
      </c>
      <c r="AS216" s="659">
        <v>0.42916666666666664</v>
      </c>
      <c r="AT216" s="637"/>
      <c r="AU216" s="637"/>
      <c r="AV216" s="610"/>
      <c r="AW216" s="610"/>
      <c r="AY216" s="661"/>
      <c r="AZ216" s="610"/>
      <c r="BA216" s="610"/>
      <c r="BB216" s="610"/>
      <c r="BC216" s="610"/>
      <c r="BD216" s="610"/>
      <c r="BE216" s="610"/>
      <c r="BF216" s="610"/>
      <c r="BG216" s="610"/>
      <c r="BH216" s="610"/>
      <c r="BI216" s="610"/>
      <c r="BJ216" s="610"/>
      <c r="BK216" s="610"/>
      <c r="BL216" s="610"/>
      <c r="BM216" s="610"/>
      <c r="BN216" s="612"/>
      <c r="BO216" s="612"/>
      <c r="BP216" s="612"/>
      <c r="BQ216" s="612"/>
    </row>
    <row r="217" ht="33.0" customHeight="1">
      <c r="A217" s="655" t="s">
        <v>4792</v>
      </c>
      <c r="B217" s="601"/>
      <c r="C217" s="637"/>
      <c r="D217" s="607"/>
      <c r="E217" s="646"/>
      <c r="F217" s="647"/>
      <c r="G217" s="637"/>
      <c r="H217" s="637"/>
      <c r="I217" s="637"/>
      <c r="J217" s="637"/>
      <c r="K217" s="637"/>
      <c r="L217" s="637"/>
      <c r="M217" s="607"/>
      <c r="N217" s="650"/>
      <c r="O217" s="647"/>
      <c r="P217" s="637"/>
      <c r="Q217" s="637"/>
      <c r="R217" s="637"/>
      <c r="S217" s="637"/>
      <c r="T217" s="637"/>
      <c r="U217" s="637"/>
      <c r="V217" s="637"/>
      <c r="W217" s="637"/>
      <c r="X217" s="637"/>
      <c r="Y217" s="637"/>
      <c r="Z217" s="607"/>
      <c r="AA217" s="658"/>
      <c r="AB217" s="646"/>
      <c r="AC217" s="647"/>
      <c r="AD217" s="662">
        <v>0.007638888888888862</v>
      </c>
      <c r="AE217" s="662">
        <v>0.002777777777777768</v>
      </c>
      <c r="AF217" s="662">
        <v>0.006944444444444475</v>
      </c>
      <c r="AG217" s="662">
        <v>0.009722222222222243</v>
      </c>
      <c r="AH217" s="662">
        <v>0.005555555555555536</v>
      </c>
      <c r="AI217" s="662">
        <v>0.009027777777777801</v>
      </c>
      <c r="AJ217" s="607"/>
      <c r="AK217" s="646"/>
      <c r="AL217" s="647"/>
      <c r="AM217" s="662">
        <v>0.013888888888888895</v>
      </c>
      <c r="AN217" s="662">
        <v>0.004166666666666652</v>
      </c>
      <c r="AO217" s="662" t="s">
        <v>4793</v>
      </c>
      <c r="AP217" s="662" t="s">
        <v>4794</v>
      </c>
      <c r="AQ217" s="662" t="s">
        <v>4795</v>
      </c>
      <c r="AR217" s="662" t="s">
        <v>4796</v>
      </c>
      <c r="AS217" s="662" t="s">
        <v>4793</v>
      </c>
      <c r="AT217" s="637"/>
      <c r="AU217" s="637"/>
      <c r="AV217" s="610"/>
      <c r="AW217" s="610"/>
      <c r="AY217" s="610"/>
      <c r="AZ217" s="610"/>
      <c r="BA217" s="610"/>
      <c r="BB217" s="610"/>
      <c r="BC217" s="610"/>
      <c r="BD217" s="610"/>
      <c r="BE217" s="610"/>
      <c r="BF217" s="610"/>
      <c r="BG217" s="610"/>
      <c r="BH217" s="610"/>
      <c r="BI217" s="610"/>
      <c r="BJ217" s="610"/>
      <c r="BK217" s="610"/>
      <c r="BL217" s="610"/>
      <c r="BM217" s="610"/>
      <c r="BN217" s="612"/>
      <c r="BO217" s="612"/>
      <c r="BP217" s="612"/>
      <c r="BQ217" s="612"/>
    </row>
    <row r="218" ht="33.0" customHeight="1">
      <c r="A218" s="655" t="s">
        <v>4797</v>
      </c>
      <c r="B218" s="663"/>
      <c r="C218" s="664"/>
      <c r="D218" s="607"/>
      <c r="E218" s="646"/>
      <c r="F218" s="647"/>
      <c r="G218" s="664"/>
      <c r="H218" s="664"/>
      <c r="I218" s="664"/>
      <c r="J218" s="664"/>
      <c r="K218" s="664"/>
      <c r="L218" s="664"/>
      <c r="M218" s="607"/>
      <c r="N218" s="650"/>
      <c r="O218" s="647"/>
      <c r="P218" s="664"/>
      <c r="Q218" s="664"/>
      <c r="R218" s="664"/>
      <c r="S218" s="664"/>
      <c r="T218" s="664"/>
      <c r="U218" s="664"/>
      <c r="V218" s="664"/>
      <c r="W218" s="664"/>
      <c r="X218" s="664"/>
      <c r="Y218" s="664"/>
      <c r="Z218" s="607"/>
      <c r="AA218" s="658"/>
      <c r="AB218" s="646"/>
      <c r="AC218" s="647"/>
      <c r="AD218" s="664">
        <v>15.0</v>
      </c>
      <c r="AE218" s="664">
        <v>-14.0</v>
      </c>
      <c r="AF218" s="664">
        <v>-16.0</v>
      </c>
      <c r="AG218" s="664">
        <v>25.0</v>
      </c>
      <c r="AH218" s="664">
        <v>30.0</v>
      </c>
      <c r="AI218" s="664">
        <v>31.0</v>
      </c>
      <c r="AJ218" s="607"/>
      <c r="AK218" s="646"/>
      <c r="AL218" s="647"/>
      <c r="AM218" s="664">
        <v>4.149999999999977</v>
      </c>
      <c r="AN218" s="664">
        <v>-13.0</v>
      </c>
      <c r="AO218" s="664">
        <v>-31.0</v>
      </c>
      <c r="AP218" s="664">
        <v>-18.0</v>
      </c>
      <c r="AQ218" s="664">
        <v>8.0</v>
      </c>
      <c r="AR218" s="664">
        <v>12.0</v>
      </c>
      <c r="AS218" s="664">
        <v>11.0</v>
      </c>
      <c r="AT218" s="637"/>
      <c r="AU218" s="637"/>
      <c r="AV218" s="610"/>
      <c r="AW218" s="610"/>
      <c r="AY218" s="610"/>
      <c r="AZ218" s="610"/>
      <c r="BA218" s="610"/>
      <c r="BB218" s="610"/>
      <c r="BC218" s="610"/>
      <c r="BD218" s="610"/>
      <c r="BE218" s="610"/>
      <c r="BF218" s="610"/>
      <c r="BG218" s="610"/>
      <c r="BH218" s="610"/>
      <c r="BI218" s="610"/>
      <c r="BJ218" s="610"/>
      <c r="BK218" s="610"/>
      <c r="BL218" s="610"/>
      <c r="BM218" s="610"/>
      <c r="BN218" s="665"/>
      <c r="BO218" s="665"/>
      <c r="BP218" s="612"/>
      <c r="BQ218" s="612"/>
    </row>
    <row r="219" ht="33.0" customHeight="1">
      <c r="A219" s="625" t="s">
        <v>4798</v>
      </c>
      <c r="B219" s="614">
        <f>sum(C220:C222)</f>
        <v>3</v>
      </c>
      <c r="C219" s="666"/>
      <c r="D219" s="607"/>
      <c r="E219" s="628">
        <f>AVERAGE(G219:L219)</f>
        <v>1.333333333</v>
      </c>
      <c r="F219" s="667">
        <f>E219/B219</f>
        <v>0.4444444444</v>
      </c>
      <c r="G219" s="668">
        <f t="shared" ref="G219:L219" si="61">sum(G221:G222)</f>
        <v>3</v>
      </c>
      <c r="H219" s="668">
        <f t="shared" si="61"/>
        <v>-1</v>
      </c>
      <c r="I219" s="668">
        <f t="shared" si="61"/>
        <v>1</v>
      </c>
      <c r="J219" s="668">
        <f t="shared" si="61"/>
        <v>1</v>
      </c>
      <c r="K219" s="668">
        <f t="shared" si="61"/>
        <v>3</v>
      </c>
      <c r="L219" s="668">
        <f t="shared" si="61"/>
        <v>1</v>
      </c>
      <c r="M219" s="607"/>
      <c r="N219" s="632">
        <f>AVERAGE(P219:Y219)</f>
        <v>1.875</v>
      </c>
      <c r="O219" s="617">
        <f>N219/B219</f>
        <v>0.625</v>
      </c>
      <c r="P219" s="668">
        <f t="shared" ref="P219:T219" si="62">sum(P221:P222)</f>
        <v>3</v>
      </c>
      <c r="Q219" s="668">
        <f t="shared" si="62"/>
        <v>1</v>
      </c>
      <c r="R219" s="668">
        <f t="shared" si="62"/>
        <v>1</v>
      </c>
      <c r="S219" s="668">
        <f t="shared" si="62"/>
        <v>3</v>
      </c>
      <c r="T219" s="668">
        <f t="shared" si="62"/>
        <v>-1</v>
      </c>
      <c r="U219" s="668"/>
      <c r="V219" s="668"/>
      <c r="W219" s="668">
        <f t="shared" ref="W219:Y219" si="63">sum(W221:W222)</f>
        <v>-1</v>
      </c>
      <c r="X219" s="668">
        <f t="shared" si="63"/>
        <v>3</v>
      </c>
      <c r="Y219" s="668">
        <f t="shared" si="63"/>
        <v>6</v>
      </c>
      <c r="Z219" s="607"/>
      <c r="AA219" s="658"/>
      <c r="AB219" s="669">
        <f>average(AD219,AE219:AI219)</f>
        <v>1.5</v>
      </c>
      <c r="AC219" s="617">
        <f>AB219/B219</f>
        <v>0.5</v>
      </c>
      <c r="AD219" s="670">
        <f t="shared" ref="AD219:AI219" si="64">sum(AD221:AD222)</f>
        <v>1</v>
      </c>
      <c r="AE219" s="668">
        <f t="shared" si="64"/>
        <v>3</v>
      </c>
      <c r="AF219" s="668">
        <f t="shared" si="64"/>
        <v>1</v>
      </c>
      <c r="AG219" s="668">
        <f t="shared" si="64"/>
        <v>2</v>
      </c>
      <c r="AH219" s="668">
        <f t="shared" si="64"/>
        <v>1</v>
      </c>
      <c r="AI219" s="668">
        <f t="shared" si="64"/>
        <v>1</v>
      </c>
      <c r="AJ219" s="607"/>
      <c r="AK219" s="671">
        <f>AVERAGE(AM219:AT219)</f>
        <v>1.5</v>
      </c>
      <c r="AL219" s="667">
        <f>AK219/B219</f>
        <v>0.5</v>
      </c>
      <c r="AM219" s="670">
        <f t="shared" ref="AM219:AU219" si="65">sum(AM221:AM222)</f>
        <v>-2</v>
      </c>
      <c r="AN219" s="670">
        <f t="shared" si="65"/>
        <v>2</v>
      </c>
      <c r="AO219" s="670">
        <f t="shared" si="65"/>
        <v>2</v>
      </c>
      <c r="AP219" s="670">
        <f t="shared" si="65"/>
        <v>-2</v>
      </c>
      <c r="AQ219" s="670">
        <f t="shared" si="65"/>
        <v>3</v>
      </c>
      <c r="AR219" s="670">
        <f t="shared" si="65"/>
        <v>3</v>
      </c>
      <c r="AS219" s="670">
        <f t="shared" si="65"/>
        <v>3</v>
      </c>
      <c r="AT219" s="670">
        <f t="shared" si="65"/>
        <v>3</v>
      </c>
      <c r="AU219" s="670">
        <f t="shared" si="65"/>
        <v>2</v>
      </c>
      <c r="AV219" s="610"/>
      <c r="AW219" s="610"/>
      <c r="AY219" s="610"/>
      <c r="AZ219" s="610"/>
      <c r="BA219" s="610"/>
      <c r="BB219" s="610"/>
      <c r="BC219" s="610"/>
      <c r="BD219" s="610"/>
      <c r="BE219" s="610"/>
      <c r="BF219" s="610"/>
      <c r="BG219" s="610"/>
      <c r="BH219" s="610"/>
      <c r="BI219" s="610"/>
      <c r="BJ219" s="610"/>
      <c r="BK219" s="610"/>
      <c r="BL219" s="610"/>
      <c r="BM219" s="610"/>
      <c r="BN219" s="612"/>
      <c r="BO219" s="612"/>
      <c r="BP219" s="612"/>
      <c r="BQ219" s="612"/>
    </row>
    <row r="220" ht="50.25" customHeight="1">
      <c r="A220" s="655" t="s">
        <v>4798</v>
      </c>
      <c r="B220" s="597" t="s">
        <v>4799</v>
      </c>
      <c r="C220" s="637" t="s">
        <v>65</v>
      </c>
      <c r="D220" s="607"/>
      <c r="E220" s="646"/>
      <c r="F220" s="647"/>
      <c r="G220" s="672" t="s">
        <v>4800</v>
      </c>
      <c r="H220" s="637" t="s">
        <v>65</v>
      </c>
      <c r="I220" s="637" t="s">
        <v>65</v>
      </c>
      <c r="J220" s="637" t="s">
        <v>65</v>
      </c>
      <c r="K220" s="673" t="s">
        <v>4801</v>
      </c>
      <c r="L220" s="672" t="s">
        <v>4800</v>
      </c>
      <c r="M220" s="607"/>
      <c r="N220" s="650"/>
      <c r="O220" s="647"/>
      <c r="P220" s="673" t="s">
        <v>4801</v>
      </c>
      <c r="Q220" s="659" t="s">
        <v>65</v>
      </c>
      <c r="R220" s="659" t="s">
        <v>65</v>
      </c>
      <c r="S220" s="672" t="s">
        <v>4800</v>
      </c>
      <c r="T220" s="659" t="s">
        <v>65</v>
      </c>
      <c r="U220" s="659" t="s">
        <v>65</v>
      </c>
      <c r="V220" s="672" t="s">
        <v>4800</v>
      </c>
      <c r="W220" s="659" t="s">
        <v>65</v>
      </c>
      <c r="X220" s="674" t="s">
        <v>4802</v>
      </c>
      <c r="Y220" s="672" t="s">
        <v>4803</v>
      </c>
      <c r="Z220" s="607"/>
      <c r="AA220" s="658"/>
      <c r="AB220" s="646"/>
      <c r="AC220" s="647"/>
      <c r="AD220" s="674" t="s">
        <v>4802</v>
      </c>
      <c r="AE220" s="672" t="s">
        <v>4804</v>
      </c>
      <c r="AF220" s="674" t="s">
        <v>4802</v>
      </c>
      <c r="AG220" s="637" t="s">
        <v>65</v>
      </c>
      <c r="AH220" s="672" t="s">
        <v>4800</v>
      </c>
      <c r="AI220" s="674" t="s">
        <v>4802</v>
      </c>
      <c r="AJ220" s="607"/>
      <c r="AK220" s="646"/>
      <c r="AL220" s="647"/>
      <c r="AM220" s="637" t="s">
        <v>65</v>
      </c>
      <c r="AN220" s="672" t="s">
        <v>4800</v>
      </c>
      <c r="AO220" s="672" t="s">
        <v>4804</v>
      </c>
      <c r="AP220" s="637" t="s">
        <v>65</v>
      </c>
      <c r="AQ220" s="673" t="s">
        <v>4801</v>
      </c>
      <c r="AR220" s="672" t="s">
        <v>4804</v>
      </c>
      <c r="AS220" s="673" t="s">
        <v>4801</v>
      </c>
      <c r="AT220" s="674" t="s">
        <v>4805</v>
      </c>
      <c r="AU220" s="673" t="s">
        <v>4801</v>
      </c>
      <c r="AV220" s="610"/>
      <c r="AW220" s="610"/>
      <c r="AZ220" s="610"/>
      <c r="BA220" s="610"/>
      <c r="BB220" s="610"/>
      <c r="BC220" s="610"/>
      <c r="BD220" s="610"/>
      <c r="BE220" s="610"/>
      <c r="BF220" s="610"/>
      <c r="BG220" s="610"/>
      <c r="BH220" s="610"/>
      <c r="BI220" s="610"/>
      <c r="BJ220" s="610"/>
      <c r="BK220" s="610"/>
      <c r="BL220" s="610"/>
      <c r="BM220" s="610"/>
      <c r="BN220" s="612"/>
      <c r="BO220" s="612"/>
      <c r="BP220" s="612"/>
      <c r="BQ220" s="612"/>
    </row>
    <row r="221" ht="33.0" customHeight="1">
      <c r="A221" s="655" t="s">
        <v>4798</v>
      </c>
      <c r="B221" s="597" t="s">
        <v>4806</v>
      </c>
      <c r="C221" s="637">
        <v>1.0</v>
      </c>
      <c r="D221" s="607"/>
      <c r="E221" s="646"/>
      <c r="F221" s="647"/>
      <c r="G221" s="607">
        <v>1.0</v>
      </c>
      <c r="H221" s="607">
        <v>-1.0</v>
      </c>
      <c r="I221" s="675">
        <v>-1.0</v>
      </c>
      <c r="J221" s="607">
        <v>-1.0</v>
      </c>
      <c r="K221" s="607">
        <v>1.0</v>
      </c>
      <c r="L221" s="637">
        <v>1.0</v>
      </c>
      <c r="M221" s="607"/>
      <c r="N221" s="650"/>
      <c r="O221" s="647"/>
      <c r="P221" s="637">
        <v>3.0</v>
      </c>
      <c r="Q221" s="637">
        <v>-1.0</v>
      </c>
      <c r="R221" s="637">
        <v>-1.0</v>
      </c>
      <c r="S221" s="637">
        <v>1.0</v>
      </c>
      <c r="T221" s="637">
        <v>-1.0</v>
      </c>
      <c r="U221" s="637" t="s">
        <v>65</v>
      </c>
      <c r="V221" s="637">
        <v>1.0</v>
      </c>
      <c r="W221" s="637" t="s">
        <v>65</v>
      </c>
      <c r="X221" s="637">
        <v>1.0</v>
      </c>
      <c r="Y221" s="637">
        <v>4.0</v>
      </c>
      <c r="Z221" s="607"/>
      <c r="AA221" s="658"/>
      <c r="AB221" s="646"/>
      <c r="AC221" s="647"/>
      <c r="AD221" s="676">
        <v>1.0</v>
      </c>
      <c r="AE221" s="637">
        <v>1.0</v>
      </c>
      <c r="AF221" s="637">
        <v>1.0</v>
      </c>
      <c r="AG221" s="637">
        <v>-1.0</v>
      </c>
      <c r="AH221" s="637">
        <v>1.0</v>
      </c>
      <c r="AI221" s="637">
        <v>1.0</v>
      </c>
      <c r="AJ221" s="607"/>
      <c r="AK221" s="646"/>
      <c r="AL221" s="647"/>
      <c r="AM221" s="637">
        <v>-1.0</v>
      </c>
      <c r="AN221" s="637">
        <v>1.0</v>
      </c>
      <c r="AO221" s="637">
        <v>1.0</v>
      </c>
      <c r="AP221" s="637">
        <v>-1.0</v>
      </c>
      <c r="AQ221" s="637">
        <v>1.0</v>
      </c>
      <c r="AR221" s="637">
        <v>1.0</v>
      </c>
      <c r="AS221" s="637">
        <v>1.0</v>
      </c>
      <c r="AT221" s="637">
        <v>1.0</v>
      </c>
      <c r="AU221" s="637">
        <v>1.0</v>
      </c>
      <c r="AV221" s="610"/>
      <c r="AW221" s="610"/>
      <c r="AX221" s="610"/>
      <c r="AY221" s="610"/>
      <c r="AZ221" s="610"/>
      <c r="BA221" s="610"/>
      <c r="BB221" s="610"/>
      <c r="BC221" s="610"/>
      <c r="BD221" s="610"/>
      <c r="BE221" s="610"/>
      <c r="BF221" s="612"/>
      <c r="BG221" s="612"/>
      <c r="BH221" s="612"/>
      <c r="BI221" s="612"/>
      <c r="BJ221" s="612"/>
      <c r="BK221" s="612"/>
      <c r="BL221" s="612"/>
      <c r="BM221" s="612"/>
      <c r="BN221" s="612"/>
      <c r="BO221" s="612"/>
      <c r="BP221" s="612"/>
      <c r="BQ221" s="612"/>
    </row>
    <row r="222" ht="33.0" customHeight="1">
      <c r="A222" s="655" t="s">
        <v>4798</v>
      </c>
      <c r="B222" s="597" t="s">
        <v>4807</v>
      </c>
      <c r="C222" s="637">
        <v>2.0</v>
      </c>
      <c r="D222" s="607"/>
      <c r="E222" s="646"/>
      <c r="F222" s="647"/>
      <c r="G222" s="637">
        <v>2.0</v>
      </c>
      <c r="H222" s="637" t="s">
        <v>65</v>
      </c>
      <c r="I222" s="637">
        <v>2.0</v>
      </c>
      <c r="J222" s="637">
        <v>2.0</v>
      </c>
      <c r="K222" s="637">
        <v>2.0</v>
      </c>
      <c r="L222" s="637" t="s">
        <v>65</v>
      </c>
      <c r="M222" s="607"/>
      <c r="N222" s="650"/>
      <c r="O222" s="647"/>
      <c r="P222" s="637" t="s">
        <v>65</v>
      </c>
      <c r="Q222" s="637">
        <v>2.0</v>
      </c>
      <c r="R222" s="637">
        <v>2.0</v>
      </c>
      <c r="S222" s="637">
        <v>2.0</v>
      </c>
      <c r="T222" s="637" t="s">
        <v>65</v>
      </c>
      <c r="U222" s="637" t="s">
        <v>65</v>
      </c>
      <c r="V222" s="637">
        <v>2.0</v>
      </c>
      <c r="W222" s="637">
        <v>-1.0</v>
      </c>
      <c r="X222" s="637">
        <v>2.0</v>
      </c>
      <c r="Y222" s="637">
        <v>2.0</v>
      </c>
      <c r="Z222" s="607"/>
      <c r="AA222" s="658"/>
      <c r="AB222" s="646"/>
      <c r="AC222" s="647"/>
      <c r="AD222" s="637" t="s">
        <v>65</v>
      </c>
      <c r="AE222" s="637">
        <v>2.0</v>
      </c>
      <c r="AF222" s="637" t="s">
        <v>65</v>
      </c>
      <c r="AG222" s="637">
        <v>3.0</v>
      </c>
      <c r="AH222" s="637" t="s">
        <v>65</v>
      </c>
      <c r="AI222" s="637" t="s">
        <v>65</v>
      </c>
      <c r="AJ222" s="607"/>
      <c r="AK222" s="646"/>
      <c r="AL222" s="647"/>
      <c r="AM222" s="637">
        <v>-1.0</v>
      </c>
      <c r="AN222" s="637">
        <v>1.0</v>
      </c>
      <c r="AO222" s="637">
        <v>1.0</v>
      </c>
      <c r="AP222" s="637">
        <v>-1.0</v>
      </c>
      <c r="AQ222" s="637">
        <v>2.0</v>
      </c>
      <c r="AR222" s="637">
        <v>2.0</v>
      </c>
      <c r="AS222" s="637">
        <v>2.0</v>
      </c>
      <c r="AT222" s="637">
        <v>2.0</v>
      </c>
      <c r="AU222" s="637">
        <v>1.0</v>
      </c>
      <c r="AV222" s="610"/>
      <c r="AW222" s="610"/>
      <c r="AX222" s="610"/>
      <c r="AY222" s="610"/>
      <c r="AZ222" s="610"/>
      <c r="BA222" s="610"/>
      <c r="BB222" s="610"/>
      <c r="BC222" s="610"/>
      <c r="BD222" s="610"/>
      <c r="BE222" s="610"/>
      <c r="BF222" s="612"/>
      <c r="BG222" s="612"/>
      <c r="BH222" s="612"/>
      <c r="BI222" s="612"/>
      <c r="BJ222" s="612"/>
      <c r="BK222" s="612"/>
      <c r="BL222" s="612"/>
      <c r="BM222" s="612"/>
      <c r="BN222" s="612"/>
      <c r="BO222" s="612"/>
      <c r="BP222" s="612"/>
      <c r="BQ222" s="612"/>
    </row>
    <row r="223" ht="33.0" customHeight="1">
      <c r="A223" s="625" t="s">
        <v>4425</v>
      </c>
      <c r="B223" s="614">
        <f>sum(C224:C229)</f>
        <v>13</v>
      </c>
      <c r="C223" s="666"/>
      <c r="D223" s="607"/>
      <c r="E223" s="628">
        <f>AVERAGE(G223:L223)</f>
        <v>1.5</v>
      </c>
      <c r="F223" s="667">
        <f>E223/B223</f>
        <v>0.1153846154</v>
      </c>
      <c r="G223" s="677">
        <f t="shared" ref="G223:L223" si="66">sum(G224:G229)</f>
        <v>3</v>
      </c>
      <c r="H223" s="677">
        <f t="shared" si="66"/>
        <v>-1</v>
      </c>
      <c r="I223" s="677">
        <f t="shared" si="66"/>
        <v>0</v>
      </c>
      <c r="J223" s="677">
        <f t="shared" si="66"/>
        <v>1</v>
      </c>
      <c r="K223" s="677">
        <f t="shared" si="66"/>
        <v>3</v>
      </c>
      <c r="L223" s="677">
        <f t="shared" si="66"/>
        <v>3</v>
      </c>
      <c r="M223" s="607"/>
      <c r="N223" s="632">
        <f>AVERAGE(P223:Y223)</f>
        <v>1.25</v>
      </c>
      <c r="O223" s="617">
        <f>N223/B223</f>
        <v>0.09615384615</v>
      </c>
      <c r="P223" s="677">
        <f t="shared" ref="P223:Y223" si="67">sum(P224:P229)</f>
        <v>3</v>
      </c>
      <c r="Q223" s="677">
        <f t="shared" si="67"/>
        <v>-6</v>
      </c>
      <c r="R223" s="677">
        <f t="shared" si="67"/>
        <v>-6</v>
      </c>
      <c r="S223" s="677">
        <f t="shared" si="67"/>
        <v>5</v>
      </c>
      <c r="T223" s="677">
        <f t="shared" si="67"/>
        <v>4.5</v>
      </c>
      <c r="U223" s="677">
        <f t="shared" si="67"/>
        <v>0</v>
      </c>
      <c r="V223" s="677">
        <f t="shared" si="67"/>
        <v>5</v>
      </c>
      <c r="W223" s="677">
        <f t="shared" si="67"/>
        <v>0</v>
      </c>
      <c r="X223" s="677">
        <f t="shared" si="67"/>
        <v>2</v>
      </c>
      <c r="Y223" s="677">
        <f t="shared" si="67"/>
        <v>5</v>
      </c>
      <c r="Z223" s="607"/>
      <c r="AA223" s="658"/>
      <c r="AB223" s="669">
        <f>average(AD223,AE223:AI223)</f>
        <v>2.333333333</v>
      </c>
      <c r="AC223" s="617">
        <f>AB223/B223</f>
        <v>0.1794871795</v>
      </c>
      <c r="AD223" s="677">
        <f t="shared" ref="AD223:AI223" si="68">sum(AD224:AD229)</f>
        <v>3</v>
      </c>
      <c r="AE223" s="677">
        <f t="shared" si="68"/>
        <v>1</v>
      </c>
      <c r="AF223" s="677">
        <f t="shared" si="68"/>
        <v>1</v>
      </c>
      <c r="AG223" s="677">
        <f t="shared" si="68"/>
        <v>4</v>
      </c>
      <c r="AH223" s="677">
        <f t="shared" si="68"/>
        <v>2</v>
      </c>
      <c r="AI223" s="677">
        <f t="shared" si="68"/>
        <v>3</v>
      </c>
      <c r="AJ223" s="607"/>
      <c r="AK223" s="671">
        <f>AVERAGE(AM223:AT223)</f>
        <v>2</v>
      </c>
      <c r="AL223" s="667">
        <f>AK223/B223</f>
        <v>0.1538461538</v>
      </c>
      <c r="AM223" s="677">
        <f t="shared" ref="AM223:AU223" si="69">sum(AM224:AM229)</f>
        <v>2</v>
      </c>
      <c r="AN223" s="677">
        <f t="shared" si="69"/>
        <v>2</v>
      </c>
      <c r="AO223" s="677">
        <f t="shared" si="69"/>
        <v>0</v>
      </c>
      <c r="AP223" s="677">
        <f t="shared" si="69"/>
        <v>0</v>
      </c>
      <c r="AQ223" s="677">
        <f t="shared" si="69"/>
        <v>-1</v>
      </c>
      <c r="AR223" s="677">
        <f t="shared" si="69"/>
        <v>5</v>
      </c>
      <c r="AS223" s="677">
        <f t="shared" si="69"/>
        <v>5</v>
      </c>
      <c r="AT223" s="677">
        <f t="shared" si="69"/>
        <v>3</v>
      </c>
      <c r="AU223" s="677">
        <f t="shared" si="69"/>
        <v>3</v>
      </c>
      <c r="AV223" s="610"/>
      <c r="AW223" s="610"/>
      <c r="AX223" s="612"/>
      <c r="AY223" s="610"/>
      <c r="AZ223" s="610"/>
      <c r="BA223" s="610"/>
      <c r="BB223" s="610"/>
      <c r="BC223" s="610"/>
      <c r="BD223" s="610"/>
      <c r="BE223" s="610"/>
      <c r="BF223" s="612"/>
      <c r="BG223" s="612"/>
      <c r="BH223" s="612"/>
      <c r="BI223" s="612"/>
      <c r="BJ223" s="612"/>
      <c r="BK223" s="612"/>
      <c r="BL223" s="612"/>
      <c r="BM223" s="612"/>
      <c r="BN223" s="612"/>
      <c r="BO223" s="612"/>
      <c r="BP223" s="612"/>
      <c r="BQ223" s="612"/>
    </row>
    <row r="224" ht="33.0" customHeight="1">
      <c r="A224" s="655" t="s">
        <v>4425</v>
      </c>
      <c r="B224" s="678" t="s">
        <v>4808</v>
      </c>
      <c r="C224" s="637">
        <v>3.0</v>
      </c>
      <c r="D224" s="607"/>
      <c r="E224" s="646"/>
      <c r="F224" s="647"/>
      <c r="G224" s="637">
        <v>3.0</v>
      </c>
      <c r="H224" s="637">
        <v>-3.0</v>
      </c>
      <c r="I224" s="676">
        <v>-3.0</v>
      </c>
      <c r="J224" s="676">
        <v>3.0</v>
      </c>
      <c r="K224" s="676">
        <v>3.0</v>
      </c>
      <c r="L224" s="637">
        <v>3.0</v>
      </c>
      <c r="M224" s="607"/>
      <c r="N224" s="650"/>
      <c r="O224" s="647"/>
      <c r="P224" s="637">
        <v>3.0</v>
      </c>
      <c r="Q224" s="637">
        <v>-3.0</v>
      </c>
      <c r="R224" s="637">
        <v>-3.0</v>
      </c>
      <c r="S224" s="637">
        <v>3.0</v>
      </c>
      <c r="T224" s="637">
        <v>3.0</v>
      </c>
      <c r="U224" s="637" t="s">
        <v>65</v>
      </c>
      <c r="V224" s="637">
        <v>3.0</v>
      </c>
      <c r="W224" s="637" t="s">
        <v>65</v>
      </c>
      <c r="X224" s="637" t="s">
        <v>65</v>
      </c>
      <c r="Y224" s="637">
        <v>3.0</v>
      </c>
      <c r="Z224" s="607"/>
      <c r="AA224" s="658"/>
      <c r="AB224" s="646"/>
      <c r="AC224" s="647"/>
      <c r="AD224" s="676">
        <v>3.0</v>
      </c>
      <c r="AE224" s="637" t="s">
        <v>65</v>
      </c>
      <c r="AF224" s="637" t="s">
        <v>65</v>
      </c>
      <c r="AG224" s="637">
        <v>3.0</v>
      </c>
      <c r="AH224" s="637" t="s">
        <v>65</v>
      </c>
      <c r="AI224" s="637">
        <v>3.0</v>
      </c>
      <c r="AJ224" s="607"/>
      <c r="AK224" s="646"/>
      <c r="AL224" s="647"/>
      <c r="AM224" s="637">
        <v>3.0</v>
      </c>
      <c r="AN224" s="637">
        <v>3.0</v>
      </c>
      <c r="AO224" s="359"/>
      <c r="AP224" s="359"/>
      <c r="AQ224" s="637">
        <v>-3.0</v>
      </c>
      <c r="AR224" s="679" t="s">
        <v>65</v>
      </c>
      <c r="AS224" s="679" t="s">
        <v>65</v>
      </c>
      <c r="AT224" s="637" t="s">
        <v>65</v>
      </c>
      <c r="AU224" s="637" t="s">
        <v>65</v>
      </c>
      <c r="AV224" s="610"/>
      <c r="AW224" s="610"/>
      <c r="AX224" s="612"/>
      <c r="AY224" s="610"/>
      <c r="AZ224" s="610"/>
      <c r="BA224" s="610"/>
      <c r="BB224" s="610"/>
      <c r="BC224" s="610"/>
      <c r="BD224" s="610"/>
      <c r="BE224" s="610"/>
      <c r="BF224" s="612"/>
      <c r="BG224" s="612"/>
      <c r="BH224" s="612"/>
      <c r="BI224" s="612"/>
      <c r="BJ224" s="612"/>
      <c r="BK224" s="612"/>
      <c r="BL224" s="612"/>
      <c r="BM224" s="612"/>
      <c r="BN224" s="612"/>
      <c r="BO224" s="612"/>
      <c r="BP224" s="612"/>
      <c r="BQ224" s="612"/>
    </row>
    <row r="225" ht="33.0" customHeight="1">
      <c r="A225" s="655" t="s">
        <v>4425</v>
      </c>
      <c r="B225" s="680" t="s">
        <v>4809</v>
      </c>
      <c r="C225" s="637">
        <v>3.0</v>
      </c>
      <c r="D225" s="607"/>
      <c r="E225" s="646"/>
      <c r="F225" s="647"/>
      <c r="G225" s="637"/>
      <c r="H225" s="637"/>
      <c r="I225" s="637">
        <v>3.0</v>
      </c>
      <c r="J225" s="676"/>
      <c r="K225" s="676"/>
      <c r="L225" s="637"/>
      <c r="M225" s="607"/>
      <c r="N225" s="650"/>
      <c r="O225" s="647"/>
      <c r="P225" s="637"/>
      <c r="Q225" s="637">
        <v>-3.0</v>
      </c>
      <c r="R225" s="637">
        <v>-3.0</v>
      </c>
      <c r="S225" s="637"/>
      <c r="T225" s="637"/>
      <c r="U225" s="637"/>
      <c r="V225" s="637"/>
      <c r="W225" s="637"/>
      <c r="X225" s="637"/>
      <c r="Y225" s="637"/>
      <c r="Z225" s="607"/>
      <c r="AA225" s="658"/>
      <c r="AB225" s="646"/>
      <c r="AC225" s="647"/>
      <c r="AD225" s="637"/>
      <c r="AE225" s="676"/>
      <c r="AF225" s="676"/>
      <c r="AG225" s="637"/>
      <c r="AH225" s="637"/>
      <c r="AI225" s="637"/>
      <c r="AJ225" s="607"/>
      <c r="AK225" s="646"/>
      <c r="AL225" s="647"/>
      <c r="AM225" s="637">
        <v>-1.0</v>
      </c>
      <c r="AN225" s="637">
        <v>-1.0</v>
      </c>
      <c r="AO225" s="351">
        <v>-1.0</v>
      </c>
      <c r="AP225" s="351"/>
      <c r="AQ225" s="637">
        <v>-3.0</v>
      </c>
      <c r="AR225" s="637"/>
      <c r="AS225" s="679" t="s">
        <v>65</v>
      </c>
      <c r="AT225" s="637" t="s">
        <v>65</v>
      </c>
      <c r="AU225" s="637"/>
      <c r="AV225" s="610"/>
      <c r="AW225" s="610"/>
      <c r="AX225" s="612"/>
      <c r="AY225" s="610"/>
      <c r="AZ225" s="610"/>
      <c r="BA225" s="610"/>
      <c r="BB225" s="610"/>
      <c r="BC225" s="610"/>
      <c r="BD225" s="610"/>
      <c r="BE225" s="610"/>
      <c r="BF225" s="612"/>
      <c r="BG225" s="612"/>
      <c r="BH225" s="612"/>
      <c r="BI225" s="612"/>
      <c r="BJ225" s="612"/>
      <c r="BK225" s="612"/>
      <c r="BL225" s="612"/>
      <c r="BM225" s="612"/>
      <c r="BN225" s="612"/>
      <c r="BO225" s="612"/>
      <c r="BP225" s="612"/>
      <c r="BQ225" s="612"/>
    </row>
    <row r="226" ht="33.0" customHeight="1">
      <c r="A226" s="655" t="s">
        <v>4425</v>
      </c>
      <c r="B226" s="681" t="s">
        <v>4810</v>
      </c>
      <c r="C226" s="637">
        <v>3.0</v>
      </c>
      <c r="D226" s="607"/>
      <c r="E226" s="646"/>
      <c r="F226" s="647"/>
      <c r="G226" s="637"/>
      <c r="H226" s="637"/>
      <c r="I226" s="676"/>
      <c r="J226" s="676"/>
      <c r="K226" s="676"/>
      <c r="L226" s="637"/>
      <c r="M226" s="607"/>
      <c r="N226" s="650"/>
      <c r="O226" s="647"/>
      <c r="P226" s="637"/>
      <c r="Q226" s="637"/>
      <c r="R226" s="637"/>
      <c r="S226" s="637"/>
      <c r="T226" s="637"/>
      <c r="U226" s="637"/>
      <c r="V226" s="637"/>
      <c r="W226" s="637"/>
      <c r="X226" s="637"/>
      <c r="Y226" s="637"/>
      <c r="Z226" s="607"/>
      <c r="AA226" s="658"/>
      <c r="AB226" s="646"/>
      <c r="AC226" s="647"/>
      <c r="AD226" s="637"/>
      <c r="AE226" s="676"/>
      <c r="AF226" s="676"/>
      <c r="AG226" s="637"/>
      <c r="AH226" s="637"/>
      <c r="AI226" s="637"/>
      <c r="AJ226" s="607"/>
      <c r="AK226" s="646"/>
      <c r="AL226" s="647"/>
      <c r="AM226" s="637"/>
      <c r="AN226" s="637"/>
      <c r="AO226" s="351"/>
      <c r="AP226" s="351"/>
      <c r="AQ226" s="637">
        <v>3.0</v>
      </c>
      <c r="AR226" s="637">
        <v>3.0</v>
      </c>
      <c r="AS226" s="637">
        <v>3.0</v>
      </c>
      <c r="AT226" s="637">
        <v>3.0</v>
      </c>
      <c r="AU226" s="637">
        <v>3.0</v>
      </c>
      <c r="AV226" s="610"/>
      <c r="AW226" s="610"/>
      <c r="AX226" s="612"/>
      <c r="AY226" s="610"/>
      <c r="AZ226" s="610"/>
      <c r="BA226" s="610"/>
      <c r="BB226" s="610"/>
      <c r="BC226" s="610"/>
      <c r="BD226" s="610"/>
      <c r="BE226" s="610"/>
      <c r="BF226" s="612"/>
      <c r="BG226" s="612"/>
      <c r="BH226" s="612"/>
      <c r="BI226" s="612"/>
      <c r="BJ226" s="612"/>
      <c r="BK226" s="612"/>
      <c r="BL226" s="612"/>
      <c r="BM226" s="612"/>
      <c r="BN226" s="612"/>
      <c r="BO226" s="612"/>
      <c r="BP226" s="612"/>
      <c r="BQ226" s="612"/>
    </row>
    <row r="227" ht="33.0" customHeight="1">
      <c r="A227" s="655" t="s">
        <v>4425</v>
      </c>
      <c r="B227" s="681" t="s">
        <v>4811</v>
      </c>
      <c r="C227" s="637">
        <v>2.0</v>
      </c>
      <c r="D227" s="607"/>
      <c r="E227" s="646"/>
      <c r="F227" s="647"/>
      <c r="G227" s="637"/>
      <c r="H227" s="637"/>
      <c r="I227" s="676"/>
      <c r="J227" s="676"/>
      <c r="K227" s="676"/>
      <c r="L227" s="637"/>
      <c r="M227" s="607"/>
      <c r="N227" s="650"/>
      <c r="O227" s="647"/>
      <c r="P227" s="637"/>
      <c r="Q227" s="637"/>
      <c r="R227" s="637"/>
      <c r="S227" s="637"/>
      <c r="T227" s="637"/>
      <c r="U227" s="637"/>
      <c r="V227" s="637"/>
      <c r="W227" s="637"/>
      <c r="X227" s="637"/>
      <c r="Y227" s="637"/>
      <c r="Z227" s="607"/>
      <c r="AA227" s="658"/>
      <c r="AB227" s="646"/>
      <c r="AC227" s="647"/>
      <c r="AD227" s="637"/>
      <c r="AE227" s="676"/>
      <c r="AF227" s="676"/>
      <c r="AG227" s="637"/>
      <c r="AH227" s="637"/>
      <c r="AI227" s="637"/>
      <c r="AJ227" s="607"/>
      <c r="AK227" s="646"/>
      <c r="AL227" s="647"/>
      <c r="AM227" s="637"/>
      <c r="AN227" s="637"/>
      <c r="AO227" s="351"/>
      <c r="AP227" s="351"/>
      <c r="AQ227" s="637">
        <v>2.0</v>
      </c>
      <c r="AR227" s="637">
        <v>2.0</v>
      </c>
      <c r="AS227" s="637">
        <v>2.0</v>
      </c>
      <c r="AT227" s="637" t="s">
        <v>65</v>
      </c>
      <c r="AU227" s="637" t="s">
        <v>65</v>
      </c>
      <c r="AV227" s="610"/>
      <c r="AW227" s="610"/>
      <c r="AX227" s="612"/>
      <c r="AY227" s="610"/>
      <c r="AZ227" s="610"/>
      <c r="BA227" s="610"/>
      <c r="BB227" s="610"/>
      <c r="BC227" s="610"/>
      <c r="BD227" s="610"/>
      <c r="BE227" s="610"/>
      <c r="BF227" s="612"/>
      <c r="BG227" s="612"/>
      <c r="BH227" s="612"/>
      <c r="BI227" s="612"/>
      <c r="BJ227" s="612"/>
      <c r="BK227" s="612"/>
      <c r="BL227" s="612"/>
      <c r="BM227" s="612"/>
      <c r="BN227" s="612"/>
      <c r="BO227" s="612"/>
      <c r="BP227" s="612"/>
      <c r="BQ227" s="612"/>
    </row>
    <row r="228" ht="33.0" customHeight="1">
      <c r="A228" s="655" t="s">
        <v>4425</v>
      </c>
      <c r="B228" s="681" t="s">
        <v>4812</v>
      </c>
      <c r="C228" s="637">
        <v>1.0</v>
      </c>
      <c r="D228" s="607"/>
      <c r="E228" s="646"/>
      <c r="F228" s="647"/>
      <c r="G228" s="637">
        <v>-1.0</v>
      </c>
      <c r="H228" s="637">
        <v>1.0</v>
      </c>
      <c r="I228" s="676">
        <v>-1.0</v>
      </c>
      <c r="J228" s="676">
        <v>-1.0</v>
      </c>
      <c r="K228" s="676">
        <v>-1.0</v>
      </c>
      <c r="L228" s="637" t="s">
        <v>65</v>
      </c>
      <c r="M228" s="607"/>
      <c r="N228" s="650"/>
      <c r="O228" s="647"/>
      <c r="P228" s="637">
        <v>-1.0</v>
      </c>
      <c r="Q228" s="637">
        <v>1.0</v>
      </c>
      <c r="R228" s="637">
        <v>1.0</v>
      </c>
      <c r="S228" s="637">
        <v>1.0</v>
      </c>
      <c r="T228" s="637">
        <v>1.0</v>
      </c>
      <c r="U228" s="637" t="s">
        <v>65</v>
      </c>
      <c r="V228" s="637">
        <v>1.0</v>
      </c>
      <c r="W228" s="637" t="s">
        <v>65</v>
      </c>
      <c r="X228" s="637">
        <v>1.0</v>
      </c>
      <c r="Y228" s="637">
        <v>1.0</v>
      </c>
      <c r="Z228" s="607"/>
      <c r="AA228" s="658"/>
      <c r="AB228" s="646"/>
      <c r="AC228" s="647"/>
      <c r="AD228" s="637">
        <v>-1.0</v>
      </c>
      <c r="AE228" s="676">
        <v>1.0</v>
      </c>
      <c r="AF228" s="676">
        <v>1.0</v>
      </c>
      <c r="AG228" s="637">
        <v>1.0</v>
      </c>
      <c r="AH228" s="637">
        <v>1.0</v>
      </c>
      <c r="AI228" s="637" t="s">
        <v>65</v>
      </c>
      <c r="AJ228" s="607"/>
      <c r="AK228" s="646"/>
      <c r="AL228" s="647"/>
      <c r="AM228" s="637" t="s">
        <v>65</v>
      </c>
      <c r="AN228" s="637" t="s">
        <v>65</v>
      </c>
      <c r="AO228" s="351">
        <v>1.0</v>
      </c>
      <c r="AP228" s="351"/>
      <c r="AQ228" s="637"/>
      <c r="AR228" s="679" t="s">
        <v>65</v>
      </c>
      <c r="AS228" s="679" t="s">
        <v>65</v>
      </c>
      <c r="AT228" s="679" t="s">
        <v>65</v>
      </c>
      <c r="AU228" s="679" t="s">
        <v>65</v>
      </c>
      <c r="AV228" s="610"/>
      <c r="AW228" s="610"/>
      <c r="AX228" s="612"/>
      <c r="AY228" s="610"/>
      <c r="AZ228" s="610"/>
      <c r="BA228" s="610"/>
      <c r="BB228" s="610"/>
      <c r="BC228" s="610"/>
      <c r="BD228" s="610"/>
      <c r="BE228" s="610"/>
      <c r="BF228" s="612"/>
      <c r="BG228" s="612"/>
      <c r="BH228" s="612"/>
      <c r="BI228" s="612"/>
      <c r="BJ228" s="612"/>
      <c r="BK228" s="612"/>
      <c r="BL228" s="612"/>
      <c r="BM228" s="612"/>
      <c r="BN228" s="612"/>
      <c r="BO228" s="612"/>
      <c r="BP228" s="612"/>
      <c r="BQ228" s="612"/>
    </row>
    <row r="229" ht="33.0" customHeight="1">
      <c r="A229" s="655" t="s">
        <v>4425</v>
      </c>
      <c r="B229" s="681" t="s">
        <v>4813</v>
      </c>
      <c r="C229" s="637">
        <v>1.0</v>
      </c>
      <c r="D229" s="607"/>
      <c r="E229" s="646"/>
      <c r="F229" s="647"/>
      <c r="G229" s="637">
        <v>1.0</v>
      </c>
      <c r="H229" s="637">
        <v>1.0</v>
      </c>
      <c r="I229" s="676">
        <v>1.0</v>
      </c>
      <c r="J229" s="676">
        <v>-1.0</v>
      </c>
      <c r="K229" s="676">
        <v>1.0</v>
      </c>
      <c r="L229" s="637" t="s">
        <v>65</v>
      </c>
      <c r="M229" s="607"/>
      <c r="N229" s="650"/>
      <c r="O229" s="647"/>
      <c r="P229" s="637">
        <v>1.0</v>
      </c>
      <c r="Q229" s="637">
        <v>-1.0</v>
      </c>
      <c r="R229" s="637">
        <v>-1.0</v>
      </c>
      <c r="S229" s="637">
        <v>1.0</v>
      </c>
      <c r="T229" s="637">
        <v>0.5</v>
      </c>
      <c r="U229" s="637" t="s">
        <v>65</v>
      </c>
      <c r="V229" s="637">
        <v>1.0</v>
      </c>
      <c r="W229" s="637" t="s">
        <v>65</v>
      </c>
      <c r="X229" s="637">
        <v>1.0</v>
      </c>
      <c r="Y229" s="637">
        <v>1.0</v>
      </c>
      <c r="Z229" s="607"/>
      <c r="AA229" s="658"/>
      <c r="AB229" s="646"/>
      <c r="AC229" s="647"/>
      <c r="AD229" s="676">
        <v>1.0</v>
      </c>
      <c r="AE229" s="637" t="s">
        <v>65</v>
      </c>
      <c r="AF229" s="637" t="s">
        <v>65</v>
      </c>
      <c r="AG229" s="637" t="s">
        <v>65</v>
      </c>
      <c r="AH229" s="637">
        <v>1.0</v>
      </c>
      <c r="AI229" s="637" t="s">
        <v>65</v>
      </c>
      <c r="AJ229" s="607"/>
      <c r="AK229" s="646"/>
      <c r="AL229" s="647"/>
      <c r="AM229" s="637" t="s">
        <v>65</v>
      </c>
      <c r="AN229" s="637" t="s">
        <v>65</v>
      </c>
      <c r="AO229" s="351" t="s">
        <v>65</v>
      </c>
      <c r="AP229" s="351"/>
      <c r="AQ229" s="637"/>
      <c r="AR229" s="679" t="s">
        <v>65</v>
      </c>
      <c r="AS229" s="679" t="s">
        <v>65</v>
      </c>
      <c r="AT229" s="679" t="s">
        <v>65</v>
      </c>
      <c r="AU229" s="679" t="s">
        <v>65</v>
      </c>
      <c r="AV229" s="610"/>
      <c r="AW229" s="610"/>
      <c r="AX229" s="612"/>
      <c r="AY229" s="610"/>
      <c r="AZ229" s="610"/>
      <c r="BA229" s="610"/>
      <c r="BB229" s="610"/>
      <c r="BC229" s="610"/>
      <c r="BD229" s="610"/>
      <c r="BE229" s="610"/>
      <c r="BF229" s="612"/>
      <c r="BG229" s="612"/>
      <c r="BH229" s="612"/>
      <c r="BI229" s="612"/>
      <c r="BJ229" s="612"/>
      <c r="BK229" s="612"/>
      <c r="BL229" s="612"/>
      <c r="BM229" s="612"/>
      <c r="BN229" s="612"/>
      <c r="BO229" s="612"/>
      <c r="BP229" s="612"/>
      <c r="BQ229" s="612"/>
    </row>
    <row r="230" ht="33.0" customHeight="1">
      <c r="A230" s="682" t="s">
        <v>4814</v>
      </c>
      <c r="B230" s="614">
        <f>sum(C231:C236)</f>
        <v>7</v>
      </c>
      <c r="C230" s="666"/>
      <c r="D230" s="607"/>
      <c r="E230" s="628">
        <f>AVERAGE(G230:L230)</f>
        <v>1.333333333</v>
      </c>
      <c r="F230" s="667">
        <f>E230/B230</f>
        <v>0.1904761905</v>
      </c>
      <c r="G230" s="666">
        <f t="shared" ref="G230:L230" si="70">sum(G231:G236)</f>
        <v>2</v>
      </c>
      <c r="H230" s="666">
        <f t="shared" si="70"/>
        <v>2</v>
      </c>
      <c r="I230" s="666">
        <f t="shared" si="70"/>
        <v>1</v>
      </c>
      <c r="J230" s="666">
        <f t="shared" si="70"/>
        <v>1</v>
      </c>
      <c r="K230" s="666">
        <f t="shared" si="70"/>
        <v>1</v>
      </c>
      <c r="L230" s="666">
        <f t="shared" si="70"/>
        <v>1</v>
      </c>
      <c r="M230" s="607"/>
      <c r="N230" s="632">
        <f>AVERAGE(P230:Y230)</f>
        <v>1.2</v>
      </c>
      <c r="O230" s="617">
        <f>N230/B230</f>
        <v>0.1714285714</v>
      </c>
      <c r="P230" s="666">
        <f t="shared" ref="P230:Y230" si="71">sum(P231:P236)</f>
        <v>1</v>
      </c>
      <c r="Q230" s="666">
        <f t="shared" si="71"/>
        <v>0</v>
      </c>
      <c r="R230" s="666">
        <f t="shared" si="71"/>
        <v>-1</v>
      </c>
      <c r="S230" s="666">
        <f t="shared" si="71"/>
        <v>2</v>
      </c>
      <c r="T230" s="666">
        <f t="shared" si="71"/>
        <v>1</v>
      </c>
      <c r="U230" s="666">
        <f t="shared" si="71"/>
        <v>0</v>
      </c>
      <c r="V230" s="666">
        <f t="shared" si="71"/>
        <v>2</v>
      </c>
      <c r="W230" s="666">
        <f t="shared" si="71"/>
        <v>3</v>
      </c>
      <c r="X230" s="666">
        <f t="shared" si="71"/>
        <v>1</v>
      </c>
      <c r="Y230" s="666">
        <f t="shared" si="71"/>
        <v>3</v>
      </c>
      <c r="Z230" s="607"/>
      <c r="AA230" s="658"/>
      <c r="AB230" s="671">
        <f>average(AD230,AE230:AI230)</f>
        <v>3.666666667</v>
      </c>
      <c r="AC230" s="617">
        <f>AB230/B230</f>
        <v>0.5238095238</v>
      </c>
      <c r="AD230" s="666">
        <f t="shared" ref="AD230:AI230" si="72">sum(AD231:AD236)</f>
        <v>5</v>
      </c>
      <c r="AE230" s="666">
        <f t="shared" si="72"/>
        <v>4</v>
      </c>
      <c r="AF230" s="666">
        <f t="shared" si="72"/>
        <v>4</v>
      </c>
      <c r="AG230" s="666">
        <f t="shared" si="72"/>
        <v>3</v>
      </c>
      <c r="AH230" s="666">
        <f t="shared" si="72"/>
        <v>3</v>
      </c>
      <c r="AI230" s="666">
        <f t="shared" si="72"/>
        <v>3</v>
      </c>
      <c r="AJ230" s="607"/>
      <c r="AK230" s="671">
        <f>AVERAGE(AM230:AT230)</f>
        <v>5.1875</v>
      </c>
      <c r="AL230" s="667">
        <f>AK230/B230</f>
        <v>0.7410714286</v>
      </c>
      <c r="AM230" s="666">
        <f t="shared" ref="AM230:AU230" si="73">sum(AM231:AM236)</f>
        <v>7</v>
      </c>
      <c r="AN230" s="666">
        <f t="shared" si="73"/>
        <v>7</v>
      </c>
      <c r="AO230" s="666">
        <f t="shared" si="73"/>
        <v>-5</v>
      </c>
      <c r="AP230" s="666">
        <f t="shared" si="73"/>
        <v>7</v>
      </c>
      <c r="AQ230" s="666">
        <f t="shared" si="73"/>
        <v>4</v>
      </c>
      <c r="AR230" s="666">
        <f t="shared" si="73"/>
        <v>8</v>
      </c>
      <c r="AS230" s="666">
        <f t="shared" si="73"/>
        <v>6.5</v>
      </c>
      <c r="AT230" s="666">
        <f t="shared" si="73"/>
        <v>7</v>
      </c>
      <c r="AU230" s="666">
        <f t="shared" si="73"/>
        <v>4</v>
      </c>
      <c r="AV230" s="610"/>
      <c r="AW230" s="610"/>
      <c r="AX230" s="612"/>
      <c r="AY230" s="610"/>
      <c r="AZ230" s="610"/>
      <c r="BA230" s="610"/>
      <c r="BB230" s="610"/>
      <c r="BC230" s="610"/>
      <c r="BD230" s="610"/>
      <c r="BE230" s="610"/>
      <c r="BF230" s="612"/>
      <c r="BG230" s="612"/>
      <c r="BH230" s="612"/>
      <c r="BI230" s="612"/>
      <c r="BJ230" s="612"/>
      <c r="BK230" s="612"/>
      <c r="BL230" s="612"/>
      <c r="BM230" s="612"/>
      <c r="BN230" s="612"/>
      <c r="BO230" s="612"/>
      <c r="BP230" s="612"/>
      <c r="BQ230" s="612"/>
    </row>
    <row r="231" ht="33.0" customHeight="1">
      <c r="A231" s="655" t="s">
        <v>4436</v>
      </c>
      <c r="B231" s="597" t="s">
        <v>4815</v>
      </c>
      <c r="C231" s="637">
        <v>2.0</v>
      </c>
      <c r="D231" s="607"/>
      <c r="E231" s="646"/>
      <c r="F231" s="647"/>
      <c r="G231" s="683"/>
      <c r="H231" s="683"/>
      <c r="I231" s="683">
        <v>-2.0</v>
      </c>
      <c r="J231" s="683"/>
      <c r="K231" s="683"/>
      <c r="L231" s="683"/>
      <c r="M231" s="607"/>
      <c r="N231" s="650"/>
      <c r="O231" s="647"/>
      <c r="P231" s="637"/>
      <c r="Q231" s="683">
        <v>-2.0</v>
      </c>
      <c r="R231" s="683">
        <v>-2.0</v>
      </c>
      <c r="S231" s="683"/>
      <c r="T231" s="637">
        <v>-2.0</v>
      </c>
      <c r="U231" s="637" t="s">
        <v>65</v>
      </c>
      <c r="V231" s="637" t="s">
        <v>65</v>
      </c>
      <c r="W231" s="637">
        <v>2.0</v>
      </c>
      <c r="X231" s="637" t="s">
        <v>65</v>
      </c>
      <c r="Y231" s="637">
        <v>2.0</v>
      </c>
      <c r="Z231" s="607"/>
      <c r="AA231" s="658"/>
      <c r="AB231" s="646"/>
      <c r="AC231" s="647"/>
      <c r="AD231" s="637">
        <v>2.0</v>
      </c>
      <c r="AE231" s="637">
        <v>2.0</v>
      </c>
      <c r="AF231" s="637">
        <v>2.0</v>
      </c>
      <c r="AG231" s="637">
        <v>2.0</v>
      </c>
      <c r="AH231" s="637">
        <v>2.0</v>
      </c>
      <c r="AI231" s="637">
        <v>2.0</v>
      </c>
      <c r="AJ231" s="607"/>
      <c r="AK231" s="646"/>
      <c r="AL231" s="647"/>
      <c r="AM231" s="637">
        <v>2.0</v>
      </c>
      <c r="AN231" s="637">
        <v>2.0</v>
      </c>
      <c r="AO231" s="351">
        <v>-2.0</v>
      </c>
      <c r="AP231" s="351">
        <v>2.0</v>
      </c>
      <c r="AQ231" s="637">
        <v>2.0</v>
      </c>
      <c r="AR231" s="637">
        <v>3.0</v>
      </c>
      <c r="AS231" s="637">
        <v>3.0</v>
      </c>
      <c r="AT231" s="637">
        <v>2.0</v>
      </c>
      <c r="AU231" s="637" t="s">
        <v>65</v>
      </c>
      <c r="AV231" s="610"/>
      <c r="AX231" s="612"/>
      <c r="AY231" s="610"/>
      <c r="AZ231" s="610"/>
      <c r="BA231" s="610"/>
      <c r="BB231" s="610"/>
      <c r="BC231" s="610"/>
      <c r="BD231" s="610"/>
      <c r="BE231" s="610"/>
      <c r="BF231" s="612"/>
      <c r="BG231" s="612"/>
      <c r="BH231" s="612"/>
      <c r="BI231" s="612"/>
      <c r="BJ231" s="612"/>
      <c r="BK231" s="612"/>
      <c r="BL231" s="612"/>
      <c r="BM231" s="612"/>
      <c r="BN231" s="612"/>
      <c r="BO231" s="612"/>
      <c r="BP231" s="612"/>
      <c r="BQ231" s="612"/>
    </row>
    <row r="232" ht="33.0" customHeight="1">
      <c r="A232" s="655" t="s">
        <v>4436</v>
      </c>
      <c r="B232" s="597" t="s">
        <v>4816</v>
      </c>
      <c r="C232" s="637">
        <v>1.0</v>
      </c>
      <c r="D232" s="607"/>
      <c r="E232" s="646"/>
      <c r="F232" s="647"/>
      <c r="G232" s="637"/>
      <c r="H232" s="637"/>
      <c r="I232" s="637">
        <v>-1.0</v>
      </c>
      <c r="J232" s="637">
        <v>1.0</v>
      </c>
      <c r="K232" s="637">
        <v>1.0</v>
      </c>
      <c r="L232" s="637">
        <v>1.0</v>
      </c>
      <c r="M232" s="607"/>
      <c r="N232" s="650"/>
      <c r="O232" s="647"/>
      <c r="P232" s="637">
        <v>1.0</v>
      </c>
      <c r="Q232" s="637">
        <v>1.0</v>
      </c>
      <c r="R232" s="637">
        <v>-1.0</v>
      </c>
      <c r="S232" s="637"/>
      <c r="T232" s="637"/>
      <c r="U232" s="637" t="s">
        <v>65</v>
      </c>
      <c r="V232" s="637" t="s">
        <v>65</v>
      </c>
      <c r="W232" s="637">
        <v>1.0</v>
      </c>
      <c r="X232" s="637" t="s">
        <v>65</v>
      </c>
      <c r="Y232" s="637">
        <v>1.0</v>
      </c>
      <c r="Z232" s="607"/>
      <c r="AA232" s="658"/>
      <c r="AB232" s="646"/>
      <c r="AC232" s="647"/>
      <c r="AD232" s="637">
        <v>1.0</v>
      </c>
      <c r="AE232" s="637">
        <v>1.0</v>
      </c>
      <c r="AF232" s="637">
        <v>1.0</v>
      </c>
      <c r="AG232" s="637">
        <v>1.0</v>
      </c>
      <c r="AH232" s="637">
        <v>1.0</v>
      </c>
      <c r="AI232" s="637">
        <v>1.0</v>
      </c>
      <c r="AJ232" s="607"/>
      <c r="AK232" s="646"/>
      <c r="AL232" s="647"/>
      <c r="AM232" s="637">
        <v>1.0</v>
      </c>
      <c r="AN232" s="637">
        <v>1.0</v>
      </c>
      <c r="AO232" s="351">
        <v>-1.0</v>
      </c>
      <c r="AP232" s="351">
        <v>1.0</v>
      </c>
      <c r="AQ232" s="637">
        <v>1.0</v>
      </c>
      <c r="AR232" s="637">
        <v>1.0</v>
      </c>
      <c r="AS232" s="637">
        <v>0.5</v>
      </c>
      <c r="AT232" s="637">
        <v>1.0</v>
      </c>
      <c r="AU232" s="637" t="s">
        <v>65</v>
      </c>
      <c r="AV232" s="610"/>
      <c r="AW232" s="610"/>
      <c r="AX232" s="610"/>
      <c r="AY232" s="610"/>
      <c r="AZ232" s="610"/>
      <c r="BA232" s="610"/>
      <c r="BB232" s="610"/>
      <c r="BC232" s="610"/>
      <c r="BD232" s="610"/>
      <c r="BE232" s="610"/>
      <c r="BF232" s="610"/>
      <c r="BG232" s="610"/>
      <c r="BH232" s="610"/>
      <c r="BI232" s="610"/>
      <c r="BJ232" s="610"/>
      <c r="BK232" s="610"/>
      <c r="BL232" s="610"/>
      <c r="BM232" s="610"/>
      <c r="BN232" s="610"/>
      <c r="BO232" s="610"/>
      <c r="BP232" s="610"/>
      <c r="BQ232" s="610"/>
    </row>
    <row r="233" ht="33.0" customHeight="1">
      <c r="A233" s="682" t="s">
        <v>4817</v>
      </c>
      <c r="B233" s="684"/>
      <c r="C233" s="685"/>
      <c r="D233" s="686"/>
      <c r="E233" s="687"/>
      <c r="F233" s="688"/>
      <c r="G233" s="685" t="s">
        <v>65</v>
      </c>
      <c r="H233" s="685" t="s">
        <v>65</v>
      </c>
      <c r="I233" s="689"/>
      <c r="J233" s="685" t="s">
        <v>65</v>
      </c>
      <c r="K233" s="685" t="s">
        <v>65</v>
      </c>
      <c r="L233" s="685" t="s">
        <v>65</v>
      </c>
      <c r="M233" s="686"/>
      <c r="N233" s="690"/>
      <c r="O233" s="688"/>
      <c r="P233" s="685" t="s">
        <v>65</v>
      </c>
      <c r="Q233" s="689"/>
      <c r="R233" s="689"/>
      <c r="S233" s="685" t="s">
        <v>65</v>
      </c>
      <c r="T233" s="689"/>
      <c r="U233" s="689"/>
      <c r="V233" s="689"/>
      <c r="W233" s="685"/>
      <c r="X233" s="685"/>
      <c r="Y233" s="685"/>
      <c r="Z233" s="686"/>
      <c r="AA233" s="691"/>
      <c r="AB233" s="687"/>
      <c r="AC233" s="688"/>
      <c r="AD233" s="685"/>
      <c r="AE233" s="689"/>
      <c r="AF233" s="689"/>
      <c r="AG233" s="685"/>
      <c r="AH233" s="685"/>
      <c r="AI233" s="685"/>
      <c r="AJ233" s="686"/>
      <c r="AK233" s="687"/>
      <c r="AL233" s="688"/>
      <c r="AM233" s="685"/>
      <c r="AN233" s="689"/>
      <c r="AO233" s="692"/>
      <c r="AP233" s="692"/>
      <c r="AQ233" s="685"/>
      <c r="AR233" s="685"/>
      <c r="AS233" s="685"/>
      <c r="AT233" s="685"/>
      <c r="AU233" s="637"/>
      <c r="AV233" s="610"/>
      <c r="AW233" s="610"/>
      <c r="AX233" s="610"/>
      <c r="AY233" s="610"/>
      <c r="AZ233" s="610"/>
      <c r="BA233" s="610"/>
      <c r="BB233" s="610"/>
      <c r="BC233" s="610"/>
      <c r="BD233" s="610"/>
      <c r="BE233" s="610"/>
      <c r="BF233" s="610"/>
      <c r="BG233" s="610"/>
      <c r="BH233" s="610"/>
      <c r="BI233" s="610"/>
      <c r="BJ233" s="610"/>
      <c r="BK233" s="610"/>
      <c r="BL233" s="610"/>
      <c r="BM233" s="610"/>
      <c r="BN233" s="610"/>
      <c r="BO233" s="610"/>
      <c r="BP233" s="610"/>
      <c r="BQ233" s="610"/>
    </row>
    <row r="234" ht="33.0" customHeight="1">
      <c r="A234" s="655" t="s">
        <v>4436</v>
      </c>
      <c r="B234" s="597" t="s">
        <v>4818</v>
      </c>
      <c r="C234" s="637">
        <v>1.0</v>
      </c>
      <c r="D234" s="607"/>
      <c r="E234" s="646"/>
      <c r="F234" s="647"/>
      <c r="G234" s="637"/>
      <c r="H234" s="637"/>
      <c r="I234" s="637">
        <v>1.0</v>
      </c>
      <c r="J234" s="637"/>
      <c r="K234" s="637"/>
      <c r="L234" s="637" t="s">
        <v>65</v>
      </c>
      <c r="M234" s="607"/>
      <c r="N234" s="650"/>
      <c r="O234" s="647"/>
      <c r="P234" s="637"/>
      <c r="Q234" s="637">
        <v>-1.0</v>
      </c>
      <c r="R234" s="637">
        <v>-1.0</v>
      </c>
      <c r="S234" s="637"/>
      <c r="T234" s="637">
        <v>1.0</v>
      </c>
      <c r="U234" s="637" t="s">
        <v>65</v>
      </c>
      <c r="V234" s="637">
        <v>-1.0</v>
      </c>
      <c r="W234" s="637" t="s">
        <v>65</v>
      </c>
      <c r="X234" s="637">
        <v>-1.0</v>
      </c>
      <c r="Y234" s="637" t="s">
        <v>65</v>
      </c>
      <c r="Z234" s="607"/>
      <c r="AA234" s="658"/>
      <c r="AB234" s="646"/>
      <c r="AC234" s="647"/>
      <c r="AD234" s="637"/>
      <c r="AE234" s="637"/>
      <c r="AF234" s="637"/>
      <c r="AG234" s="637"/>
      <c r="AH234" s="637"/>
      <c r="AI234" s="637"/>
      <c r="AJ234" s="607"/>
      <c r="AK234" s="646"/>
      <c r="AL234" s="647"/>
      <c r="AM234" s="637">
        <v>1.0</v>
      </c>
      <c r="AN234" s="637">
        <v>1.0</v>
      </c>
      <c r="AO234" s="351">
        <v>1.0</v>
      </c>
      <c r="AP234" s="351">
        <v>1.0</v>
      </c>
      <c r="AQ234" s="637">
        <v>-1.0</v>
      </c>
      <c r="AR234" s="637">
        <v>1.0</v>
      </c>
      <c r="AS234" s="637" t="s">
        <v>65</v>
      </c>
      <c r="AT234" s="637">
        <v>1.0</v>
      </c>
      <c r="AU234" s="637">
        <v>1.0</v>
      </c>
      <c r="AV234" s="610"/>
      <c r="AW234" s="610"/>
      <c r="AX234" s="610"/>
      <c r="AY234" s="610"/>
      <c r="AZ234" s="610"/>
      <c r="BA234" s="610"/>
      <c r="BB234" s="610"/>
      <c r="BC234" s="610"/>
      <c r="BD234" s="610"/>
      <c r="BE234" s="610"/>
      <c r="BF234" s="610"/>
      <c r="BG234" s="610"/>
      <c r="BH234" s="610"/>
      <c r="BI234" s="610"/>
      <c r="BJ234" s="610"/>
      <c r="BK234" s="610"/>
      <c r="BL234" s="610"/>
      <c r="BM234" s="610"/>
      <c r="BN234" s="610"/>
      <c r="BO234" s="610"/>
      <c r="BP234" s="610"/>
      <c r="BQ234" s="610"/>
    </row>
    <row r="235" ht="33.0" customHeight="1">
      <c r="A235" s="655" t="s">
        <v>4436</v>
      </c>
      <c r="B235" s="597" t="s">
        <v>4819</v>
      </c>
      <c r="C235" s="637">
        <v>2.0</v>
      </c>
      <c r="D235" s="607"/>
      <c r="E235" s="646"/>
      <c r="F235" s="647"/>
      <c r="G235" s="637">
        <v>2.0</v>
      </c>
      <c r="H235" s="637">
        <v>2.0</v>
      </c>
      <c r="I235" s="637">
        <v>2.0</v>
      </c>
      <c r="J235" s="637"/>
      <c r="K235" s="637" t="s">
        <v>65</v>
      </c>
      <c r="L235" s="637" t="s">
        <v>65</v>
      </c>
      <c r="M235" s="607"/>
      <c r="N235" s="650"/>
      <c r="O235" s="647"/>
      <c r="P235" s="637" t="s">
        <v>65</v>
      </c>
      <c r="Q235" s="637">
        <v>1.0</v>
      </c>
      <c r="R235" s="637">
        <v>2.0</v>
      </c>
      <c r="S235" s="637">
        <v>2.0</v>
      </c>
      <c r="T235" s="637">
        <v>1.0</v>
      </c>
      <c r="U235" s="637" t="s">
        <v>65</v>
      </c>
      <c r="V235" s="637">
        <v>2.0</v>
      </c>
      <c r="W235" s="637" t="s">
        <v>65</v>
      </c>
      <c r="X235" s="637">
        <v>1.0</v>
      </c>
      <c r="Y235" s="637" t="s">
        <v>65</v>
      </c>
      <c r="Z235" s="607"/>
      <c r="AA235" s="658"/>
      <c r="AB235" s="646"/>
      <c r="AC235" s="647"/>
      <c r="AD235" s="637">
        <v>2.0</v>
      </c>
      <c r="AE235" s="637" t="s">
        <v>65</v>
      </c>
      <c r="AF235" s="637" t="s">
        <v>65</v>
      </c>
      <c r="AG235" s="637" t="s">
        <v>65</v>
      </c>
      <c r="AH235" s="637" t="s">
        <v>65</v>
      </c>
      <c r="AI235" s="637" t="s">
        <v>65</v>
      </c>
      <c r="AJ235" s="607"/>
      <c r="AK235" s="646"/>
      <c r="AL235" s="647"/>
      <c r="AM235" s="637">
        <v>2.0</v>
      </c>
      <c r="AN235" s="637">
        <v>2.0</v>
      </c>
      <c r="AO235" s="351">
        <v>-2.0</v>
      </c>
      <c r="AP235" s="351">
        <v>2.0</v>
      </c>
      <c r="AQ235" s="637">
        <v>1.0</v>
      </c>
      <c r="AR235" s="637">
        <v>2.0</v>
      </c>
      <c r="AS235" s="637">
        <v>2.0</v>
      </c>
      <c r="AT235" s="637">
        <v>2.0</v>
      </c>
      <c r="AU235" s="637">
        <v>2.0</v>
      </c>
      <c r="AV235" s="610"/>
      <c r="AW235" s="610"/>
      <c r="AX235" s="612"/>
      <c r="AY235" s="610"/>
      <c r="AZ235" s="610"/>
      <c r="BA235" s="610"/>
      <c r="BB235" s="610"/>
      <c r="BC235" s="610"/>
      <c r="BD235" s="610"/>
      <c r="BE235" s="610"/>
      <c r="BF235" s="612"/>
      <c r="BG235" s="612"/>
      <c r="BH235" s="612"/>
      <c r="BI235" s="612"/>
      <c r="BJ235" s="612"/>
      <c r="BK235" s="612"/>
      <c r="BL235" s="612"/>
      <c r="BM235" s="612"/>
      <c r="BN235" s="612"/>
      <c r="BO235" s="612"/>
      <c r="BP235" s="612"/>
      <c r="BQ235" s="612"/>
    </row>
    <row r="236" ht="33.0" customHeight="1">
      <c r="A236" s="655" t="s">
        <v>4436</v>
      </c>
      <c r="B236" s="597" t="s">
        <v>4820</v>
      </c>
      <c r="C236" s="637">
        <v>1.0</v>
      </c>
      <c r="D236" s="607"/>
      <c r="E236" s="646"/>
      <c r="F236" s="647"/>
      <c r="G236" s="637"/>
      <c r="H236" s="637"/>
      <c r="I236" s="637">
        <v>1.0</v>
      </c>
      <c r="J236" s="637"/>
      <c r="K236" s="637" t="s">
        <v>65</v>
      </c>
      <c r="L236" s="637" t="s">
        <v>65</v>
      </c>
      <c r="M236" s="607"/>
      <c r="N236" s="650"/>
      <c r="O236" s="647"/>
      <c r="P236" s="637" t="s">
        <v>65</v>
      </c>
      <c r="Q236" s="637">
        <v>1.0</v>
      </c>
      <c r="R236" s="637">
        <v>1.0</v>
      </c>
      <c r="S236" s="637"/>
      <c r="T236" s="637">
        <v>1.0</v>
      </c>
      <c r="U236" s="637"/>
      <c r="V236" s="637">
        <v>1.0</v>
      </c>
      <c r="W236" s="637" t="s">
        <v>65</v>
      </c>
      <c r="X236" s="637">
        <v>1.0</v>
      </c>
      <c r="Y236" s="637" t="s">
        <v>65</v>
      </c>
      <c r="Z236" s="607"/>
      <c r="AA236" s="658"/>
      <c r="AB236" s="646"/>
      <c r="AC236" s="647"/>
      <c r="AD236" s="637" t="s">
        <v>65</v>
      </c>
      <c r="AE236" s="351">
        <v>1.0</v>
      </c>
      <c r="AF236" s="637">
        <v>1.0</v>
      </c>
      <c r="AG236" s="637" t="s">
        <v>65</v>
      </c>
      <c r="AH236" s="637" t="s">
        <v>65</v>
      </c>
      <c r="AI236" s="637" t="s">
        <v>65</v>
      </c>
      <c r="AJ236" s="607"/>
      <c r="AK236" s="646"/>
      <c r="AL236" s="647"/>
      <c r="AM236" s="637">
        <v>1.0</v>
      </c>
      <c r="AN236" s="637">
        <v>1.0</v>
      </c>
      <c r="AO236" s="351">
        <v>-1.0</v>
      </c>
      <c r="AP236" s="351">
        <v>1.0</v>
      </c>
      <c r="AQ236" s="637">
        <v>1.0</v>
      </c>
      <c r="AR236" s="637">
        <v>1.0</v>
      </c>
      <c r="AS236" s="637">
        <v>1.0</v>
      </c>
      <c r="AT236" s="637">
        <v>1.0</v>
      </c>
      <c r="AU236" s="637">
        <v>1.0</v>
      </c>
      <c r="AV236" s="610"/>
      <c r="AW236" s="610"/>
      <c r="AX236" s="612"/>
      <c r="AY236" s="610"/>
      <c r="AZ236" s="610"/>
      <c r="BA236" s="610"/>
      <c r="BB236" s="610"/>
      <c r="BC236" s="610"/>
      <c r="BD236" s="610"/>
      <c r="BE236" s="610"/>
      <c r="BF236" s="612"/>
      <c r="BG236" s="612"/>
      <c r="BH236" s="612"/>
      <c r="BI236" s="612"/>
      <c r="BJ236" s="612"/>
      <c r="BK236" s="612"/>
      <c r="BL236" s="612"/>
      <c r="BM236" s="612"/>
      <c r="BN236" s="612"/>
      <c r="BO236" s="612"/>
      <c r="BP236" s="612"/>
      <c r="BQ236" s="612"/>
    </row>
    <row r="237" ht="33.0" customHeight="1">
      <c r="A237" s="682" t="s">
        <v>4821</v>
      </c>
      <c r="B237" s="614">
        <f>sum(C238:C247)</f>
        <v>15</v>
      </c>
      <c r="C237" s="666"/>
      <c r="D237" s="607"/>
      <c r="E237" s="628">
        <f>AVERAGE(G237:L237)</f>
        <v>5.333333333</v>
      </c>
      <c r="F237" s="667">
        <f>E237/B237</f>
        <v>0.3555555556</v>
      </c>
      <c r="G237" s="666">
        <f t="shared" ref="G237:L237" si="74">sum(G238:G247)</f>
        <v>-2</v>
      </c>
      <c r="H237" s="666">
        <f t="shared" si="74"/>
        <v>6</v>
      </c>
      <c r="I237" s="666">
        <f t="shared" si="74"/>
        <v>1</v>
      </c>
      <c r="J237" s="666">
        <f t="shared" si="74"/>
        <v>11</v>
      </c>
      <c r="K237" s="666">
        <f t="shared" si="74"/>
        <v>7</v>
      </c>
      <c r="L237" s="666">
        <f t="shared" si="74"/>
        <v>9</v>
      </c>
      <c r="M237" s="607"/>
      <c r="N237" s="632">
        <f>AVERAGE(P237:Y237)</f>
        <v>-0.9</v>
      </c>
      <c r="O237" s="617">
        <f>N237/B237</f>
        <v>-0.06</v>
      </c>
      <c r="P237" s="666">
        <f t="shared" ref="P237:Y237" si="75">sum(P238:P247)</f>
        <v>2</v>
      </c>
      <c r="Q237" s="666">
        <f t="shared" si="75"/>
        <v>-1</v>
      </c>
      <c r="R237" s="666">
        <f t="shared" si="75"/>
        <v>-6</v>
      </c>
      <c r="S237" s="666">
        <f t="shared" si="75"/>
        <v>4</v>
      </c>
      <c r="T237" s="666">
        <f t="shared" si="75"/>
        <v>-7</v>
      </c>
      <c r="U237" s="666">
        <f t="shared" si="75"/>
        <v>-6</v>
      </c>
      <c r="V237" s="666">
        <f t="shared" si="75"/>
        <v>-6</v>
      </c>
      <c r="W237" s="666">
        <f t="shared" si="75"/>
        <v>9</v>
      </c>
      <c r="X237" s="666">
        <f t="shared" si="75"/>
        <v>-4</v>
      </c>
      <c r="Y237" s="666">
        <f t="shared" si="75"/>
        <v>6</v>
      </c>
      <c r="Z237" s="607"/>
      <c r="AA237" s="658"/>
      <c r="AB237" s="671">
        <f>average(AD237,AE237:AI237)</f>
        <v>2.166666667</v>
      </c>
      <c r="AC237" s="617">
        <f>AB237/B237</f>
        <v>0.1444444444</v>
      </c>
      <c r="AD237" s="666">
        <f t="shared" ref="AD237:AI237" si="76">sum(AD238:AD247)</f>
        <v>5</v>
      </c>
      <c r="AE237" s="666">
        <f t="shared" si="76"/>
        <v>-5</v>
      </c>
      <c r="AF237" s="666">
        <f t="shared" si="76"/>
        <v>-6</v>
      </c>
      <c r="AG237" s="666">
        <f t="shared" si="76"/>
        <v>1</v>
      </c>
      <c r="AH237" s="666">
        <f t="shared" si="76"/>
        <v>9</v>
      </c>
      <c r="AI237" s="666">
        <f t="shared" si="76"/>
        <v>9</v>
      </c>
      <c r="AJ237" s="607"/>
      <c r="AK237" s="671">
        <f>AVERAGE(AM237:AT237)</f>
        <v>6.0625</v>
      </c>
      <c r="AL237" s="667">
        <f>AK237/B237</f>
        <v>0.4041666667</v>
      </c>
      <c r="AM237" s="666">
        <f t="shared" ref="AM237:AU237" si="77">sum(AM238:AM247)</f>
        <v>5</v>
      </c>
      <c r="AN237" s="666">
        <f t="shared" si="77"/>
        <v>4.5</v>
      </c>
      <c r="AO237" s="666">
        <f t="shared" si="77"/>
        <v>5</v>
      </c>
      <c r="AP237" s="666">
        <f t="shared" si="77"/>
        <v>6</v>
      </c>
      <c r="AQ237" s="666">
        <f t="shared" si="77"/>
        <v>3</v>
      </c>
      <c r="AR237" s="666">
        <f t="shared" si="77"/>
        <v>7</v>
      </c>
      <c r="AS237" s="666">
        <f t="shared" si="77"/>
        <v>9</v>
      </c>
      <c r="AT237" s="666">
        <f t="shared" si="77"/>
        <v>9</v>
      </c>
      <c r="AU237" s="666">
        <f t="shared" si="77"/>
        <v>-1</v>
      </c>
      <c r="AV237" s="610"/>
      <c r="AW237" s="610"/>
      <c r="AX237" s="612"/>
      <c r="AY237" s="610"/>
      <c r="AZ237" s="610"/>
      <c r="BA237" s="610"/>
      <c r="BB237" s="610"/>
      <c r="BC237" s="610"/>
      <c r="BD237" s="610"/>
      <c r="BE237" s="610"/>
      <c r="BF237" s="612"/>
      <c r="BG237" s="612"/>
      <c r="BH237" s="612"/>
      <c r="BI237" s="612"/>
      <c r="BJ237" s="612"/>
      <c r="BK237" s="612"/>
      <c r="BL237" s="612"/>
      <c r="BM237" s="612"/>
      <c r="BN237" s="612"/>
      <c r="BO237" s="612"/>
      <c r="BP237" s="612"/>
      <c r="BQ237" s="612"/>
    </row>
    <row r="238" ht="33.0" customHeight="1">
      <c r="A238" s="693" t="s">
        <v>4822</v>
      </c>
      <c r="B238" s="597" t="s">
        <v>4823</v>
      </c>
      <c r="C238" s="637">
        <v>1.0</v>
      </c>
      <c r="D238" s="607"/>
      <c r="E238" s="646"/>
      <c r="F238" s="694"/>
      <c r="G238" s="637"/>
      <c r="H238" s="637" t="s">
        <v>65</v>
      </c>
      <c r="I238" s="637">
        <v>-1.0</v>
      </c>
      <c r="J238" s="637" t="s">
        <v>65</v>
      </c>
      <c r="K238" s="676">
        <v>1.0</v>
      </c>
      <c r="L238" s="637">
        <v>1.0</v>
      </c>
      <c r="M238" s="607"/>
      <c r="N238" s="650"/>
      <c r="O238" s="647"/>
      <c r="P238" s="637">
        <v>-1.0</v>
      </c>
      <c r="Q238" s="637">
        <v>-1.0</v>
      </c>
      <c r="R238" s="637">
        <v>-1.0</v>
      </c>
      <c r="S238" s="637">
        <v>-1.0</v>
      </c>
      <c r="T238" s="637">
        <v>-1.0</v>
      </c>
      <c r="U238" s="637">
        <v>-1.0</v>
      </c>
      <c r="V238" s="637">
        <v>1.0</v>
      </c>
      <c r="W238" s="637">
        <v>7.0</v>
      </c>
      <c r="X238" s="637">
        <v>-1.0</v>
      </c>
      <c r="Y238" s="637">
        <v>1.0</v>
      </c>
      <c r="Z238" s="607"/>
      <c r="AA238" s="658"/>
      <c r="AB238" s="646"/>
      <c r="AC238" s="647"/>
      <c r="AD238" s="676">
        <v>1.0</v>
      </c>
      <c r="AE238" s="676">
        <v>-1.0</v>
      </c>
      <c r="AF238" s="676">
        <v>-1.0</v>
      </c>
      <c r="AG238" s="637">
        <v>-1.0</v>
      </c>
      <c r="AH238" s="637">
        <v>1.0</v>
      </c>
      <c r="AI238" s="637">
        <v>1.0</v>
      </c>
      <c r="AJ238" s="607"/>
      <c r="AK238" s="695"/>
      <c r="AL238" s="694"/>
      <c r="AM238" s="637">
        <v>-0.5</v>
      </c>
      <c r="AN238" s="637">
        <v>-1.0</v>
      </c>
      <c r="AO238" s="351">
        <v>1.0</v>
      </c>
      <c r="AP238" s="351">
        <v>1.0</v>
      </c>
      <c r="AQ238" s="637">
        <v>1.0</v>
      </c>
      <c r="AR238" s="637">
        <v>1.0</v>
      </c>
      <c r="AS238" s="637">
        <v>1.0</v>
      </c>
      <c r="AT238" s="637">
        <v>1.0</v>
      </c>
      <c r="AU238" s="637">
        <v>-1.0</v>
      </c>
      <c r="AV238" s="610"/>
      <c r="AW238" s="610"/>
      <c r="AX238" s="612"/>
      <c r="AY238" s="610"/>
      <c r="AZ238" s="610"/>
      <c r="BA238" s="610"/>
      <c r="BB238" s="610"/>
      <c r="BC238" s="610"/>
      <c r="BD238" s="610"/>
      <c r="BE238" s="610"/>
      <c r="BF238" s="612"/>
      <c r="BG238" s="612"/>
      <c r="BH238" s="612"/>
      <c r="BI238" s="612"/>
      <c r="BJ238" s="612"/>
      <c r="BK238" s="612"/>
      <c r="BL238" s="612"/>
      <c r="BM238" s="612"/>
      <c r="BN238" s="612"/>
      <c r="BO238" s="612"/>
      <c r="BP238" s="612"/>
      <c r="BQ238" s="612"/>
    </row>
    <row r="239" ht="33.0" customHeight="1">
      <c r="A239" s="693" t="s">
        <v>4822</v>
      </c>
      <c r="B239" s="597" t="s">
        <v>4824</v>
      </c>
      <c r="C239" s="637">
        <v>1.0</v>
      </c>
      <c r="D239" s="607"/>
      <c r="E239" s="646"/>
      <c r="F239" s="694"/>
      <c r="G239" s="637" t="s">
        <v>65</v>
      </c>
      <c r="H239" s="637">
        <v>1.0</v>
      </c>
      <c r="I239" s="676">
        <v>1.0</v>
      </c>
      <c r="J239" s="637" t="s">
        <v>65</v>
      </c>
      <c r="K239" s="676">
        <v>1.0</v>
      </c>
      <c r="L239" s="637">
        <v>1.0</v>
      </c>
      <c r="M239" s="607"/>
      <c r="N239" s="650"/>
      <c r="O239" s="647"/>
      <c r="P239" s="637">
        <v>1.0</v>
      </c>
      <c r="Q239" s="637">
        <v>1.0</v>
      </c>
      <c r="R239" s="637">
        <v>-1.0</v>
      </c>
      <c r="S239" s="637">
        <v>1.0</v>
      </c>
      <c r="T239" s="637">
        <v>-1.0</v>
      </c>
      <c r="U239" s="637">
        <v>-1.0</v>
      </c>
      <c r="V239" s="637">
        <v>1.0</v>
      </c>
      <c r="W239" s="637">
        <v>1.0</v>
      </c>
      <c r="X239" s="637">
        <v>-1.0</v>
      </c>
      <c r="Y239" s="637">
        <v>1.0</v>
      </c>
      <c r="Z239" s="607"/>
      <c r="AA239" s="658"/>
      <c r="AB239" s="646"/>
      <c r="AC239" s="647"/>
      <c r="AD239" s="676">
        <v>1.0</v>
      </c>
      <c r="AE239" s="676">
        <v>-1.0</v>
      </c>
      <c r="AF239" s="676">
        <v>-1.0</v>
      </c>
      <c r="AG239" s="637">
        <v>1.0</v>
      </c>
      <c r="AH239" s="637">
        <v>1.0</v>
      </c>
      <c r="AI239" s="637">
        <v>1.0</v>
      </c>
      <c r="AJ239" s="607"/>
      <c r="AK239" s="695"/>
      <c r="AL239" s="694"/>
      <c r="AM239" s="637">
        <v>-0.5</v>
      </c>
      <c r="AN239" s="637">
        <v>-1.0</v>
      </c>
      <c r="AO239" s="351">
        <v>1.0</v>
      </c>
      <c r="AP239" s="351">
        <v>1.0</v>
      </c>
      <c r="AQ239" s="637">
        <v>1.0</v>
      </c>
      <c r="AR239" s="637">
        <v>1.0</v>
      </c>
      <c r="AS239" s="637">
        <v>1.0</v>
      </c>
      <c r="AT239" s="637">
        <v>1.0</v>
      </c>
      <c r="AU239" s="637">
        <v>-1.0</v>
      </c>
      <c r="AV239" s="610"/>
      <c r="AW239" s="610"/>
      <c r="AX239" s="612"/>
      <c r="AY239" s="610"/>
      <c r="AZ239" s="610"/>
      <c r="BA239" s="610"/>
      <c r="BB239" s="610"/>
      <c r="BC239" s="610"/>
      <c r="BD239" s="610"/>
      <c r="BE239" s="610"/>
      <c r="BF239" s="612"/>
      <c r="BG239" s="612"/>
      <c r="BH239" s="612"/>
      <c r="BI239" s="612"/>
      <c r="BJ239" s="612"/>
      <c r="BK239" s="612"/>
      <c r="BL239" s="612"/>
      <c r="BM239" s="612"/>
      <c r="BN239" s="612"/>
      <c r="BO239" s="612"/>
      <c r="BP239" s="612"/>
      <c r="BQ239" s="612"/>
    </row>
    <row r="240" ht="33.0" customHeight="1">
      <c r="A240" s="693" t="s">
        <v>4822</v>
      </c>
      <c r="B240" s="696" t="s">
        <v>4825</v>
      </c>
      <c r="C240" s="637">
        <v>3.0</v>
      </c>
      <c r="D240" s="607"/>
      <c r="E240" s="646"/>
      <c r="F240" s="694"/>
      <c r="G240" s="637"/>
      <c r="H240" s="637" t="s">
        <v>65</v>
      </c>
      <c r="I240" s="637" t="s">
        <v>65</v>
      </c>
      <c r="J240" s="637">
        <v>3.0</v>
      </c>
      <c r="K240" s="637" t="s">
        <v>65</v>
      </c>
      <c r="L240" s="637" t="s">
        <v>65</v>
      </c>
      <c r="M240" s="607"/>
      <c r="N240" s="650"/>
      <c r="O240" s="694"/>
      <c r="P240" s="637" t="s">
        <v>65</v>
      </c>
      <c r="Q240" s="637" t="s">
        <v>65</v>
      </c>
      <c r="R240" s="637">
        <v>-3.0</v>
      </c>
      <c r="S240" s="637" t="s">
        <v>65</v>
      </c>
      <c r="T240" s="637" t="s">
        <v>65</v>
      </c>
      <c r="U240" s="637">
        <v>-3.0</v>
      </c>
      <c r="V240" s="637">
        <v>-3.0</v>
      </c>
      <c r="W240" s="637" t="s">
        <v>65</v>
      </c>
      <c r="X240" s="637">
        <v>-3.0</v>
      </c>
      <c r="Y240" s="637">
        <v>-3.0</v>
      </c>
      <c r="Z240" s="607"/>
      <c r="AA240" s="658"/>
      <c r="AB240" s="646"/>
      <c r="AC240" s="694"/>
      <c r="AD240" s="637" t="s">
        <v>65</v>
      </c>
      <c r="AE240" s="637" t="s">
        <v>65</v>
      </c>
      <c r="AF240" s="637">
        <v>-3.0</v>
      </c>
      <c r="AG240" s="637" t="s">
        <v>65</v>
      </c>
      <c r="AH240" s="637" t="s">
        <v>65</v>
      </c>
      <c r="AI240" s="637" t="s">
        <v>65</v>
      </c>
      <c r="AJ240" s="607"/>
      <c r="AK240" s="695"/>
      <c r="AL240" s="694"/>
      <c r="AM240" s="637" t="s">
        <v>65</v>
      </c>
      <c r="AN240" s="637">
        <v>3.0</v>
      </c>
      <c r="AO240" s="351" t="s">
        <v>65</v>
      </c>
      <c r="AP240" s="351">
        <v>3.0</v>
      </c>
      <c r="AQ240" s="637" t="s">
        <v>65</v>
      </c>
      <c r="AR240" s="637" t="s">
        <v>65</v>
      </c>
      <c r="AS240" s="637" t="s">
        <v>65</v>
      </c>
      <c r="AT240" s="637" t="s">
        <v>65</v>
      </c>
      <c r="AU240" s="637">
        <v>-3.0</v>
      </c>
      <c r="AV240" s="610"/>
      <c r="AW240" s="610"/>
      <c r="AX240" s="612"/>
      <c r="AY240" s="610"/>
      <c r="AZ240" s="610"/>
      <c r="BA240" s="610"/>
      <c r="BB240" s="610"/>
      <c r="BC240" s="610"/>
      <c r="BD240" s="610"/>
      <c r="BE240" s="610"/>
      <c r="BF240" s="612"/>
      <c r="BG240" s="612"/>
      <c r="BH240" s="612"/>
      <c r="BI240" s="612"/>
      <c r="BJ240" s="612"/>
      <c r="BK240" s="612"/>
      <c r="BL240" s="612"/>
      <c r="BM240" s="612"/>
      <c r="BN240" s="612"/>
      <c r="BO240" s="612"/>
      <c r="BP240" s="612"/>
      <c r="BQ240" s="612"/>
    </row>
    <row r="241" ht="33.0" customHeight="1">
      <c r="A241" s="655" t="s">
        <v>4425</v>
      </c>
      <c r="B241" s="696" t="s">
        <v>4826</v>
      </c>
      <c r="C241" s="637">
        <v>3.0</v>
      </c>
      <c r="D241" s="607"/>
      <c r="E241" s="646"/>
      <c r="F241" s="694"/>
      <c r="G241" s="637"/>
      <c r="H241" s="637"/>
      <c r="I241" s="637" t="s">
        <v>65</v>
      </c>
      <c r="J241" s="637">
        <v>2.0</v>
      </c>
      <c r="K241" s="637" t="s">
        <v>65</v>
      </c>
      <c r="L241" s="637" t="s">
        <v>65</v>
      </c>
      <c r="M241" s="607"/>
      <c r="N241" s="650"/>
      <c r="O241" s="647"/>
      <c r="P241" s="637" t="s">
        <v>65</v>
      </c>
      <c r="Q241" s="637" t="s">
        <v>65</v>
      </c>
      <c r="R241" s="637">
        <v>-2.0</v>
      </c>
      <c r="S241" s="637" t="s">
        <v>65</v>
      </c>
      <c r="T241" s="637" t="s">
        <v>65</v>
      </c>
      <c r="U241" s="637" t="s">
        <v>4827</v>
      </c>
      <c r="V241" s="637">
        <v>-2.0</v>
      </c>
      <c r="W241" s="637" t="s">
        <v>65</v>
      </c>
      <c r="X241" s="637">
        <v>2.0</v>
      </c>
      <c r="Y241" s="637">
        <v>2.0</v>
      </c>
      <c r="Z241" s="607"/>
      <c r="AA241" s="658"/>
      <c r="AB241" s="646"/>
      <c r="AC241" s="647"/>
      <c r="AD241" s="637" t="s">
        <v>65</v>
      </c>
      <c r="AE241" s="637" t="s">
        <v>65</v>
      </c>
      <c r="AF241" s="637">
        <v>-2.0</v>
      </c>
      <c r="AG241" s="637" t="s">
        <v>65</v>
      </c>
      <c r="AH241" s="637" t="s">
        <v>65</v>
      </c>
      <c r="AI241" s="637" t="s">
        <v>65</v>
      </c>
      <c r="AJ241" s="607"/>
      <c r="AK241" s="695"/>
      <c r="AL241" s="694"/>
      <c r="AM241" s="637" t="s">
        <v>65</v>
      </c>
      <c r="AN241" s="637">
        <v>-2.0</v>
      </c>
      <c r="AO241" s="351" t="s">
        <v>65</v>
      </c>
      <c r="AP241" s="351">
        <v>-2.0</v>
      </c>
      <c r="AQ241" s="637" t="s">
        <v>65</v>
      </c>
      <c r="AR241" s="637" t="s">
        <v>65</v>
      </c>
      <c r="AS241" s="637">
        <v>3.0</v>
      </c>
      <c r="AT241" s="637"/>
      <c r="AU241" s="637">
        <v>-3.0</v>
      </c>
      <c r="AV241" s="610"/>
      <c r="AW241" s="610"/>
      <c r="AX241" s="612"/>
      <c r="AY241" s="610"/>
      <c r="AZ241" s="610"/>
      <c r="BA241" s="610"/>
      <c r="BB241" s="610"/>
      <c r="BC241" s="610"/>
      <c r="BD241" s="610"/>
      <c r="BE241" s="610"/>
      <c r="BF241" s="612"/>
      <c r="BG241" s="612"/>
      <c r="BH241" s="612"/>
      <c r="BI241" s="612"/>
      <c r="BJ241" s="612"/>
      <c r="BK241" s="612"/>
      <c r="BL241" s="612"/>
      <c r="BM241" s="612"/>
      <c r="BN241" s="612"/>
      <c r="BO241" s="612"/>
      <c r="BP241" s="612"/>
      <c r="BQ241" s="612"/>
    </row>
    <row r="242" ht="33.0" customHeight="1">
      <c r="A242" s="693" t="s">
        <v>4822</v>
      </c>
      <c r="B242" s="696" t="s">
        <v>4828</v>
      </c>
      <c r="C242" s="637">
        <v>1.0</v>
      </c>
      <c r="D242" s="607"/>
      <c r="E242" s="646"/>
      <c r="F242" s="694"/>
      <c r="G242" s="637"/>
      <c r="H242" s="637">
        <v>1.0</v>
      </c>
      <c r="I242" s="637">
        <v>-1.0</v>
      </c>
      <c r="J242" s="637" t="s">
        <v>65</v>
      </c>
      <c r="K242" s="676">
        <v>1.0</v>
      </c>
      <c r="L242" s="637">
        <v>1.0</v>
      </c>
      <c r="M242" s="607"/>
      <c r="N242" s="650"/>
      <c r="O242" s="647"/>
      <c r="P242" s="637">
        <v>1.0</v>
      </c>
      <c r="Q242" s="637">
        <v>-1.0</v>
      </c>
      <c r="R242" s="637">
        <v>1.0</v>
      </c>
      <c r="S242" s="637">
        <v>1.0</v>
      </c>
      <c r="T242" s="637">
        <v>-1.0</v>
      </c>
      <c r="U242" s="637">
        <v>-1.0</v>
      </c>
      <c r="V242" s="637">
        <v>-1.0</v>
      </c>
      <c r="W242" s="637">
        <v>1.0</v>
      </c>
      <c r="X242" s="637">
        <v>1.0</v>
      </c>
      <c r="Y242" s="637">
        <v>1.0</v>
      </c>
      <c r="Z242" s="607"/>
      <c r="AA242" s="658"/>
      <c r="AB242" s="646"/>
      <c r="AC242" s="647"/>
      <c r="AD242" s="676">
        <v>1.0</v>
      </c>
      <c r="AE242" s="676">
        <v>-1.0</v>
      </c>
      <c r="AF242" s="676">
        <v>-1.0</v>
      </c>
      <c r="AG242" s="637">
        <v>1.0</v>
      </c>
      <c r="AH242" s="637">
        <v>1.0</v>
      </c>
      <c r="AI242" s="637">
        <v>1.0</v>
      </c>
      <c r="AJ242" s="607"/>
      <c r="AK242" s="695"/>
      <c r="AL242" s="694"/>
      <c r="AM242" s="637">
        <v>1.0</v>
      </c>
      <c r="AN242" s="637">
        <v>1.0</v>
      </c>
      <c r="AO242" s="351">
        <v>1.0</v>
      </c>
      <c r="AP242" s="351">
        <v>1.0</v>
      </c>
      <c r="AQ242" s="637">
        <v>1.0</v>
      </c>
      <c r="AR242" s="637">
        <v>1.0</v>
      </c>
      <c r="AS242" s="637">
        <v>1.0</v>
      </c>
      <c r="AT242" s="637">
        <v>1.0</v>
      </c>
      <c r="AU242" s="637">
        <v>1.0</v>
      </c>
      <c r="AV242" s="610"/>
      <c r="AW242" s="610"/>
      <c r="AX242" s="612"/>
      <c r="AY242" s="610"/>
      <c r="AZ242" s="610"/>
      <c r="BA242" s="610"/>
      <c r="BB242" s="610"/>
      <c r="BC242" s="610"/>
      <c r="BD242" s="610"/>
      <c r="BE242" s="610"/>
      <c r="BF242" s="612"/>
      <c r="BG242" s="612"/>
      <c r="BH242" s="612"/>
      <c r="BI242" s="612"/>
      <c r="BJ242" s="612"/>
      <c r="BK242" s="612"/>
      <c r="BL242" s="612"/>
      <c r="BM242" s="612"/>
      <c r="BN242" s="612"/>
      <c r="BO242" s="612"/>
      <c r="BP242" s="612"/>
      <c r="BQ242" s="612"/>
    </row>
    <row r="243" ht="33.0" customHeight="1">
      <c r="A243" s="693" t="s">
        <v>4822</v>
      </c>
      <c r="B243" s="601" t="s">
        <v>4829</v>
      </c>
      <c r="C243" s="637">
        <v>2.0</v>
      </c>
      <c r="D243" s="607"/>
      <c r="E243" s="646"/>
      <c r="F243" s="694"/>
      <c r="G243" s="637">
        <v>-2.0</v>
      </c>
      <c r="H243" s="637">
        <v>2.0</v>
      </c>
      <c r="I243" s="637">
        <v>-2.0</v>
      </c>
      <c r="J243" s="637">
        <v>2.0</v>
      </c>
      <c r="K243" s="637"/>
      <c r="L243" s="637">
        <v>2.0</v>
      </c>
      <c r="M243" s="607"/>
      <c r="N243" s="650"/>
      <c r="O243" s="694"/>
      <c r="P243" s="637">
        <v>-2.0</v>
      </c>
      <c r="Q243" s="637">
        <v>-2.0</v>
      </c>
      <c r="R243" s="637">
        <v>-2.0</v>
      </c>
      <c r="S243" s="637" t="s">
        <v>65</v>
      </c>
      <c r="T243" s="637" t="s">
        <v>65</v>
      </c>
      <c r="U243" s="637">
        <v>-2.0</v>
      </c>
      <c r="V243" s="637">
        <v>-2.0</v>
      </c>
      <c r="W243" s="637">
        <v>-2.0</v>
      </c>
      <c r="X243" s="637">
        <v>-2.0</v>
      </c>
      <c r="Y243" s="637">
        <v>2.0</v>
      </c>
      <c r="Z243" s="607"/>
      <c r="AA243" s="658"/>
      <c r="AB243" s="646"/>
      <c r="AC243" s="694"/>
      <c r="AD243" s="637">
        <v>-2.0</v>
      </c>
      <c r="AE243" s="697">
        <v>-2.0</v>
      </c>
      <c r="AF243" s="637">
        <v>2.0</v>
      </c>
      <c r="AG243" s="637">
        <v>-2.0</v>
      </c>
      <c r="AH243" s="637">
        <v>2.0</v>
      </c>
      <c r="AI243" s="637">
        <v>2.0</v>
      </c>
      <c r="AJ243" s="607"/>
      <c r="AK243" s="695"/>
      <c r="AL243" s="694"/>
      <c r="AM243" s="637">
        <v>1.0</v>
      </c>
      <c r="AN243" s="637">
        <v>1.0</v>
      </c>
      <c r="AO243" s="351">
        <v>-2.0</v>
      </c>
      <c r="AP243" s="351">
        <v>-2.0</v>
      </c>
      <c r="AQ243" s="637">
        <v>-2.0</v>
      </c>
      <c r="AR243" s="637">
        <v>2.0</v>
      </c>
      <c r="AS243" s="637" t="s">
        <v>65</v>
      </c>
      <c r="AT243" s="637">
        <v>2.0</v>
      </c>
      <c r="AU243" s="637">
        <v>2.0</v>
      </c>
      <c r="AV243" s="610"/>
      <c r="AW243" s="610"/>
      <c r="AX243" s="612"/>
      <c r="AY243" s="610"/>
      <c r="AZ243" s="610"/>
      <c r="BA243" s="610"/>
      <c r="BB243" s="610"/>
      <c r="BC243" s="610"/>
      <c r="BD243" s="610"/>
      <c r="BE243" s="610"/>
      <c r="BF243" s="612"/>
      <c r="BG243" s="612"/>
      <c r="BH243" s="612"/>
      <c r="BI243" s="612"/>
      <c r="BJ243" s="612"/>
      <c r="BK243" s="612"/>
      <c r="BL243" s="612"/>
      <c r="BM243" s="612"/>
      <c r="BN243" s="612"/>
      <c r="BO243" s="612"/>
      <c r="BP243" s="612"/>
      <c r="BQ243" s="612"/>
    </row>
    <row r="244" ht="33.0" customHeight="1">
      <c r="A244" s="698" t="s">
        <v>4830</v>
      </c>
      <c r="B244" s="696" t="s">
        <v>4831</v>
      </c>
      <c r="C244" s="637">
        <v>1.0</v>
      </c>
      <c r="D244" s="607"/>
      <c r="E244" s="646"/>
      <c r="F244" s="694"/>
      <c r="G244" s="637"/>
      <c r="H244" s="637">
        <v>-1.0</v>
      </c>
      <c r="I244" s="637">
        <v>1.0</v>
      </c>
      <c r="J244" s="637">
        <v>1.0</v>
      </c>
      <c r="K244" s="637">
        <v>1.0</v>
      </c>
      <c r="L244" s="637">
        <v>1.0</v>
      </c>
      <c r="M244" s="607"/>
      <c r="N244" s="650"/>
      <c r="O244" s="694"/>
      <c r="P244" s="637"/>
      <c r="Q244" s="683">
        <v>-1.0</v>
      </c>
      <c r="R244" s="683">
        <v>1.0</v>
      </c>
      <c r="S244" s="683" t="s">
        <v>65</v>
      </c>
      <c r="T244" s="637">
        <v>-1.0</v>
      </c>
      <c r="U244" s="637">
        <v>-1.0</v>
      </c>
      <c r="V244" s="637">
        <v>1.0</v>
      </c>
      <c r="W244" s="637">
        <v>1.0</v>
      </c>
      <c r="X244" s="637">
        <v>-1.0</v>
      </c>
      <c r="Y244" s="637">
        <v>-1.0</v>
      </c>
      <c r="Z244" s="607"/>
      <c r="AA244" s="658"/>
      <c r="AB244" s="646"/>
      <c r="AC244" s="694"/>
      <c r="AD244" s="637">
        <v>1.0</v>
      </c>
      <c r="AE244" s="676">
        <v>1.0</v>
      </c>
      <c r="AF244" s="637">
        <v>1.0</v>
      </c>
      <c r="AG244" s="637">
        <v>1.0</v>
      </c>
      <c r="AH244" s="637">
        <v>1.0</v>
      </c>
      <c r="AI244" s="637">
        <v>1.0</v>
      </c>
      <c r="AJ244" s="607"/>
      <c r="AK244" s="695"/>
      <c r="AL244" s="694"/>
      <c r="AM244" s="637">
        <v>1.0</v>
      </c>
      <c r="AN244" s="637">
        <v>1.0</v>
      </c>
      <c r="AO244" s="351">
        <v>1.0</v>
      </c>
      <c r="AP244" s="351">
        <v>1.0</v>
      </c>
      <c r="AQ244" s="637">
        <v>1.0</v>
      </c>
      <c r="AR244" s="637">
        <v>1.0</v>
      </c>
      <c r="AS244" s="637">
        <v>1.0</v>
      </c>
      <c r="AT244" s="637">
        <v>1.0</v>
      </c>
      <c r="AU244" s="637">
        <v>1.0</v>
      </c>
      <c r="AV244" s="610"/>
      <c r="AW244" s="610"/>
      <c r="AX244" s="612"/>
      <c r="AY244" s="610"/>
      <c r="AZ244" s="610"/>
      <c r="BA244" s="610"/>
      <c r="BB244" s="610"/>
      <c r="BC244" s="610"/>
      <c r="BD244" s="610"/>
      <c r="BE244" s="610"/>
      <c r="BF244" s="612"/>
      <c r="BG244" s="612"/>
      <c r="BH244" s="612"/>
      <c r="BI244" s="612"/>
      <c r="BJ244" s="612"/>
      <c r="BK244" s="612"/>
      <c r="BL244" s="612"/>
      <c r="BM244" s="612"/>
      <c r="BN244" s="612"/>
      <c r="BO244" s="612"/>
      <c r="BP244" s="612"/>
      <c r="BQ244" s="612"/>
    </row>
    <row r="245" ht="33.0" customHeight="1">
      <c r="A245" s="698" t="s">
        <v>4830</v>
      </c>
      <c r="B245" s="601" t="s">
        <v>4832</v>
      </c>
      <c r="C245" s="637">
        <v>1.0</v>
      </c>
      <c r="D245" s="607"/>
      <c r="E245" s="646"/>
      <c r="F245" s="694"/>
      <c r="G245" s="637"/>
      <c r="H245" s="637">
        <v>1.0</v>
      </c>
      <c r="I245" s="637">
        <v>1.0</v>
      </c>
      <c r="J245" s="637">
        <v>1.0</v>
      </c>
      <c r="K245" s="637">
        <v>1.0</v>
      </c>
      <c r="L245" s="637">
        <v>1.0</v>
      </c>
      <c r="M245" s="607"/>
      <c r="N245" s="650"/>
      <c r="O245" s="694"/>
      <c r="P245" s="637">
        <v>1.0</v>
      </c>
      <c r="Q245" s="637">
        <v>1.0</v>
      </c>
      <c r="R245" s="637">
        <v>-1.0</v>
      </c>
      <c r="S245" s="637">
        <v>1.0</v>
      </c>
      <c r="T245" s="637">
        <v>-1.0</v>
      </c>
      <c r="U245" s="637">
        <v>1.0</v>
      </c>
      <c r="V245" s="637">
        <v>-1.0</v>
      </c>
      <c r="W245" s="637">
        <v>1.0</v>
      </c>
      <c r="X245" s="637">
        <v>1.0</v>
      </c>
      <c r="Y245" s="637">
        <v>1.0</v>
      </c>
      <c r="Z245" s="607"/>
      <c r="AA245" s="658"/>
      <c r="AB245" s="646"/>
      <c r="AC245" s="694"/>
      <c r="AD245" s="637">
        <v>1.0</v>
      </c>
      <c r="AE245" s="676">
        <v>1.0</v>
      </c>
      <c r="AF245" s="637">
        <v>1.0</v>
      </c>
      <c r="AG245" s="637">
        <v>1.0</v>
      </c>
      <c r="AH245" s="637">
        <v>1.0</v>
      </c>
      <c r="AI245" s="637">
        <v>1.0</v>
      </c>
      <c r="AJ245" s="607"/>
      <c r="AK245" s="695"/>
      <c r="AL245" s="694"/>
      <c r="AM245" s="637">
        <v>1.0</v>
      </c>
      <c r="AN245" s="637">
        <v>1.0</v>
      </c>
      <c r="AO245" s="351">
        <v>1.0</v>
      </c>
      <c r="AP245" s="351">
        <v>1.0</v>
      </c>
      <c r="AQ245" s="637">
        <v>1.0</v>
      </c>
      <c r="AR245" s="637">
        <v>1.0</v>
      </c>
      <c r="AS245" s="637">
        <v>1.0</v>
      </c>
      <c r="AT245" s="637">
        <v>1.0</v>
      </c>
      <c r="AU245" s="637">
        <v>1.0</v>
      </c>
      <c r="AV245" s="610"/>
      <c r="AW245" s="610"/>
      <c r="AX245" s="612"/>
      <c r="AY245" s="610"/>
      <c r="AZ245" s="610"/>
      <c r="BA245" s="610"/>
      <c r="BB245" s="610"/>
      <c r="BC245" s="610"/>
      <c r="BD245" s="610"/>
      <c r="BE245" s="610"/>
      <c r="BF245" s="612"/>
      <c r="BG245" s="612"/>
      <c r="BH245" s="612"/>
      <c r="BI245" s="612"/>
      <c r="BJ245" s="612"/>
      <c r="BK245" s="612"/>
      <c r="BL245" s="612"/>
      <c r="BM245" s="612"/>
      <c r="BN245" s="612"/>
      <c r="BO245" s="612"/>
      <c r="BP245" s="612"/>
      <c r="BQ245" s="612"/>
    </row>
    <row r="246" ht="33.0" customHeight="1">
      <c r="A246" s="655" t="s">
        <v>4833</v>
      </c>
      <c r="B246" s="597" t="s">
        <v>4834</v>
      </c>
      <c r="C246" s="637">
        <v>1.0</v>
      </c>
      <c r="D246" s="607"/>
      <c r="E246" s="646"/>
      <c r="F246" s="694"/>
      <c r="G246" s="637"/>
      <c r="H246" s="637">
        <v>1.0</v>
      </c>
      <c r="I246" s="676">
        <v>1.0</v>
      </c>
      <c r="J246" s="676">
        <v>1.0</v>
      </c>
      <c r="K246" s="676">
        <v>1.0</v>
      </c>
      <c r="L246" s="637">
        <v>1.0</v>
      </c>
      <c r="M246" s="607"/>
      <c r="N246" s="650"/>
      <c r="O246" s="647"/>
      <c r="P246" s="637">
        <v>1.0</v>
      </c>
      <c r="Q246" s="637">
        <v>1.0</v>
      </c>
      <c r="R246" s="637">
        <v>1.0</v>
      </c>
      <c r="S246" s="637">
        <v>1.0</v>
      </c>
      <c r="T246" s="637">
        <v>1.0</v>
      </c>
      <c r="U246" s="637">
        <v>1.0</v>
      </c>
      <c r="V246" s="637">
        <v>1.0</v>
      </c>
      <c r="W246" s="637">
        <v>1.0</v>
      </c>
      <c r="X246" s="637">
        <v>1.0</v>
      </c>
      <c r="Y246" s="637">
        <v>1.0</v>
      </c>
      <c r="Z246" s="607"/>
      <c r="AA246" s="658"/>
      <c r="AB246" s="646"/>
      <c r="AC246" s="647"/>
      <c r="AD246" s="676">
        <v>1.0</v>
      </c>
      <c r="AE246" s="676">
        <v>-1.0</v>
      </c>
      <c r="AF246" s="676">
        <v>-1.0</v>
      </c>
      <c r="AG246" s="637">
        <v>1.0</v>
      </c>
      <c r="AH246" s="637">
        <v>1.0</v>
      </c>
      <c r="AI246" s="637">
        <v>1.0</v>
      </c>
      <c r="AJ246" s="607"/>
      <c r="AK246" s="695"/>
      <c r="AL246" s="694"/>
      <c r="AM246" s="637">
        <v>1.0</v>
      </c>
      <c r="AN246" s="637">
        <v>1.0</v>
      </c>
      <c r="AO246" s="351">
        <v>1.0</v>
      </c>
      <c r="AP246" s="351">
        <v>1.0</v>
      </c>
      <c r="AQ246" s="637" t="s">
        <v>65</v>
      </c>
      <c r="AR246" s="637">
        <v>1.0</v>
      </c>
      <c r="AS246" s="637">
        <v>1.0</v>
      </c>
      <c r="AT246" s="637">
        <v>1.0</v>
      </c>
      <c r="AU246" s="637">
        <v>1.0</v>
      </c>
      <c r="AV246" s="610"/>
      <c r="AW246" s="610"/>
      <c r="AX246" s="612"/>
      <c r="AY246" s="610"/>
      <c r="AZ246" s="610"/>
      <c r="BA246" s="610"/>
      <c r="BB246" s="610"/>
      <c r="BC246" s="610"/>
      <c r="BD246" s="610"/>
      <c r="BE246" s="610"/>
      <c r="BF246" s="612"/>
      <c r="BG246" s="612"/>
      <c r="BH246" s="612"/>
      <c r="BI246" s="612"/>
      <c r="BJ246" s="612"/>
      <c r="BK246" s="612"/>
      <c r="BL246" s="612"/>
      <c r="BM246" s="612"/>
      <c r="BN246" s="612"/>
      <c r="BO246" s="612"/>
      <c r="BP246" s="612"/>
      <c r="BQ246" s="612"/>
    </row>
    <row r="247" ht="33.0" customHeight="1">
      <c r="A247" s="699" t="s">
        <v>4833</v>
      </c>
      <c r="B247" s="663" t="s">
        <v>4835</v>
      </c>
      <c r="C247" s="664">
        <v>1.0</v>
      </c>
      <c r="D247" s="607"/>
      <c r="E247" s="700"/>
      <c r="F247" s="701"/>
      <c r="G247" s="664"/>
      <c r="H247" s="664">
        <v>1.0</v>
      </c>
      <c r="I247" s="702">
        <v>1.0</v>
      </c>
      <c r="J247" s="702">
        <v>1.0</v>
      </c>
      <c r="K247" s="702">
        <v>1.0</v>
      </c>
      <c r="L247" s="664">
        <v>1.0</v>
      </c>
      <c r="M247" s="607"/>
      <c r="N247" s="703"/>
      <c r="O247" s="704"/>
      <c r="P247" s="664">
        <v>1.0</v>
      </c>
      <c r="Q247" s="664">
        <v>1.0</v>
      </c>
      <c r="R247" s="664">
        <v>1.0</v>
      </c>
      <c r="S247" s="664">
        <v>1.0</v>
      </c>
      <c r="T247" s="664">
        <v>-3.0</v>
      </c>
      <c r="U247" s="664">
        <v>1.0</v>
      </c>
      <c r="V247" s="664">
        <v>-1.0</v>
      </c>
      <c r="W247" s="664">
        <v>-1.0</v>
      </c>
      <c r="X247" s="664">
        <v>-1.0</v>
      </c>
      <c r="Y247" s="664">
        <v>1.0</v>
      </c>
      <c r="Z247" s="607"/>
      <c r="AA247" s="658"/>
      <c r="AB247" s="700"/>
      <c r="AC247" s="704"/>
      <c r="AD247" s="702">
        <v>1.0</v>
      </c>
      <c r="AE247" s="702">
        <v>-1.0</v>
      </c>
      <c r="AF247" s="702">
        <v>-1.0</v>
      </c>
      <c r="AG247" s="664">
        <v>-1.0</v>
      </c>
      <c r="AH247" s="664">
        <v>1.0</v>
      </c>
      <c r="AI247" s="664">
        <v>1.0</v>
      </c>
      <c r="AJ247" s="607"/>
      <c r="AK247" s="705"/>
      <c r="AL247" s="701"/>
      <c r="AM247" s="664">
        <v>1.0</v>
      </c>
      <c r="AN247" s="664">
        <v>0.5</v>
      </c>
      <c r="AO247" s="605">
        <v>1.0</v>
      </c>
      <c r="AP247" s="605">
        <v>1.0</v>
      </c>
      <c r="AQ247" s="664" t="s">
        <v>65</v>
      </c>
      <c r="AR247" s="664">
        <v>-1.0</v>
      </c>
      <c r="AS247" s="664" t="s">
        <v>65</v>
      </c>
      <c r="AT247" s="664">
        <v>1.0</v>
      </c>
      <c r="AU247" s="637">
        <v>1.0</v>
      </c>
      <c r="AV247" s="610"/>
      <c r="AW247" s="610"/>
      <c r="AX247" s="612"/>
      <c r="AY247" s="610"/>
      <c r="AZ247" s="610"/>
      <c r="BA247" s="610"/>
      <c r="BB247" s="610"/>
      <c r="BC247" s="610"/>
      <c r="BD247" s="610"/>
      <c r="BE247" s="610"/>
      <c r="BF247" s="612"/>
      <c r="BG247" s="612"/>
      <c r="BH247" s="612"/>
      <c r="BI247" s="612"/>
      <c r="BJ247" s="612"/>
      <c r="BK247" s="612"/>
      <c r="BL247" s="612"/>
      <c r="BM247" s="612"/>
      <c r="BN247" s="612"/>
      <c r="BO247" s="612"/>
      <c r="BP247" s="612"/>
      <c r="BQ247" s="612"/>
    </row>
    <row r="248" ht="33.0" customHeight="1">
      <c r="A248" s="706"/>
      <c r="B248" s="706"/>
      <c r="C248" s="706"/>
      <c r="D248" s="706"/>
      <c r="E248" s="706"/>
      <c r="F248" s="706"/>
      <c r="G248" s="706"/>
      <c r="H248" s="706"/>
      <c r="I248" s="706"/>
      <c r="J248" s="706"/>
      <c r="K248" s="706"/>
      <c r="L248" s="706"/>
      <c r="M248" s="706"/>
      <c r="N248" s="706"/>
      <c r="O248" s="706"/>
      <c r="P248" s="706"/>
      <c r="Q248" s="706"/>
      <c r="R248" s="706"/>
      <c r="S248" s="706"/>
      <c r="T248" s="706"/>
      <c r="U248" s="706"/>
      <c r="V248" s="706"/>
      <c r="W248" s="706"/>
      <c r="X248" s="706"/>
      <c r="Y248" s="706"/>
      <c r="Z248" s="706"/>
      <c r="AA248" s="706"/>
      <c r="AB248" s="706"/>
      <c r="AC248" s="706"/>
      <c r="AD248" s="706"/>
      <c r="AE248" s="706"/>
      <c r="AF248" s="706"/>
      <c r="AG248" s="706"/>
      <c r="AH248" s="706"/>
      <c r="AI248" s="706"/>
      <c r="AJ248" s="706"/>
      <c r="AK248" s="706"/>
      <c r="AL248" s="706"/>
      <c r="AM248" s="706"/>
      <c r="AN248" s="706"/>
      <c r="AO248" s="706"/>
      <c r="AP248" s="706"/>
      <c r="AQ248" s="706"/>
      <c r="AR248" s="706"/>
      <c r="AS248" s="706"/>
      <c r="AT248" s="706"/>
      <c r="AU248" s="706"/>
      <c r="AV248" s="706"/>
      <c r="AW248" s="706"/>
      <c r="AX248" s="706"/>
      <c r="AY248" s="706"/>
      <c r="AZ248" s="706"/>
      <c r="BA248" s="706"/>
      <c r="BB248" s="706"/>
      <c r="BC248" s="706"/>
      <c r="BD248" s="706"/>
      <c r="BE248" s="706"/>
      <c r="BF248" s="706"/>
      <c r="BG248" s="706"/>
      <c r="BH248" s="706"/>
      <c r="BI248" s="706"/>
      <c r="BJ248" s="706"/>
      <c r="BK248" s="706"/>
      <c r="BL248" s="706"/>
      <c r="BM248" s="706"/>
      <c r="BN248" s="706"/>
      <c r="BO248" s="706"/>
      <c r="BP248" s="706"/>
      <c r="BQ248" s="706"/>
    </row>
    <row r="253">
      <c r="A253" s="707" t="s">
        <v>26</v>
      </c>
      <c r="B253" s="708" t="s">
        <v>4836</v>
      </c>
      <c r="C253" s="708"/>
      <c r="D253" s="708" t="s">
        <v>82</v>
      </c>
      <c r="E253" s="708" t="s">
        <v>4837</v>
      </c>
      <c r="F253" s="708" t="s">
        <v>4838</v>
      </c>
      <c r="G253" s="708" t="s">
        <v>4839</v>
      </c>
      <c r="H253" s="708" t="s">
        <v>4840</v>
      </c>
      <c r="I253" s="708" t="s">
        <v>4841</v>
      </c>
      <c r="J253" s="709" t="s">
        <v>4842</v>
      </c>
      <c r="K253" s="708" t="s">
        <v>92</v>
      </c>
      <c r="L253" s="708" t="s">
        <v>92</v>
      </c>
      <c r="M253" s="708" t="s">
        <v>91</v>
      </c>
      <c r="N253" s="708" t="s">
        <v>91</v>
      </c>
      <c r="O253" s="710"/>
      <c r="P253" s="710"/>
      <c r="Q253" s="709" t="s">
        <v>4843</v>
      </c>
      <c r="R253" s="711" t="s">
        <v>4684</v>
      </c>
      <c r="S253" s="710" t="s">
        <v>4685</v>
      </c>
      <c r="T253" s="30" t="s">
        <v>4422</v>
      </c>
      <c r="U253" s="712" t="s">
        <v>4559</v>
      </c>
    </row>
    <row r="254">
      <c r="A254" s="713"/>
      <c r="B254" s="714"/>
      <c r="C254" s="714"/>
      <c r="D254" s="715"/>
      <c r="E254" s="714"/>
      <c r="F254" s="714"/>
      <c r="G254" s="714"/>
      <c r="H254" s="714"/>
      <c r="I254" s="714"/>
      <c r="J254" s="716"/>
      <c r="K254" s="717"/>
      <c r="L254" s="717"/>
      <c r="M254" s="717"/>
      <c r="N254" s="717"/>
      <c r="O254" s="718"/>
      <c r="P254" s="718"/>
      <c r="Q254" s="716"/>
      <c r="R254" s="719"/>
      <c r="S254" s="719"/>
      <c r="T254" s="719"/>
      <c r="U254" s="720"/>
    </row>
    <row r="255">
      <c r="A255" s="713"/>
      <c r="B255" s="714"/>
      <c r="C255" s="714"/>
      <c r="D255" s="715"/>
      <c r="E255" s="714"/>
      <c r="F255" s="714"/>
      <c r="G255" s="714"/>
      <c r="H255" s="714"/>
      <c r="I255" s="714"/>
      <c r="J255" s="716"/>
      <c r="K255" s="717" t="s">
        <v>4844</v>
      </c>
      <c r="L255" s="717" t="s">
        <v>4845</v>
      </c>
      <c r="M255" s="717" t="s">
        <v>4846</v>
      </c>
      <c r="N255" s="717" t="s">
        <v>4847</v>
      </c>
      <c r="O255" s="718"/>
      <c r="P255" s="718"/>
      <c r="Q255" s="716"/>
      <c r="R255" s="719"/>
      <c r="S255" s="719"/>
      <c r="T255" s="719"/>
      <c r="U255" s="720"/>
    </row>
    <row r="256">
      <c r="A256" s="721">
        <v>45660.0</v>
      </c>
      <c r="B256" s="722" t="s">
        <v>4848</v>
      </c>
      <c r="C256" s="722" t="s">
        <v>4849</v>
      </c>
      <c r="D256" s="715"/>
      <c r="E256" s="64"/>
      <c r="F256" s="64"/>
      <c r="G256" s="723">
        <v>0.3861111111111111</v>
      </c>
      <c r="H256" s="64"/>
      <c r="I256" s="64"/>
      <c r="J256" s="724">
        <f t="shared" ref="J256:J260" si="78">sum(K256:N256)</f>
        <v>1515</v>
      </c>
      <c r="K256" s="64">
        <v>4372.0</v>
      </c>
      <c r="L256" s="64">
        <v>-390.0</v>
      </c>
      <c r="M256" s="64">
        <v>-2362.0</v>
      </c>
      <c r="N256" s="64">
        <v>-105.0</v>
      </c>
      <c r="P256" s="64"/>
      <c r="Q256" s="64"/>
      <c r="R256" s="64"/>
      <c r="S256" s="64"/>
      <c r="T256" s="64"/>
      <c r="U256" s="64"/>
    </row>
    <row r="257">
      <c r="A257" s="721">
        <v>45667.0</v>
      </c>
      <c r="B257" s="722" t="s">
        <v>4850</v>
      </c>
      <c r="C257" s="722"/>
      <c r="D257" s="715"/>
      <c r="E257" s="64"/>
      <c r="F257" s="64"/>
      <c r="G257" s="723"/>
      <c r="I257" s="64"/>
      <c r="J257" s="724">
        <f t="shared" si="78"/>
        <v>-11348</v>
      </c>
      <c r="K257" s="64">
        <v>6105.0</v>
      </c>
      <c r="L257" s="64">
        <v>-20595.0</v>
      </c>
      <c r="M257" s="64">
        <v>-60.0</v>
      </c>
      <c r="N257" s="64">
        <v>3202.0</v>
      </c>
      <c r="P257" s="34"/>
      <c r="Q257" s="725"/>
      <c r="R257" s="34"/>
      <c r="S257" s="34"/>
      <c r="T257" s="34"/>
      <c r="U257" s="34"/>
    </row>
    <row r="258">
      <c r="A258" s="721">
        <v>45660.0</v>
      </c>
      <c r="B258" s="722" t="s">
        <v>4851</v>
      </c>
      <c r="C258" s="722"/>
      <c r="D258" s="715"/>
      <c r="E258" s="64"/>
      <c r="F258" s="64"/>
      <c r="G258" s="723"/>
      <c r="I258" s="64"/>
      <c r="J258" s="724">
        <f t="shared" si="78"/>
        <v>-6450</v>
      </c>
      <c r="K258" s="64">
        <v>6952.0</v>
      </c>
      <c r="L258" s="64">
        <v>-13110.0</v>
      </c>
      <c r="M258" s="64">
        <v>-150.0</v>
      </c>
      <c r="N258" s="64">
        <v>-142.0</v>
      </c>
      <c r="P258" s="34"/>
      <c r="Q258" s="725"/>
      <c r="R258" s="34"/>
      <c r="S258" s="34"/>
      <c r="T258" s="34"/>
      <c r="U258" s="34"/>
    </row>
    <row r="259">
      <c r="A259" s="721">
        <v>45660.0</v>
      </c>
      <c r="B259" s="722" t="s">
        <v>4852</v>
      </c>
      <c r="C259" s="722"/>
      <c r="D259" s="715"/>
      <c r="E259" s="64"/>
      <c r="F259" s="64"/>
      <c r="G259" s="723"/>
      <c r="I259" s="64"/>
      <c r="J259" s="724">
        <f t="shared" si="78"/>
        <v>-6794</v>
      </c>
      <c r="K259" s="64">
        <v>7110.0</v>
      </c>
      <c r="L259" s="64">
        <v>-13140.0</v>
      </c>
      <c r="M259" s="64">
        <v>-157.0</v>
      </c>
      <c r="N259" s="64">
        <v>-607.0</v>
      </c>
      <c r="P259" s="34"/>
      <c r="Q259" s="725"/>
      <c r="R259" s="34"/>
      <c r="S259" s="34"/>
      <c r="T259" s="34"/>
      <c r="U259" s="34"/>
    </row>
    <row r="260">
      <c r="A260" s="721">
        <v>45660.0</v>
      </c>
      <c r="B260" s="722" t="s">
        <v>4853</v>
      </c>
      <c r="C260" s="722"/>
      <c r="D260" s="715"/>
      <c r="E260" s="64"/>
      <c r="F260" s="64"/>
      <c r="G260" s="723"/>
      <c r="I260" s="64"/>
      <c r="J260" s="724">
        <f t="shared" si="78"/>
        <v>-17474</v>
      </c>
      <c r="K260" s="64">
        <v>7207.0</v>
      </c>
      <c r="L260" s="64">
        <v>-23647.0</v>
      </c>
      <c r="M260" s="64">
        <v>-202.0</v>
      </c>
      <c r="N260" s="64">
        <v>-832.0</v>
      </c>
      <c r="P260" s="34"/>
      <c r="Q260" s="725"/>
      <c r="R260" s="34"/>
      <c r="S260" s="34"/>
      <c r="T260" s="34"/>
      <c r="U260" s="34"/>
    </row>
    <row r="261">
      <c r="A261" s="721"/>
      <c r="B261" s="722"/>
      <c r="C261" s="722"/>
      <c r="D261" s="715"/>
      <c r="E261" s="64"/>
      <c r="F261" s="64"/>
      <c r="G261" s="723"/>
      <c r="I261" s="64"/>
      <c r="J261" s="724"/>
      <c r="K261" s="64"/>
      <c r="L261" s="64"/>
      <c r="M261" s="64"/>
      <c r="N261" s="64"/>
      <c r="O261" s="34"/>
      <c r="P261" s="34"/>
      <c r="Q261" s="725"/>
      <c r="R261" s="34"/>
      <c r="S261" s="34"/>
      <c r="T261" s="34"/>
      <c r="U261" s="34"/>
    </row>
    <row r="262">
      <c r="A262" s="721">
        <v>45660.0</v>
      </c>
      <c r="B262" s="722" t="s">
        <v>4848</v>
      </c>
      <c r="C262" s="722"/>
      <c r="D262" s="715"/>
      <c r="E262" s="64"/>
      <c r="F262" s="64"/>
      <c r="G262" s="723"/>
      <c r="I262" s="64"/>
      <c r="J262" s="724">
        <f t="shared" ref="J262:J266" si="79">sum(K262:N262)</f>
        <v>2070</v>
      </c>
      <c r="K262" s="64">
        <v>4372.0</v>
      </c>
      <c r="L262" s="64">
        <v>-1807.0</v>
      </c>
      <c r="M262" s="64">
        <v>-105.0</v>
      </c>
      <c r="N262" s="64">
        <v>-390.0</v>
      </c>
      <c r="O262" s="34"/>
      <c r="P262" s="34"/>
      <c r="Q262" s="725"/>
      <c r="R262" s="34"/>
      <c r="S262" s="34"/>
      <c r="T262" s="34"/>
      <c r="U262" s="34"/>
    </row>
    <row r="263">
      <c r="A263" s="721">
        <v>45660.0</v>
      </c>
      <c r="B263" s="722" t="s">
        <v>4850</v>
      </c>
      <c r="C263" s="722" t="s">
        <v>4849</v>
      </c>
      <c r="D263" s="715"/>
      <c r="E263" s="64"/>
      <c r="F263" s="64" t="s">
        <v>4854</v>
      </c>
      <c r="G263" s="723">
        <v>0.4375</v>
      </c>
      <c r="I263" s="64"/>
      <c r="J263" s="724">
        <f t="shared" si="79"/>
        <v>7440</v>
      </c>
      <c r="K263" s="64">
        <v>6105.0</v>
      </c>
      <c r="L263" s="64">
        <v>-1807.0</v>
      </c>
      <c r="M263" s="64">
        <v>-60.0</v>
      </c>
      <c r="N263" s="64">
        <v>3202.0</v>
      </c>
      <c r="O263" s="34"/>
      <c r="P263" s="34"/>
      <c r="Q263" s="726"/>
      <c r="R263" s="34"/>
      <c r="S263" s="34"/>
      <c r="T263" s="34"/>
      <c r="U263" s="727"/>
    </row>
    <row r="264">
      <c r="A264" s="721">
        <v>45660.0</v>
      </c>
      <c r="B264" s="722" t="s">
        <v>4851</v>
      </c>
      <c r="C264" s="722" t="s">
        <v>4849</v>
      </c>
      <c r="D264" s="715"/>
      <c r="E264" s="64"/>
      <c r="F264" s="64"/>
      <c r="G264" s="723"/>
      <c r="H264" s="64"/>
      <c r="I264" s="64"/>
      <c r="J264" s="724">
        <f t="shared" si="79"/>
        <v>4853</v>
      </c>
      <c r="K264" s="64">
        <v>6952.0</v>
      </c>
      <c r="L264" s="64">
        <v>-1807.0</v>
      </c>
      <c r="M264" s="64">
        <v>-150.0</v>
      </c>
      <c r="N264" s="64">
        <v>-142.0</v>
      </c>
      <c r="O264" s="34"/>
      <c r="P264" s="34"/>
      <c r="Q264" s="726"/>
      <c r="R264" s="34"/>
      <c r="S264" s="34"/>
      <c r="T264" s="34"/>
      <c r="U264" s="727"/>
    </row>
    <row r="265">
      <c r="A265" s="721">
        <v>45660.0</v>
      </c>
      <c r="B265" s="722" t="s">
        <v>4852</v>
      </c>
      <c r="C265" s="722" t="s">
        <v>4849</v>
      </c>
      <c r="D265" s="715"/>
      <c r="E265" s="64"/>
      <c r="F265" s="64"/>
      <c r="G265" s="64"/>
      <c r="H265" s="64"/>
      <c r="I265" s="64"/>
      <c r="J265" s="724">
        <f t="shared" si="79"/>
        <v>4539</v>
      </c>
      <c r="K265" s="64">
        <v>7110.0</v>
      </c>
      <c r="L265" s="64">
        <v>-1807.0</v>
      </c>
      <c r="M265" s="64">
        <v>-157.0</v>
      </c>
      <c r="N265" s="64">
        <v>-607.0</v>
      </c>
      <c r="O265" s="34"/>
      <c r="P265" s="34"/>
      <c r="Q265" s="726"/>
      <c r="R265" s="34"/>
      <c r="S265" s="34"/>
      <c r="T265" s="34"/>
      <c r="U265" s="727"/>
    </row>
    <row r="266">
      <c r="A266" s="721">
        <v>45660.0</v>
      </c>
      <c r="B266" s="722" t="s">
        <v>4853</v>
      </c>
      <c r="C266" s="722" t="s">
        <v>4849</v>
      </c>
      <c r="D266" s="715"/>
      <c r="E266" s="64"/>
      <c r="F266" s="64"/>
      <c r="G266" s="64"/>
      <c r="H266" s="64"/>
      <c r="I266" s="64"/>
      <c r="J266" s="724">
        <f t="shared" si="79"/>
        <v>4366</v>
      </c>
      <c r="K266" s="64">
        <v>7207.0</v>
      </c>
      <c r="L266" s="64">
        <v>-1807.0</v>
      </c>
      <c r="M266" s="64">
        <v>-202.0</v>
      </c>
      <c r="N266" s="64">
        <v>-832.0</v>
      </c>
      <c r="O266" s="34"/>
      <c r="P266" s="34"/>
      <c r="Q266" s="726"/>
      <c r="R266" s="34"/>
      <c r="S266" s="34"/>
      <c r="T266" s="34"/>
      <c r="U266" s="727"/>
    </row>
    <row r="267">
      <c r="A267" s="713"/>
      <c r="B267" s="714"/>
      <c r="C267" s="714"/>
      <c r="D267" s="715"/>
      <c r="E267" s="714"/>
      <c r="F267" s="714"/>
      <c r="G267" s="714"/>
      <c r="H267" s="714"/>
      <c r="I267" s="714"/>
      <c r="J267" s="716"/>
      <c r="K267" s="717" t="s">
        <v>4855</v>
      </c>
      <c r="L267" s="717" t="s">
        <v>4856</v>
      </c>
      <c r="M267" s="717" t="s">
        <v>4857</v>
      </c>
      <c r="N267" s="717" t="s">
        <v>4858</v>
      </c>
      <c r="O267" s="718" t="s">
        <v>4859</v>
      </c>
      <c r="P267" s="718" t="s">
        <v>4860</v>
      </c>
      <c r="Q267" s="716"/>
      <c r="R267" s="719"/>
      <c r="S267" s="719"/>
      <c r="T267" s="719"/>
      <c r="U267" s="720"/>
    </row>
    <row r="268">
      <c r="A268" s="721">
        <v>45733.0</v>
      </c>
      <c r="B268" s="722" t="s">
        <v>4848</v>
      </c>
      <c r="C268" s="722" t="s">
        <v>4849</v>
      </c>
      <c r="D268" s="715"/>
      <c r="E268" s="728"/>
      <c r="F268" s="728"/>
      <c r="G268" s="728"/>
      <c r="H268" s="728"/>
      <c r="I268" s="728"/>
      <c r="J268" s="729"/>
      <c r="K268" s="728"/>
      <c r="L268" s="728"/>
      <c r="M268" s="728"/>
      <c r="N268" s="728"/>
      <c r="O268" s="730">
        <v>0.39166666666666666</v>
      </c>
      <c r="P268" s="731"/>
      <c r="Q268" s="729"/>
      <c r="R268" s="731"/>
      <c r="S268" s="731"/>
      <c r="T268" s="731"/>
      <c r="U268" s="732"/>
    </row>
    <row r="269">
      <c r="A269" s="721">
        <v>45733.0</v>
      </c>
      <c r="B269" s="722" t="s">
        <v>4850</v>
      </c>
      <c r="C269" s="722" t="s">
        <v>4849</v>
      </c>
      <c r="D269" s="715"/>
      <c r="E269" s="64">
        <v>115000.0</v>
      </c>
      <c r="F269" s="64">
        <v>-33000.0</v>
      </c>
      <c r="G269" s="723">
        <v>0.3861111111111111</v>
      </c>
      <c r="I269" s="64"/>
      <c r="J269" s="724"/>
      <c r="K269" s="64">
        <v>82.0</v>
      </c>
      <c r="L269" s="64">
        <v>1050.0</v>
      </c>
      <c r="M269" s="64">
        <v>-90.0</v>
      </c>
      <c r="N269" s="64">
        <v>-142.0</v>
      </c>
      <c r="O269" s="34"/>
      <c r="P269" s="34"/>
      <c r="Q269" s="726"/>
      <c r="R269" s="34"/>
      <c r="S269" s="34"/>
      <c r="T269" s="34"/>
      <c r="U269" s="727"/>
    </row>
    <row r="270">
      <c r="A270" s="721">
        <v>45733.0</v>
      </c>
      <c r="B270" s="722" t="s">
        <v>4851</v>
      </c>
      <c r="C270" s="722" t="s">
        <v>4849</v>
      </c>
      <c r="D270" s="715"/>
      <c r="E270" s="64">
        <v>218000.0</v>
      </c>
      <c r="F270" s="64">
        <v>-93000.0</v>
      </c>
      <c r="G270" s="723">
        <v>0.39166666666666666</v>
      </c>
      <c r="H270" s="64"/>
      <c r="I270" s="64"/>
      <c r="J270" s="724"/>
      <c r="K270" s="64"/>
      <c r="L270" s="64"/>
      <c r="M270" s="64"/>
      <c r="N270" s="64"/>
      <c r="O270" s="34"/>
      <c r="P270" s="34"/>
      <c r="Q270" s="726"/>
      <c r="R270" s="34"/>
      <c r="S270" s="34"/>
      <c r="T270" s="34"/>
      <c r="U270" s="727"/>
    </row>
    <row r="271">
      <c r="A271" s="721">
        <v>45733.0</v>
      </c>
      <c r="B271" s="722" t="s">
        <v>4852</v>
      </c>
      <c r="C271" s="722" t="s">
        <v>4849</v>
      </c>
      <c r="D271" s="715"/>
      <c r="E271" s="64"/>
      <c r="F271" s="64"/>
      <c r="G271" s="64"/>
      <c r="H271" s="64"/>
      <c r="I271" s="64"/>
      <c r="J271" s="724"/>
      <c r="K271" s="64"/>
      <c r="L271" s="64"/>
      <c r="M271" s="64"/>
      <c r="N271" s="64"/>
      <c r="O271" s="34"/>
      <c r="P271" s="34"/>
      <c r="Q271" s="726"/>
      <c r="R271" s="34"/>
      <c r="S271" s="34"/>
      <c r="T271" s="34"/>
      <c r="U271" s="727"/>
    </row>
    <row r="272">
      <c r="A272" s="721">
        <v>45733.0</v>
      </c>
      <c r="B272" s="722" t="s">
        <v>4853</v>
      </c>
      <c r="C272" s="722" t="s">
        <v>4849</v>
      </c>
      <c r="D272" s="715"/>
      <c r="E272" s="64"/>
      <c r="F272" s="64"/>
      <c r="G272" s="64"/>
      <c r="H272" s="64"/>
      <c r="I272" s="64"/>
      <c r="J272" s="724"/>
      <c r="K272" s="64"/>
      <c r="L272" s="64"/>
      <c r="M272" s="64"/>
      <c r="N272" s="64"/>
      <c r="O272" s="34"/>
      <c r="P272" s="34"/>
      <c r="Q272" s="726"/>
      <c r="R272" s="34"/>
      <c r="S272" s="34"/>
      <c r="T272" s="34"/>
      <c r="U272" s="727"/>
    </row>
    <row r="273">
      <c r="A273" s="713"/>
      <c r="B273" s="714"/>
      <c r="C273" s="714"/>
      <c r="D273" s="733" t="s">
        <v>4861</v>
      </c>
      <c r="E273" s="714"/>
      <c r="F273" s="714"/>
      <c r="G273" s="714"/>
      <c r="H273" s="714"/>
      <c r="I273" s="714"/>
      <c r="J273" s="716"/>
      <c r="K273" s="717" t="s">
        <v>4862</v>
      </c>
      <c r="L273" s="717" t="s">
        <v>4863</v>
      </c>
      <c r="M273" s="717"/>
      <c r="N273" s="717"/>
      <c r="O273" s="716"/>
      <c r="P273" s="716"/>
      <c r="Q273" s="734"/>
      <c r="R273" s="716"/>
      <c r="S273" s="719"/>
      <c r="T273" s="719"/>
      <c r="U273" s="720"/>
    </row>
    <row r="274">
      <c r="A274" s="735">
        <v>45846.0</v>
      </c>
      <c r="B274" s="722" t="s">
        <v>4848</v>
      </c>
      <c r="C274" s="722" t="s">
        <v>4849</v>
      </c>
      <c r="D274" s="733" t="s">
        <v>4861</v>
      </c>
      <c r="E274" s="728"/>
      <c r="F274" s="728"/>
      <c r="G274" s="728"/>
      <c r="H274" s="728"/>
      <c r="I274" s="728"/>
      <c r="J274" s="729"/>
      <c r="K274" s="728"/>
      <c r="L274" s="728"/>
      <c r="M274" s="728"/>
      <c r="N274" s="728"/>
      <c r="O274" s="729"/>
      <c r="P274" s="729"/>
      <c r="Q274" s="729"/>
      <c r="R274" s="729"/>
      <c r="S274" s="731"/>
      <c r="T274" s="731"/>
      <c r="U274" s="732"/>
    </row>
    <row r="275">
      <c r="A275" s="735">
        <v>45846.0</v>
      </c>
      <c r="B275" s="722" t="s">
        <v>4850</v>
      </c>
      <c r="C275" s="722" t="s">
        <v>4849</v>
      </c>
      <c r="D275" s="733" t="s">
        <v>4861</v>
      </c>
      <c r="E275" s="736"/>
      <c r="F275" s="736"/>
      <c r="G275" s="736"/>
      <c r="H275" s="736"/>
      <c r="I275" s="736"/>
      <c r="J275" s="737"/>
      <c r="K275" s="736"/>
      <c r="L275" s="736"/>
      <c r="M275" s="736"/>
      <c r="N275" s="736"/>
      <c r="O275" s="737"/>
      <c r="P275" s="737"/>
      <c r="Q275" s="737"/>
      <c r="R275" s="737"/>
      <c r="S275" s="738"/>
      <c r="T275" s="738"/>
      <c r="U275" s="739"/>
    </row>
    <row r="276">
      <c r="A276" s="721">
        <v>45846.0</v>
      </c>
      <c r="B276" s="722" t="s">
        <v>4851</v>
      </c>
      <c r="C276" s="722" t="s">
        <v>4849</v>
      </c>
      <c r="D276" s="733" t="s">
        <v>4861</v>
      </c>
      <c r="E276" s="64">
        <v>244000.0</v>
      </c>
      <c r="F276" s="64" t="s">
        <v>4864</v>
      </c>
      <c r="G276" s="723">
        <v>0.4097222222222222</v>
      </c>
      <c r="H276" s="64"/>
      <c r="I276" s="64"/>
      <c r="J276" s="740">
        <f t="shared" ref="J276:J278" si="80">SUM(K276:N276)</f>
        <v>203</v>
      </c>
      <c r="K276" s="64">
        <v>825.0</v>
      </c>
      <c r="L276" s="64">
        <v>-622.0</v>
      </c>
      <c r="M276" s="64"/>
      <c r="N276" s="64"/>
      <c r="O276" s="13"/>
      <c r="Q276" s="726">
        <f t="shared" ref="Q276:Q278" si="81">J276/$E$276</f>
        <v>0.0008319672131</v>
      </c>
      <c r="U276" s="741"/>
    </row>
    <row r="277">
      <c r="A277" s="735">
        <v>45846.0</v>
      </c>
      <c r="B277" s="722" t="s">
        <v>4852</v>
      </c>
      <c r="C277" s="722" t="s">
        <v>4849</v>
      </c>
      <c r="D277" s="733" t="s">
        <v>4861</v>
      </c>
      <c r="E277" s="64"/>
      <c r="F277" s="13"/>
      <c r="G277" s="13"/>
      <c r="H277" s="13"/>
      <c r="I277" s="64"/>
      <c r="J277" s="740">
        <f t="shared" si="80"/>
        <v>2760</v>
      </c>
      <c r="K277" s="64">
        <v>1200.0</v>
      </c>
      <c r="L277" s="64">
        <v>1560.0</v>
      </c>
      <c r="M277" s="64"/>
      <c r="N277" s="64"/>
      <c r="O277" s="724"/>
      <c r="P277" s="724"/>
      <c r="Q277" s="726">
        <f t="shared" si="81"/>
        <v>0.01131147541</v>
      </c>
      <c r="R277" s="724"/>
      <c r="S277" s="35"/>
      <c r="T277" s="34"/>
      <c r="U277" s="727"/>
    </row>
    <row r="278">
      <c r="A278" s="742">
        <v>45846.0</v>
      </c>
      <c r="B278" s="722" t="s">
        <v>4853</v>
      </c>
      <c r="C278" s="722" t="s">
        <v>4849</v>
      </c>
      <c r="D278" s="733" t="s">
        <v>4861</v>
      </c>
      <c r="E278" s="557"/>
      <c r="F278" s="557"/>
      <c r="G278" s="557"/>
      <c r="H278" s="557"/>
      <c r="I278" s="743"/>
      <c r="J278" s="740">
        <f t="shared" si="80"/>
        <v>4867</v>
      </c>
      <c r="K278" s="743">
        <v>1972.0</v>
      </c>
      <c r="L278" s="743">
        <v>2895.0</v>
      </c>
      <c r="M278" s="743"/>
      <c r="N278" s="743"/>
      <c r="O278" s="577"/>
      <c r="P278" s="577"/>
      <c r="Q278" s="726">
        <f t="shared" si="81"/>
        <v>0.01994672131</v>
      </c>
      <c r="R278" s="577"/>
      <c r="S278" s="744"/>
      <c r="T278" s="35"/>
      <c r="U278" s="745"/>
    </row>
    <row r="279">
      <c r="A279" s="713"/>
      <c r="B279" s="714"/>
      <c r="C279" s="714"/>
      <c r="D279" s="733" t="s">
        <v>4861</v>
      </c>
      <c r="E279" s="714"/>
      <c r="F279" s="714"/>
      <c r="G279" s="714"/>
      <c r="H279" s="714"/>
      <c r="I279" s="714"/>
      <c r="J279" s="716"/>
      <c r="K279" s="717" t="s">
        <v>4865</v>
      </c>
      <c r="L279" s="717" t="s">
        <v>4866</v>
      </c>
      <c r="M279" s="717"/>
      <c r="N279" s="717"/>
      <c r="O279" s="716"/>
      <c r="P279" s="716"/>
      <c r="Q279" s="716"/>
      <c r="R279" s="716"/>
      <c r="S279" s="719"/>
      <c r="T279" s="719"/>
      <c r="U279" s="720"/>
    </row>
    <row r="280">
      <c r="A280" s="735">
        <v>45847.0</v>
      </c>
      <c r="B280" s="722" t="s">
        <v>4848</v>
      </c>
      <c r="C280" s="722" t="s">
        <v>4849</v>
      </c>
      <c r="D280" s="733" t="s">
        <v>4861</v>
      </c>
      <c r="E280" s="728"/>
      <c r="F280" s="728"/>
      <c r="G280" s="728"/>
      <c r="H280" s="728"/>
      <c r="I280" s="728"/>
      <c r="J280" s="729"/>
      <c r="K280" s="728"/>
      <c r="L280" s="728"/>
      <c r="M280" s="728"/>
      <c r="N280" s="728"/>
      <c r="O280" s="731"/>
      <c r="P280" s="731"/>
      <c r="Q280" s="729"/>
      <c r="R280" s="746"/>
      <c r="S280" s="731"/>
      <c r="T280" s="731"/>
      <c r="U280" s="732"/>
    </row>
    <row r="281">
      <c r="A281" s="735">
        <v>45847.0</v>
      </c>
      <c r="B281" s="722" t="s">
        <v>4850</v>
      </c>
      <c r="C281" s="722" t="s">
        <v>4849</v>
      </c>
      <c r="D281" s="733" t="s">
        <v>4861</v>
      </c>
      <c r="E281" s="736"/>
      <c r="F281" s="736"/>
      <c r="G281" s="736"/>
      <c r="H281" s="736"/>
      <c r="I281" s="736"/>
      <c r="J281" s="737"/>
      <c r="K281" s="736"/>
      <c r="L281" s="736"/>
      <c r="M281" s="736"/>
      <c r="N281" s="736"/>
      <c r="O281" s="738"/>
      <c r="P281" s="738"/>
      <c r="Q281" s="737"/>
      <c r="R281" s="747"/>
      <c r="S281" s="738"/>
      <c r="T281" s="738"/>
      <c r="U281" s="739"/>
    </row>
    <row r="282">
      <c r="A282" s="735">
        <v>45847.0</v>
      </c>
      <c r="B282" s="722" t="s">
        <v>4851</v>
      </c>
      <c r="C282" s="722" t="s">
        <v>4849</v>
      </c>
      <c r="D282" s="733" t="s">
        <v>4861</v>
      </c>
      <c r="E282" s="736"/>
      <c r="F282" s="736"/>
      <c r="G282" s="736"/>
      <c r="H282" s="736"/>
      <c r="I282" s="736"/>
      <c r="J282" s="737"/>
      <c r="K282" s="736"/>
      <c r="L282" s="736"/>
      <c r="M282" s="736"/>
      <c r="N282" s="736"/>
      <c r="O282" s="738"/>
      <c r="P282" s="738"/>
      <c r="Q282" s="737"/>
      <c r="R282" s="747"/>
      <c r="S282" s="738"/>
      <c r="T282" s="738"/>
      <c r="U282" s="739"/>
    </row>
    <row r="283">
      <c r="A283" s="721">
        <v>45847.0</v>
      </c>
      <c r="B283" s="722" t="s">
        <v>4852</v>
      </c>
      <c r="C283" s="722" t="s">
        <v>4849</v>
      </c>
      <c r="D283" s="733" t="s">
        <v>4861</v>
      </c>
      <c r="E283" s="64">
        <v>239000.0</v>
      </c>
      <c r="F283" s="64" t="s">
        <v>4864</v>
      </c>
      <c r="G283" s="723">
        <v>0.39375</v>
      </c>
      <c r="H283" s="13"/>
      <c r="I283" s="13"/>
      <c r="J283" s="740">
        <f t="shared" ref="J283:J284" si="82">SUM(K283:N283)</f>
        <v>172</v>
      </c>
      <c r="K283" s="64">
        <v>75.0</v>
      </c>
      <c r="L283" s="64">
        <v>97.0</v>
      </c>
      <c r="M283" s="13"/>
      <c r="N283" s="13"/>
      <c r="O283" s="64"/>
      <c r="P283" s="46"/>
      <c r="Q283" s="748">
        <f t="shared" ref="Q283:Q284" si="83">J283/$E$283</f>
        <v>0.000719665272</v>
      </c>
      <c r="R283" s="749" t="s">
        <v>4581</v>
      </c>
      <c r="S283" s="35"/>
      <c r="T283" s="35"/>
      <c r="U283" s="745"/>
    </row>
    <row r="284">
      <c r="A284" s="735">
        <v>45847.0</v>
      </c>
      <c r="B284" s="722" t="s">
        <v>4853</v>
      </c>
      <c r="C284" s="722" t="s">
        <v>4849</v>
      </c>
      <c r="D284" s="733" t="s">
        <v>4861</v>
      </c>
      <c r="E284" s="13"/>
      <c r="F284" s="13"/>
      <c r="G284" s="13"/>
      <c r="H284" s="13"/>
      <c r="I284" s="13"/>
      <c r="J284" s="740">
        <f t="shared" si="82"/>
        <v>1192</v>
      </c>
      <c r="K284" s="64">
        <v>652.0</v>
      </c>
      <c r="L284" s="64">
        <v>540.0</v>
      </c>
      <c r="M284" s="13"/>
      <c r="N284" s="13"/>
      <c r="O284" s="64"/>
      <c r="P284" s="46"/>
      <c r="Q284" s="748">
        <f t="shared" si="83"/>
        <v>0.004987447699</v>
      </c>
      <c r="R284" s="750" t="s">
        <v>4592</v>
      </c>
      <c r="S284" s="35"/>
      <c r="T284" s="35"/>
      <c r="U284" s="745"/>
    </row>
    <row r="285">
      <c r="A285" s="713"/>
      <c r="B285" s="714"/>
      <c r="C285" s="714"/>
      <c r="D285" s="733" t="s">
        <v>4861</v>
      </c>
      <c r="E285" s="714"/>
      <c r="F285" s="714"/>
      <c r="G285" s="714"/>
      <c r="H285" s="714"/>
      <c r="I285" s="714"/>
      <c r="J285" s="716"/>
      <c r="K285" s="717" t="s">
        <v>4862</v>
      </c>
      <c r="L285" s="717" t="s">
        <v>4867</v>
      </c>
      <c r="M285" s="717"/>
      <c r="N285" s="717"/>
      <c r="O285" s="719"/>
      <c r="P285" s="719"/>
      <c r="Q285" s="716"/>
      <c r="R285" s="751"/>
      <c r="S285" s="719"/>
      <c r="T285" s="719"/>
      <c r="U285" s="720"/>
    </row>
    <row r="286">
      <c r="A286" s="735">
        <v>45848.0</v>
      </c>
      <c r="B286" s="722" t="s">
        <v>4848</v>
      </c>
      <c r="C286" s="722" t="s">
        <v>4849</v>
      </c>
      <c r="D286" s="733" t="s">
        <v>4861</v>
      </c>
      <c r="E286" s="736"/>
      <c r="F286" s="736"/>
      <c r="G286" s="736"/>
      <c r="H286" s="736"/>
      <c r="I286" s="736"/>
      <c r="J286" s="737"/>
      <c r="K286" s="736"/>
      <c r="L286" s="736"/>
      <c r="M286" s="736"/>
      <c r="N286" s="736"/>
      <c r="O286" s="738"/>
      <c r="P286" s="738"/>
      <c r="Q286" s="737"/>
      <c r="R286" s="747"/>
      <c r="S286" s="738"/>
      <c r="T286" s="738"/>
      <c r="U286" s="739"/>
    </row>
    <row r="287">
      <c r="A287" s="735">
        <v>45848.0</v>
      </c>
      <c r="B287" s="722" t="s">
        <v>4850</v>
      </c>
      <c r="C287" s="722" t="s">
        <v>4849</v>
      </c>
      <c r="D287" s="733" t="s">
        <v>4861</v>
      </c>
      <c r="E287" s="736"/>
      <c r="F287" s="736"/>
      <c r="G287" s="736"/>
      <c r="H287" s="736"/>
      <c r="I287" s="736"/>
      <c r="J287" s="737"/>
      <c r="K287" s="736"/>
      <c r="L287" s="736"/>
      <c r="M287" s="736"/>
      <c r="N287" s="736"/>
      <c r="O287" s="738"/>
      <c r="P287" s="738"/>
      <c r="Q287" s="737"/>
      <c r="R287" s="747"/>
      <c r="S287" s="738"/>
      <c r="T287" s="738"/>
      <c r="U287" s="739"/>
    </row>
    <row r="288">
      <c r="A288" s="735">
        <v>45848.0</v>
      </c>
      <c r="B288" s="722" t="s">
        <v>4851</v>
      </c>
      <c r="C288" s="722" t="s">
        <v>4849</v>
      </c>
      <c r="D288" s="733" t="s">
        <v>4861</v>
      </c>
      <c r="E288" s="736"/>
      <c r="F288" s="736"/>
      <c r="G288" s="736"/>
      <c r="H288" s="736"/>
      <c r="I288" s="736"/>
      <c r="J288" s="737"/>
      <c r="K288" s="736"/>
      <c r="L288" s="736"/>
      <c r="M288" s="736"/>
      <c r="N288" s="736"/>
      <c r="O288" s="738"/>
      <c r="P288" s="738"/>
      <c r="Q288" s="737"/>
      <c r="R288" s="747"/>
      <c r="S288" s="738"/>
      <c r="T288" s="738"/>
      <c r="U288" s="739"/>
    </row>
    <row r="289">
      <c r="A289" s="735">
        <v>45848.0</v>
      </c>
      <c r="B289" s="722" t="s">
        <v>4852</v>
      </c>
      <c r="C289" s="722" t="s">
        <v>4849</v>
      </c>
      <c r="D289" s="733" t="s">
        <v>4861</v>
      </c>
      <c r="E289" s="736"/>
      <c r="F289" s="736"/>
      <c r="G289" s="736"/>
      <c r="H289" s="736"/>
      <c r="I289" s="736"/>
      <c r="J289" s="737"/>
      <c r="K289" s="736"/>
      <c r="L289" s="736"/>
      <c r="M289" s="736"/>
      <c r="N289" s="736"/>
      <c r="O289" s="738"/>
      <c r="P289" s="738"/>
      <c r="Q289" s="737"/>
      <c r="R289" s="747"/>
      <c r="S289" s="738"/>
      <c r="T289" s="738"/>
      <c r="U289" s="739"/>
    </row>
    <row r="290">
      <c r="A290" s="752">
        <v>45848.0</v>
      </c>
      <c r="B290" s="722" t="s">
        <v>4853</v>
      </c>
      <c r="C290" s="722" t="s">
        <v>4849</v>
      </c>
      <c r="D290" s="733" t="s">
        <v>4861</v>
      </c>
      <c r="E290" s="743">
        <v>319000.0</v>
      </c>
      <c r="F290" s="64" t="s">
        <v>4864</v>
      </c>
      <c r="G290" s="753">
        <v>0.4215277777777778</v>
      </c>
      <c r="H290" s="557"/>
      <c r="I290" s="557"/>
      <c r="J290" s="740">
        <f>SUM(K290:N290)</f>
        <v>569</v>
      </c>
      <c r="K290" s="743">
        <v>472.0</v>
      </c>
      <c r="L290" s="743">
        <v>97.0</v>
      </c>
      <c r="M290" s="557"/>
      <c r="N290" s="557"/>
      <c r="O290" s="744"/>
      <c r="P290" s="744"/>
      <c r="Q290" s="754">
        <f>J290/E290</f>
        <v>0.00178369906</v>
      </c>
      <c r="R290" s="755"/>
      <c r="S290" s="744"/>
      <c r="T290" s="35"/>
      <c r="U290" s="745"/>
    </row>
    <row r="291">
      <c r="A291" s="713"/>
      <c r="B291" s="714"/>
      <c r="C291" s="714"/>
      <c r="D291" s="715" t="s">
        <v>4868</v>
      </c>
      <c r="E291" s="714"/>
      <c r="F291" s="714"/>
      <c r="G291" s="714"/>
      <c r="H291" s="714"/>
      <c r="I291" s="714"/>
      <c r="J291" s="716"/>
      <c r="K291" s="717" t="s">
        <v>4869</v>
      </c>
      <c r="L291" s="717" t="s">
        <v>4863</v>
      </c>
      <c r="M291" s="717"/>
      <c r="N291" s="717"/>
      <c r="O291" s="719"/>
      <c r="P291" s="719"/>
      <c r="Q291" s="716"/>
      <c r="R291" s="719"/>
      <c r="S291" s="719"/>
      <c r="T291" s="719"/>
      <c r="U291" s="720"/>
    </row>
    <row r="292">
      <c r="A292" s="735">
        <v>45849.0</v>
      </c>
      <c r="B292" s="722" t="s">
        <v>4848</v>
      </c>
      <c r="C292" s="722" t="s">
        <v>4849</v>
      </c>
      <c r="D292" s="715" t="s">
        <v>4868</v>
      </c>
      <c r="E292" s="64">
        <v>232000.0</v>
      </c>
      <c r="F292" s="64" t="s">
        <v>4864</v>
      </c>
      <c r="G292" s="723">
        <v>0.4270833333333333</v>
      </c>
      <c r="H292" s="64"/>
      <c r="I292" s="64"/>
      <c r="J292" s="756">
        <f t="shared" ref="J292:J296" si="84">SUM(K292:N292)</f>
        <v>-420</v>
      </c>
      <c r="K292" s="64">
        <v>-855.0</v>
      </c>
      <c r="L292" s="64">
        <v>435.0</v>
      </c>
      <c r="M292" s="64"/>
      <c r="N292" s="64"/>
      <c r="O292" s="34"/>
      <c r="P292" s="34"/>
      <c r="Q292" s="726">
        <f t="shared" ref="Q292:Q296" si="85">J292/$E$292</f>
        <v>-0.001810344828</v>
      </c>
      <c r="R292" s="34"/>
      <c r="S292" s="34"/>
      <c r="T292" s="34"/>
      <c r="U292" s="34"/>
      <c r="V292" s="34"/>
    </row>
    <row r="293">
      <c r="A293" s="735">
        <v>45849.0</v>
      </c>
      <c r="B293" s="722" t="s">
        <v>4850</v>
      </c>
      <c r="C293" s="722" t="s">
        <v>4849</v>
      </c>
      <c r="D293" s="715" t="s">
        <v>4868</v>
      </c>
      <c r="H293" s="64"/>
      <c r="I293" s="64"/>
      <c r="J293" s="740">
        <f t="shared" si="84"/>
        <v>623</v>
      </c>
      <c r="K293" s="64">
        <v>-337.0</v>
      </c>
      <c r="L293" s="64">
        <v>960.0</v>
      </c>
      <c r="M293" s="64"/>
      <c r="N293" s="64"/>
      <c r="O293" s="34"/>
      <c r="P293" s="34"/>
      <c r="Q293" s="726">
        <f t="shared" si="85"/>
        <v>0.002685344828</v>
      </c>
      <c r="R293" s="34"/>
      <c r="S293" s="34"/>
      <c r="T293" s="34"/>
      <c r="U293" s="727"/>
    </row>
    <row r="294">
      <c r="A294" s="735">
        <v>45849.0</v>
      </c>
      <c r="B294" s="722" t="s">
        <v>4851</v>
      </c>
      <c r="C294" s="722" t="s">
        <v>4849</v>
      </c>
      <c r="D294" s="715" t="s">
        <v>4868</v>
      </c>
      <c r="E294" s="64"/>
      <c r="F294" s="64"/>
      <c r="G294" s="64"/>
      <c r="H294" s="64"/>
      <c r="I294" s="64"/>
      <c r="J294" s="740">
        <f t="shared" si="84"/>
        <v>2317</v>
      </c>
      <c r="K294" s="64">
        <v>1005.0</v>
      </c>
      <c r="L294" s="64">
        <v>1312.0</v>
      </c>
      <c r="M294" s="64"/>
      <c r="N294" s="64"/>
      <c r="O294" s="34"/>
      <c r="P294" s="34"/>
      <c r="Q294" s="726">
        <f t="shared" si="85"/>
        <v>0.009987068966</v>
      </c>
      <c r="R294" s="34"/>
      <c r="S294" s="34"/>
      <c r="T294" s="34"/>
      <c r="U294" s="727"/>
    </row>
    <row r="295">
      <c r="A295" s="735">
        <v>45849.0</v>
      </c>
      <c r="B295" s="722" t="s">
        <v>4852</v>
      </c>
      <c r="C295" s="722" t="s">
        <v>4849</v>
      </c>
      <c r="D295" s="715" t="s">
        <v>4868</v>
      </c>
      <c r="E295" s="64"/>
      <c r="F295" s="64"/>
      <c r="G295" s="64"/>
      <c r="H295" s="64"/>
      <c r="I295" s="64"/>
      <c r="J295" s="740">
        <f t="shared" si="84"/>
        <v>2662</v>
      </c>
      <c r="K295" s="64">
        <v>1200.0</v>
      </c>
      <c r="L295" s="64">
        <v>1462.0</v>
      </c>
      <c r="M295" s="64"/>
      <c r="N295" s="64"/>
      <c r="O295" s="13"/>
      <c r="Q295" s="726">
        <f t="shared" si="85"/>
        <v>0.01147413793</v>
      </c>
      <c r="S295" s="34"/>
      <c r="U295" s="741"/>
    </row>
    <row r="296">
      <c r="A296" s="721">
        <v>45849.0</v>
      </c>
      <c r="B296" s="722" t="s">
        <v>4853</v>
      </c>
      <c r="C296" s="722" t="s">
        <v>4849</v>
      </c>
      <c r="D296" s="715" t="s">
        <v>4868</v>
      </c>
      <c r="E296" s="64"/>
      <c r="F296" s="64"/>
      <c r="G296" s="64"/>
      <c r="H296" s="64"/>
      <c r="I296" s="64"/>
      <c r="J296" s="740">
        <f t="shared" si="84"/>
        <v>3022</v>
      </c>
      <c r="K296" s="64">
        <v>1447.0</v>
      </c>
      <c r="L296" s="64">
        <v>1575.0</v>
      </c>
      <c r="M296" s="64"/>
      <c r="N296" s="64"/>
      <c r="O296" s="34"/>
      <c r="P296" s="34"/>
      <c r="Q296" s="726">
        <f t="shared" si="85"/>
        <v>0.01302586207</v>
      </c>
      <c r="R296" s="34"/>
      <c r="S296" s="34"/>
      <c r="T296" s="34"/>
      <c r="U296" s="727"/>
    </row>
    <row r="297">
      <c r="A297" s="713"/>
      <c r="B297" s="714"/>
      <c r="C297" s="714"/>
      <c r="D297" s="715" t="s">
        <v>4868</v>
      </c>
      <c r="E297" s="714"/>
      <c r="F297" s="714"/>
      <c r="G297" s="714"/>
      <c r="H297" s="714"/>
      <c r="I297" s="714"/>
      <c r="J297" s="716"/>
      <c r="K297" s="717" t="s">
        <v>4870</v>
      </c>
      <c r="L297" s="717" t="s">
        <v>4871</v>
      </c>
      <c r="M297" s="717" t="s">
        <v>4872</v>
      </c>
      <c r="N297" s="717" t="s">
        <v>4873</v>
      </c>
      <c r="O297" s="719"/>
      <c r="P297" s="719"/>
      <c r="Q297" s="716"/>
      <c r="R297" s="719"/>
      <c r="S297" s="719"/>
      <c r="T297" s="719"/>
      <c r="U297" s="720"/>
    </row>
    <row r="298">
      <c r="A298" s="721">
        <v>45852.0</v>
      </c>
      <c r="B298" s="722" t="s">
        <v>4848</v>
      </c>
      <c r="C298" s="722" t="s">
        <v>4849</v>
      </c>
      <c r="D298" s="715" t="s">
        <v>4868</v>
      </c>
      <c r="E298" s="728"/>
      <c r="F298" s="728"/>
      <c r="G298" s="728"/>
      <c r="H298" s="728"/>
      <c r="I298" s="728"/>
      <c r="J298" s="729"/>
      <c r="K298" s="728"/>
      <c r="L298" s="728"/>
      <c r="M298" s="728"/>
      <c r="N298" s="728"/>
      <c r="O298" s="731"/>
      <c r="P298" s="731"/>
      <c r="Q298" s="729"/>
      <c r="R298" s="731"/>
      <c r="S298" s="731"/>
      <c r="T298" s="731"/>
      <c r="U298" s="732"/>
    </row>
    <row r="299">
      <c r="A299" s="735">
        <v>45852.0</v>
      </c>
      <c r="B299" s="722" t="s">
        <v>4850</v>
      </c>
      <c r="C299" s="722" t="s">
        <v>4849</v>
      </c>
      <c r="D299" s="715" t="s">
        <v>4868</v>
      </c>
      <c r="E299" s="64">
        <v>234000.0</v>
      </c>
      <c r="F299" s="64">
        <v>-76552.0</v>
      </c>
      <c r="G299" s="723">
        <v>0.5388888888888889</v>
      </c>
      <c r="I299" s="64"/>
      <c r="J299" s="756">
        <f>sum(K299:N299)</f>
        <v>-203</v>
      </c>
      <c r="K299" s="757">
        <v>165.0</v>
      </c>
      <c r="L299" s="758">
        <v>-390.0</v>
      </c>
      <c r="M299" s="757">
        <v>7.0</v>
      </c>
      <c r="N299" s="757">
        <v>15.0</v>
      </c>
      <c r="O299" s="34"/>
      <c r="P299" s="34"/>
      <c r="Q299" s="726">
        <f t="shared" ref="Q299:Q302" si="86">J299/$E$299</f>
        <v>-0.0008675213675</v>
      </c>
      <c r="R299" s="34"/>
      <c r="S299" s="34"/>
      <c r="T299" s="34"/>
      <c r="U299" s="727"/>
    </row>
    <row r="300">
      <c r="A300" s="735">
        <v>45852.0</v>
      </c>
      <c r="B300" s="722" t="s">
        <v>4851</v>
      </c>
      <c r="C300" s="722" t="s">
        <v>4849</v>
      </c>
      <c r="D300" s="715" t="s">
        <v>4868</v>
      </c>
      <c r="E300" s="64"/>
      <c r="F300" s="64"/>
      <c r="G300" s="64"/>
      <c r="H300" s="64"/>
      <c r="I300" s="64"/>
      <c r="J300" s="740">
        <f t="shared" ref="J300:J302" si="87">SUM(K300:N300)</f>
        <v>278</v>
      </c>
      <c r="K300" s="757">
        <v>592.0</v>
      </c>
      <c r="L300" s="758">
        <v>-225.0</v>
      </c>
      <c r="M300" s="758">
        <v>-37.0</v>
      </c>
      <c r="N300" s="758">
        <v>-52.0</v>
      </c>
      <c r="O300" s="34"/>
      <c r="P300" s="34"/>
      <c r="Q300" s="726">
        <f t="shared" si="86"/>
        <v>0.001188034188</v>
      </c>
      <c r="R300" s="34"/>
      <c r="S300" s="34"/>
      <c r="T300" s="34"/>
      <c r="U300" s="727"/>
    </row>
    <row r="301">
      <c r="A301" s="735">
        <v>45852.0</v>
      </c>
      <c r="B301" s="722" t="s">
        <v>4852</v>
      </c>
      <c r="C301" s="722" t="s">
        <v>4849</v>
      </c>
      <c r="D301" s="715" t="s">
        <v>4868</v>
      </c>
      <c r="E301" s="64"/>
      <c r="F301" s="64"/>
      <c r="G301" s="64"/>
      <c r="H301" s="64"/>
      <c r="I301" s="64"/>
      <c r="J301" s="740">
        <f t="shared" si="87"/>
        <v>1417</v>
      </c>
      <c r="K301" s="757">
        <v>675.0</v>
      </c>
      <c r="L301" s="757">
        <v>862.0</v>
      </c>
      <c r="M301" s="758">
        <v>-60.0</v>
      </c>
      <c r="N301" s="758">
        <v>-60.0</v>
      </c>
      <c r="O301" s="34"/>
      <c r="P301" s="34"/>
      <c r="Q301" s="726">
        <f t="shared" si="86"/>
        <v>0.006055555556</v>
      </c>
      <c r="R301" s="34"/>
      <c r="S301" s="34"/>
      <c r="T301" s="34"/>
      <c r="U301" s="727"/>
    </row>
    <row r="302">
      <c r="A302" s="735">
        <v>45852.0</v>
      </c>
      <c r="B302" s="722" t="s">
        <v>4853</v>
      </c>
      <c r="C302" s="722" t="s">
        <v>4849</v>
      </c>
      <c r="D302" s="715" t="s">
        <v>4868</v>
      </c>
      <c r="E302" s="64"/>
      <c r="F302" s="64"/>
      <c r="G302" s="64"/>
      <c r="H302" s="64"/>
      <c r="I302" s="64"/>
      <c r="J302" s="740">
        <f t="shared" si="87"/>
        <v>2197</v>
      </c>
      <c r="K302" s="757">
        <v>772.0</v>
      </c>
      <c r="L302" s="757">
        <v>1612.0</v>
      </c>
      <c r="M302" s="758">
        <v>-90.0</v>
      </c>
      <c r="N302" s="758">
        <v>-97.0</v>
      </c>
      <c r="O302" s="34"/>
      <c r="P302" s="34"/>
      <c r="Q302" s="726">
        <f t="shared" si="86"/>
        <v>0.009388888889</v>
      </c>
      <c r="R302" s="34"/>
      <c r="S302" s="34"/>
      <c r="T302" s="34"/>
      <c r="U302" s="727"/>
    </row>
    <row r="303">
      <c r="A303" s="713"/>
      <c r="B303" s="714"/>
      <c r="C303" s="714"/>
      <c r="D303" s="715" t="s">
        <v>4868</v>
      </c>
      <c r="E303" s="714"/>
      <c r="F303" s="714"/>
      <c r="G303" s="714"/>
      <c r="H303" s="714"/>
      <c r="I303" s="714"/>
      <c r="J303" s="716"/>
      <c r="K303" s="717" t="s">
        <v>4874</v>
      </c>
      <c r="L303" s="717" t="s">
        <v>4875</v>
      </c>
      <c r="M303" s="717" t="s">
        <v>4876</v>
      </c>
      <c r="N303" s="717" t="s">
        <v>4877</v>
      </c>
      <c r="O303" s="719"/>
      <c r="P303" s="719"/>
      <c r="Q303" s="716"/>
      <c r="R303" s="719"/>
      <c r="S303" s="719"/>
      <c r="T303" s="719"/>
      <c r="U303" s="720"/>
    </row>
    <row r="304">
      <c r="A304" s="735">
        <v>45853.0</v>
      </c>
      <c r="B304" s="722" t="s">
        <v>4848</v>
      </c>
      <c r="C304" s="722" t="s">
        <v>4849</v>
      </c>
      <c r="D304" s="715" t="s">
        <v>4868</v>
      </c>
      <c r="E304" s="728"/>
      <c r="F304" s="728"/>
      <c r="G304" s="728"/>
      <c r="H304" s="728"/>
      <c r="I304" s="728"/>
      <c r="J304" s="729"/>
      <c r="K304" s="728"/>
      <c r="L304" s="728"/>
      <c r="M304" s="728"/>
      <c r="N304" s="728"/>
      <c r="O304" s="731"/>
      <c r="P304" s="731"/>
      <c r="Q304" s="729"/>
      <c r="R304" s="731"/>
      <c r="S304" s="731"/>
      <c r="T304" s="731"/>
      <c r="U304" s="732"/>
    </row>
    <row r="305">
      <c r="A305" s="721">
        <v>45853.0</v>
      </c>
      <c r="B305" s="722" t="s">
        <v>4850</v>
      </c>
      <c r="C305" s="722" t="s">
        <v>4849</v>
      </c>
      <c r="D305" s="715" t="s">
        <v>4868</v>
      </c>
      <c r="E305" s="736"/>
      <c r="F305" s="736"/>
      <c r="G305" s="736"/>
      <c r="H305" s="736"/>
      <c r="I305" s="736"/>
      <c r="J305" s="737"/>
      <c r="K305" s="736"/>
      <c r="L305" s="736"/>
      <c r="M305" s="736"/>
      <c r="N305" s="736"/>
      <c r="O305" s="738"/>
      <c r="P305" s="738"/>
      <c r="Q305" s="737"/>
      <c r="R305" s="738"/>
      <c r="S305" s="738"/>
      <c r="T305" s="738"/>
      <c r="U305" s="739"/>
    </row>
    <row r="306">
      <c r="A306" s="735">
        <v>45853.0</v>
      </c>
      <c r="B306" s="722" t="s">
        <v>4851</v>
      </c>
      <c r="C306" s="722" t="s">
        <v>4849</v>
      </c>
      <c r="D306" s="715" t="s">
        <v>4868</v>
      </c>
      <c r="E306" s="64">
        <v>228000.0</v>
      </c>
      <c r="F306" s="64">
        <v>-148000.0</v>
      </c>
      <c r="G306" s="723">
        <v>0.47291666666666665</v>
      </c>
      <c r="H306" s="64"/>
      <c r="I306" s="64"/>
      <c r="J306" s="740">
        <f t="shared" ref="J306:J308" si="88">SUM(K306:N306)</f>
        <v>803</v>
      </c>
      <c r="K306" s="758">
        <v>-22.0</v>
      </c>
      <c r="L306" s="757">
        <v>322.0</v>
      </c>
      <c r="M306" s="757">
        <v>525.0</v>
      </c>
      <c r="N306" s="758">
        <v>-22.0</v>
      </c>
      <c r="O306" s="34"/>
      <c r="P306" s="34"/>
      <c r="Q306" s="726">
        <f t="shared" ref="Q306:Q308" si="89">J306/$E$306</f>
        <v>0.003521929825</v>
      </c>
      <c r="R306" s="34"/>
      <c r="S306" s="34"/>
      <c r="T306" s="34"/>
      <c r="U306" s="727"/>
    </row>
    <row r="307">
      <c r="A307" s="735">
        <v>45853.0</v>
      </c>
      <c r="B307" s="722" t="s">
        <v>4852</v>
      </c>
      <c r="C307" s="722" t="s">
        <v>4849</v>
      </c>
      <c r="D307" s="715" t="s">
        <v>4868</v>
      </c>
      <c r="E307" s="64"/>
      <c r="F307" s="13"/>
      <c r="G307" s="13"/>
      <c r="H307" s="13"/>
      <c r="I307" s="64"/>
      <c r="J307" s="740">
        <f t="shared" si="88"/>
        <v>1627</v>
      </c>
      <c r="K307" s="758">
        <v>-30.0</v>
      </c>
      <c r="L307" s="757">
        <v>622.0</v>
      </c>
      <c r="M307" s="757">
        <v>1065.0</v>
      </c>
      <c r="N307" s="758">
        <v>-30.0</v>
      </c>
      <c r="O307" s="34"/>
      <c r="P307" s="34"/>
      <c r="Q307" s="726">
        <f t="shared" si="89"/>
        <v>0.007135964912</v>
      </c>
      <c r="R307" s="34"/>
      <c r="S307" s="35"/>
      <c r="T307" s="34"/>
      <c r="U307" s="727"/>
    </row>
    <row r="308">
      <c r="A308" s="735">
        <v>45853.0</v>
      </c>
      <c r="B308" s="722" t="s">
        <v>4853</v>
      </c>
      <c r="C308" s="722" t="s">
        <v>4849</v>
      </c>
      <c r="D308" s="715" t="s">
        <v>4868</v>
      </c>
      <c r="E308" s="557"/>
      <c r="F308" s="557"/>
      <c r="G308" s="557"/>
      <c r="H308" s="557"/>
      <c r="I308" s="743"/>
      <c r="J308" s="740">
        <f t="shared" si="88"/>
        <v>2399</v>
      </c>
      <c r="K308" s="758">
        <v>-45.0</v>
      </c>
      <c r="L308" s="757">
        <v>1087.0</v>
      </c>
      <c r="M308" s="757">
        <v>1402.0</v>
      </c>
      <c r="N308" s="758">
        <v>-45.0</v>
      </c>
      <c r="O308" s="35"/>
      <c r="P308" s="35"/>
      <c r="Q308" s="726">
        <f t="shared" si="89"/>
        <v>0.01052192982</v>
      </c>
      <c r="R308" s="35"/>
      <c r="S308" s="744"/>
      <c r="T308" s="35"/>
      <c r="U308" s="745"/>
    </row>
    <row r="309">
      <c r="A309" s="713"/>
      <c r="B309" s="714"/>
      <c r="C309" s="714"/>
      <c r="D309" s="715" t="s">
        <v>4868</v>
      </c>
      <c r="E309" s="714"/>
      <c r="F309" s="714"/>
      <c r="G309" s="714"/>
      <c r="H309" s="714"/>
      <c r="I309" s="714"/>
      <c r="J309" s="716"/>
      <c r="K309" s="717"/>
      <c r="L309" s="717"/>
      <c r="M309" s="717"/>
      <c r="N309" s="717"/>
      <c r="O309" s="719"/>
      <c r="P309" s="719"/>
      <c r="Q309" s="716"/>
      <c r="R309" s="719"/>
      <c r="S309" s="719"/>
      <c r="T309" s="719"/>
      <c r="U309" s="720"/>
    </row>
    <row r="310">
      <c r="A310" s="735">
        <v>45854.0</v>
      </c>
      <c r="B310" s="722" t="s">
        <v>4848</v>
      </c>
      <c r="C310" s="722" t="s">
        <v>4878</v>
      </c>
      <c r="D310" s="715" t="s">
        <v>4868</v>
      </c>
      <c r="E310" s="728"/>
      <c r="F310" s="728"/>
      <c r="G310" s="728"/>
      <c r="H310" s="728"/>
      <c r="I310" s="728"/>
      <c r="J310" s="729"/>
      <c r="K310" s="728"/>
      <c r="L310" s="728"/>
      <c r="M310" s="728"/>
      <c r="N310" s="728"/>
      <c r="O310" s="731"/>
      <c r="P310" s="731"/>
      <c r="Q310" s="729"/>
      <c r="R310" s="746"/>
      <c r="S310" s="731"/>
      <c r="T310" s="731"/>
      <c r="U310" s="732"/>
    </row>
    <row r="311">
      <c r="A311" s="735">
        <v>45854.0</v>
      </c>
      <c r="B311" s="722" t="s">
        <v>4850</v>
      </c>
      <c r="C311" s="722" t="s">
        <v>4878</v>
      </c>
      <c r="D311" s="715" t="s">
        <v>4868</v>
      </c>
      <c r="E311" s="736"/>
      <c r="F311" s="736"/>
      <c r="G311" s="736"/>
      <c r="H311" s="736"/>
      <c r="I311" s="736"/>
      <c r="J311" s="737"/>
      <c r="K311" s="736"/>
      <c r="L311" s="736"/>
      <c r="M311" s="736"/>
      <c r="N311" s="736"/>
      <c r="O311" s="738"/>
      <c r="P311" s="738"/>
      <c r="Q311" s="737"/>
      <c r="R311" s="747"/>
      <c r="S311" s="738"/>
      <c r="T311" s="738"/>
      <c r="U311" s="739"/>
    </row>
    <row r="312">
      <c r="A312" s="721">
        <v>45854.0</v>
      </c>
      <c r="B312" s="722" t="s">
        <v>4851</v>
      </c>
      <c r="C312" s="722" t="s">
        <v>4878</v>
      </c>
      <c r="D312" s="715" t="s">
        <v>4868</v>
      </c>
      <c r="E312" s="736"/>
      <c r="F312" s="736"/>
      <c r="G312" s="736"/>
      <c r="H312" s="736"/>
      <c r="I312" s="736"/>
      <c r="J312" s="737"/>
      <c r="K312" s="736"/>
      <c r="L312" s="736"/>
      <c r="M312" s="736"/>
      <c r="N312" s="736"/>
      <c r="O312" s="738"/>
      <c r="P312" s="738"/>
      <c r="Q312" s="737"/>
      <c r="R312" s="747"/>
      <c r="S312" s="738"/>
      <c r="T312" s="738"/>
      <c r="U312" s="739"/>
    </row>
    <row r="313">
      <c r="A313" s="735">
        <v>45854.0</v>
      </c>
      <c r="B313" s="722" t="s">
        <v>4852</v>
      </c>
      <c r="C313" s="722" t="s">
        <v>4878</v>
      </c>
      <c r="D313" s="715" t="s">
        <v>4868</v>
      </c>
      <c r="E313" s="13"/>
      <c r="F313" s="13"/>
      <c r="G313" s="13"/>
      <c r="H313" s="13"/>
      <c r="I313" s="13"/>
      <c r="J313" s="577"/>
      <c r="K313" s="13"/>
      <c r="L313" s="13"/>
      <c r="M313" s="13"/>
      <c r="N313" s="13"/>
      <c r="O313" s="35"/>
      <c r="P313" s="35"/>
      <c r="Q313" s="577"/>
      <c r="R313" s="759"/>
      <c r="S313" s="35"/>
      <c r="T313" s="35"/>
      <c r="U313" s="745"/>
    </row>
    <row r="314">
      <c r="A314" s="735">
        <v>45854.0</v>
      </c>
      <c r="B314" s="722" t="s">
        <v>4853</v>
      </c>
      <c r="C314" s="722" t="s">
        <v>4878</v>
      </c>
      <c r="D314" s="715" t="s">
        <v>4868</v>
      </c>
      <c r="E314" s="13"/>
      <c r="F314" s="13"/>
      <c r="G314" s="13"/>
      <c r="H314" s="13"/>
      <c r="I314" s="13"/>
      <c r="J314" s="577"/>
      <c r="K314" s="13"/>
      <c r="L314" s="13"/>
      <c r="M314" s="13"/>
      <c r="N314" s="13"/>
      <c r="O314" s="35"/>
      <c r="P314" s="35"/>
      <c r="Q314" s="577"/>
      <c r="R314" s="759"/>
      <c r="S314" s="35"/>
      <c r="T314" s="35"/>
      <c r="U314" s="745"/>
    </row>
    <row r="315">
      <c r="A315" s="713"/>
      <c r="B315" s="714"/>
      <c r="C315" s="714"/>
      <c r="D315" s="715" t="s">
        <v>4868</v>
      </c>
      <c r="E315" s="714"/>
      <c r="F315" s="714"/>
      <c r="G315" s="714"/>
      <c r="H315" s="714"/>
      <c r="I315" s="714"/>
      <c r="J315" s="716"/>
      <c r="K315" s="717"/>
      <c r="L315" s="717"/>
      <c r="M315" s="717"/>
      <c r="N315" s="717"/>
      <c r="O315" s="719"/>
      <c r="P315" s="719"/>
      <c r="Q315" s="716"/>
      <c r="R315" s="751"/>
      <c r="S315" s="719"/>
      <c r="T315" s="719"/>
      <c r="U315" s="720"/>
    </row>
    <row r="316">
      <c r="A316" s="735">
        <v>45855.0</v>
      </c>
      <c r="B316" s="722" t="s">
        <v>4848</v>
      </c>
      <c r="C316" s="722" t="s">
        <v>4878</v>
      </c>
      <c r="D316" s="715" t="s">
        <v>4868</v>
      </c>
      <c r="E316" s="736"/>
      <c r="F316" s="736"/>
      <c r="G316" s="736"/>
      <c r="H316" s="736"/>
      <c r="I316" s="736"/>
      <c r="J316" s="737"/>
      <c r="K316" s="736"/>
      <c r="L316" s="736"/>
      <c r="M316" s="736"/>
      <c r="N316" s="736"/>
      <c r="O316" s="738"/>
      <c r="P316" s="738"/>
      <c r="Q316" s="737"/>
      <c r="R316" s="747"/>
      <c r="S316" s="738"/>
      <c r="T316" s="738"/>
      <c r="U316" s="739"/>
    </row>
    <row r="317">
      <c r="A317" s="735">
        <v>45855.0</v>
      </c>
      <c r="B317" s="722" t="s">
        <v>4850</v>
      </c>
      <c r="C317" s="722" t="s">
        <v>4878</v>
      </c>
      <c r="D317" s="715" t="s">
        <v>4868</v>
      </c>
      <c r="E317" s="736"/>
      <c r="F317" s="736"/>
      <c r="G317" s="736"/>
      <c r="H317" s="736"/>
      <c r="I317" s="736"/>
      <c r="J317" s="737"/>
      <c r="K317" s="736"/>
      <c r="L317" s="736"/>
      <c r="M317" s="736"/>
      <c r="N317" s="736"/>
      <c r="O317" s="738"/>
      <c r="P317" s="738"/>
      <c r="Q317" s="737"/>
      <c r="R317" s="747"/>
      <c r="S317" s="738"/>
      <c r="T317" s="738"/>
      <c r="U317" s="739"/>
    </row>
    <row r="318">
      <c r="A318" s="735">
        <v>45855.0</v>
      </c>
      <c r="B318" s="722" t="s">
        <v>4851</v>
      </c>
      <c r="C318" s="722" t="s">
        <v>4878</v>
      </c>
      <c r="D318" s="715" t="s">
        <v>4868</v>
      </c>
      <c r="E318" s="736"/>
      <c r="F318" s="736"/>
      <c r="G318" s="736"/>
      <c r="H318" s="736"/>
      <c r="I318" s="736"/>
      <c r="J318" s="737"/>
      <c r="K318" s="736"/>
      <c r="L318" s="736"/>
      <c r="M318" s="736"/>
      <c r="N318" s="736"/>
      <c r="O318" s="738"/>
      <c r="P318" s="738"/>
      <c r="Q318" s="737"/>
      <c r="R318" s="747"/>
      <c r="S318" s="738"/>
      <c r="T318" s="738"/>
      <c r="U318" s="739"/>
    </row>
    <row r="319">
      <c r="A319" s="721">
        <v>45855.0</v>
      </c>
      <c r="B319" s="722" t="s">
        <v>4852</v>
      </c>
      <c r="C319" s="722" t="s">
        <v>4878</v>
      </c>
      <c r="D319" s="715" t="s">
        <v>4868</v>
      </c>
      <c r="E319" s="736"/>
      <c r="F319" s="736"/>
      <c r="G319" s="736"/>
      <c r="H319" s="736"/>
      <c r="I319" s="736"/>
      <c r="J319" s="737"/>
      <c r="K319" s="736"/>
      <c r="L319" s="736"/>
      <c r="M319" s="736"/>
      <c r="N319" s="736"/>
      <c r="O319" s="738"/>
      <c r="P319" s="738"/>
      <c r="Q319" s="737"/>
      <c r="R319" s="747"/>
      <c r="S319" s="738"/>
      <c r="T319" s="738"/>
      <c r="U319" s="739"/>
    </row>
    <row r="320">
      <c r="A320" s="735">
        <v>45855.0</v>
      </c>
      <c r="B320" s="722" t="s">
        <v>4853</v>
      </c>
      <c r="C320" s="722" t="s">
        <v>4878</v>
      </c>
      <c r="D320" s="715" t="s">
        <v>4868</v>
      </c>
      <c r="E320" s="557"/>
      <c r="F320" s="557"/>
      <c r="G320" s="557"/>
      <c r="H320" s="557"/>
      <c r="I320" s="557"/>
      <c r="J320" s="760"/>
      <c r="K320" s="557"/>
      <c r="L320" s="557"/>
      <c r="M320" s="557"/>
      <c r="N320" s="557"/>
      <c r="O320" s="744"/>
      <c r="P320" s="744"/>
      <c r="Q320" s="760"/>
      <c r="R320" s="755"/>
      <c r="S320" s="744"/>
      <c r="T320" s="35"/>
      <c r="U320" s="745"/>
    </row>
    <row r="321">
      <c r="A321" s="713"/>
      <c r="B321" s="714"/>
      <c r="C321" s="714"/>
      <c r="D321" s="733" t="s">
        <v>4879</v>
      </c>
      <c r="E321" s="714"/>
      <c r="F321" s="714"/>
      <c r="G321" s="714"/>
      <c r="H321" s="714"/>
      <c r="I321" s="714"/>
      <c r="J321" s="716"/>
      <c r="K321" s="717" t="s">
        <v>4846</v>
      </c>
      <c r="L321" s="717" t="s">
        <v>4880</v>
      </c>
      <c r="M321" s="717" t="s">
        <v>4881</v>
      </c>
      <c r="N321" s="717" t="s">
        <v>4882</v>
      </c>
      <c r="O321" s="719"/>
      <c r="P321" s="719"/>
      <c r="Q321" s="716"/>
      <c r="R321" s="751"/>
      <c r="S321" s="719"/>
      <c r="T321" s="719"/>
      <c r="U321" s="720"/>
    </row>
    <row r="322">
      <c r="A322" s="735">
        <v>45856.0</v>
      </c>
      <c r="B322" s="722" t="s">
        <v>4848</v>
      </c>
      <c r="C322" s="722" t="s">
        <v>4849</v>
      </c>
      <c r="D322" s="733" t="s">
        <v>4879</v>
      </c>
      <c r="E322" s="64">
        <v>132000.0</v>
      </c>
      <c r="F322" s="64">
        <v>-38280.0</v>
      </c>
      <c r="G322" s="723">
        <v>0.38680555555555557</v>
      </c>
      <c r="H322" s="64">
        <v>260.0</v>
      </c>
      <c r="I322" s="64"/>
      <c r="J322" s="756">
        <f t="shared" ref="J322:J326" si="90">SUM(K322:N322)</f>
        <v>-1717</v>
      </c>
      <c r="K322" s="757">
        <v>3045.0</v>
      </c>
      <c r="L322" s="758">
        <v>-5107.0</v>
      </c>
      <c r="M322" s="757">
        <v>375.0</v>
      </c>
      <c r="N322" s="758">
        <v>-30.0</v>
      </c>
      <c r="O322" s="34"/>
      <c r="P322" s="34"/>
      <c r="Q322" s="726">
        <f t="shared" ref="Q322:Q326" si="91">J322/$E$322</f>
        <v>-0.01300757576</v>
      </c>
      <c r="R322" s="34"/>
      <c r="S322" s="34"/>
      <c r="T322" s="34"/>
      <c r="U322" s="34"/>
    </row>
    <row r="323">
      <c r="A323" s="735">
        <v>45856.0</v>
      </c>
      <c r="B323" s="722" t="s">
        <v>4850</v>
      </c>
      <c r="C323" s="722" t="s">
        <v>4849</v>
      </c>
      <c r="D323" s="733" t="s">
        <v>4879</v>
      </c>
      <c r="E323" s="64"/>
      <c r="F323" s="64"/>
      <c r="G323" s="723"/>
      <c r="H323" s="64"/>
      <c r="I323" s="64"/>
      <c r="J323" s="740">
        <f t="shared" si="90"/>
        <v>4856</v>
      </c>
      <c r="K323" s="757">
        <v>2910.0</v>
      </c>
      <c r="L323" s="757">
        <v>2115.0</v>
      </c>
      <c r="M323" s="758">
        <v>-27.0</v>
      </c>
      <c r="N323" s="758">
        <v>-142.0</v>
      </c>
      <c r="O323" s="34"/>
      <c r="P323" s="34"/>
      <c r="Q323" s="726">
        <f t="shared" si="91"/>
        <v>0.03678787879</v>
      </c>
      <c r="R323" s="34"/>
      <c r="S323" s="34"/>
      <c r="T323" s="34"/>
      <c r="U323" s="34"/>
    </row>
    <row r="324">
      <c r="A324" s="735">
        <v>45856.0</v>
      </c>
      <c r="B324" s="722" t="s">
        <v>4851</v>
      </c>
      <c r="C324" s="722" t="s">
        <v>4849</v>
      </c>
      <c r="D324" s="733" t="s">
        <v>4879</v>
      </c>
      <c r="E324" s="64"/>
      <c r="F324" s="64"/>
      <c r="G324" s="64"/>
      <c r="H324" s="64"/>
      <c r="I324" s="64"/>
      <c r="J324" s="740">
        <f t="shared" si="90"/>
        <v>5588</v>
      </c>
      <c r="K324" s="757">
        <v>1447.0</v>
      </c>
      <c r="L324" s="757">
        <v>4650.0</v>
      </c>
      <c r="M324" s="758">
        <v>-352.0</v>
      </c>
      <c r="N324" s="758">
        <v>-157.0</v>
      </c>
      <c r="O324" s="34"/>
      <c r="P324" s="34"/>
      <c r="Q324" s="726">
        <f t="shared" si="91"/>
        <v>0.04233333333</v>
      </c>
      <c r="R324" s="34"/>
      <c r="S324" s="34"/>
      <c r="T324" s="34"/>
      <c r="U324" s="34"/>
    </row>
    <row r="325">
      <c r="A325" s="735">
        <v>45856.0</v>
      </c>
      <c r="B325" s="722" t="s">
        <v>4852</v>
      </c>
      <c r="C325" s="722" t="s">
        <v>4849</v>
      </c>
      <c r="D325" s="733" t="s">
        <v>4879</v>
      </c>
      <c r="E325" s="64"/>
      <c r="F325" s="64"/>
      <c r="G325" s="64"/>
      <c r="H325" s="64"/>
      <c r="I325" s="64"/>
      <c r="J325" s="740">
        <f t="shared" si="90"/>
        <v>8813</v>
      </c>
      <c r="K325" s="757">
        <v>4402.0</v>
      </c>
      <c r="L325" s="757">
        <v>5070.0</v>
      </c>
      <c r="M325" s="758">
        <v>-457.0</v>
      </c>
      <c r="N325" s="758">
        <v>-202.0</v>
      </c>
      <c r="O325" s="34"/>
      <c r="P325" s="34"/>
      <c r="Q325" s="726">
        <f t="shared" si="91"/>
        <v>0.06676515152</v>
      </c>
      <c r="R325" s="34"/>
      <c r="S325" s="34"/>
      <c r="T325" s="34"/>
      <c r="U325" s="34"/>
    </row>
    <row r="326">
      <c r="A326" s="721">
        <v>45856.0</v>
      </c>
      <c r="B326" s="722" t="s">
        <v>4853</v>
      </c>
      <c r="C326" s="722" t="s">
        <v>4849</v>
      </c>
      <c r="D326" s="733" t="s">
        <v>4879</v>
      </c>
      <c r="E326" s="64"/>
      <c r="F326" s="64"/>
      <c r="G326" s="64"/>
      <c r="H326" s="64"/>
      <c r="I326" s="64"/>
      <c r="J326" s="740">
        <f t="shared" si="90"/>
        <v>11573</v>
      </c>
      <c r="K326" s="758">
        <v>-566.0</v>
      </c>
      <c r="L326" s="757">
        <v>8396.0</v>
      </c>
      <c r="M326" s="757">
        <v>3994.0</v>
      </c>
      <c r="N326" s="758">
        <v>-251.0</v>
      </c>
      <c r="O326" s="34"/>
      <c r="P326" s="34"/>
      <c r="Q326" s="726">
        <f t="shared" si="91"/>
        <v>0.08767424242</v>
      </c>
      <c r="R326" s="761" t="s">
        <v>4883</v>
      </c>
      <c r="S326" s="34"/>
      <c r="T326" s="34"/>
      <c r="U326" s="34"/>
    </row>
    <row r="327">
      <c r="A327" s="713"/>
      <c r="B327" s="714"/>
      <c r="C327" s="714"/>
      <c r="D327" s="733" t="s">
        <v>4879</v>
      </c>
      <c r="E327" s="714"/>
      <c r="F327" s="714"/>
      <c r="G327" s="714"/>
      <c r="H327" s="714"/>
      <c r="I327" s="714"/>
      <c r="J327" s="716"/>
      <c r="K327" s="717" t="s">
        <v>4884</v>
      </c>
      <c r="L327" s="717" t="s">
        <v>4885</v>
      </c>
      <c r="M327" s="717" t="s">
        <v>4886</v>
      </c>
      <c r="N327" s="717" t="s">
        <v>4887</v>
      </c>
      <c r="O327" s="719"/>
      <c r="P327" s="719"/>
      <c r="Q327" s="716"/>
      <c r="R327" s="719"/>
      <c r="S327" s="719"/>
      <c r="T327" s="719"/>
      <c r="U327" s="720"/>
    </row>
    <row r="328">
      <c r="A328" s="721">
        <v>45859.0</v>
      </c>
      <c r="B328" s="722" t="s">
        <v>4848</v>
      </c>
      <c r="C328" s="722" t="s">
        <v>4849</v>
      </c>
      <c r="D328" s="733" t="s">
        <v>4879</v>
      </c>
      <c r="E328" s="728"/>
      <c r="F328" s="728"/>
      <c r="G328" s="728"/>
      <c r="H328" s="728"/>
      <c r="I328" s="728"/>
      <c r="J328" s="729"/>
      <c r="K328" s="728"/>
      <c r="L328" s="728"/>
      <c r="M328" s="728"/>
      <c r="N328" s="728"/>
      <c r="O328" s="731"/>
      <c r="P328" s="731"/>
      <c r="Q328" s="729"/>
      <c r="R328" s="731"/>
      <c r="S328" s="731"/>
      <c r="T328" s="731"/>
      <c r="U328" s="732"/>
    </row>
    <row r="329">
      <c r="A329" s="735">
        <v>45859.0</v>
      </c>
      <c r="B329" s="722" t="s">
        <v>4850</v>
      </c>
      <c r="C329" s="722" t="s">
        <v>4849</v>
      </c>
      <c r="D329" s="733" t="s">
        <v>4879</v>
      </c>
      <c r="E329" s="64">
        <v>130000.0</v>
      </c>
      <c r="F329" s="64">
        <v>-40000.0</v>
      </c>
      <c r="G329" s="723">
        <v>0.38680555555555557</v>
      </c>
      <c r="H329" s="64"/>
      <c r="I329" s="64"/>
      <c r="J329" s="756">
        <f t="shared" ref="J329:J332" si="92">SUM(K329:N329)</f>
        <v>-1327</v>
      </c>
      <c r="K329" s="757">
        <v>3825.0</v>
      </c>
      <c r="L329" s="758">
        <v>-5032.0</v>
      </c>
      <c r="M329" s="758">
        <v>-90.0</v>
      </c>
      <c r="N329" s="758">
        <v>-30.0</v>
      </c>
      <c r="O329" s="34"/>
      <c r="P329" s="34"/>
      <c r="Q329" s="726">
        <f t="shared" ref="Q329:Q332" si="93">J329/$E$329</f>
        <v>-0.01020769231</v>
      </c>
      <c r="R329" s="34"/>
      <c r="S329" s="34"/>
      <c r="T329" s="34"/>
      <c r="U329" s="727"/>
    </row>
    <row r="330">
      <c r="A330" s="735">
        <v>45859.0</v>
      </c>
      <c r="B330" s="722" t="s">
        <v>4851</v>
      </c>
      <c r="C330" s="722" t="s">
        <v>4849</v>
      </c>
      <c r="D330" s="733" t="s">
        <v>4879</v>
      </c>
      <c r="E330" s="64"/>
      <c r="F330" s="64"/>
      <c r="G330" s="64"/>
      <c r="H330" s="64"/>
      <c r="I330" s="64"/>
      <c r="J330" s="740">
        <f t="shared" si="92"/>
        <v>2439</v>
      </c>
      <c r="K330" s="757">
        <v>4530.0</v>
      </c>
      <c r="L330" s="758">
        <v>-1732.0</v>
      </c>
      <c r="M330" s="758">
        <v>-202.0</v>
      </c>
      <c r="N330" s="758">
        <v>-157.0</v>
      </c>
      <c r="O330" s="13"/>
      <c r="Q330" s="726">
        <f t="shared" si="93"/>
        <v>0.01876153846</v>
      </c>
      <c r="U330" s="741"/>
    </row>
    <row r="331">
      <c r="A331" s="735">
        <v>45859.0</v>
      </c>
      <c r="B331" s="722" t="s">
        <v>4852</v>
      </c>
      <c r="C331" s="722" t="s">
        <v>4849</v>
      </c>
      <c r="D331" s="733" t="s">
        <v>4879</v>
      </c>
      <c r="E331" s="64"/>
      <c r="F331" s="64"/>
      <c r="G331" s="64"/>
      <c r="H331" s="64"/>
      <c r="I331" s="64"/>
      <c r="J331" s="756">
        <f t="shared" si="92"/>
        <v>-5123</v>
      </c>
      <c r="K331" s="757">
        <v>5587.0</v>
      </c>
      <c r="L331" s="758">
        <v>-10335.0</v>
      </c>
      <c r="M331" s="758">
        <v>-195.0</v>
      </c>
      <c r="N331" s="758">
        <v>-180.0</v>
      </c>
      <c r="O331" s="34"/>
      <c r="P331" s="34"/>
      <c r="Q331" s="726">
        <f t="shared" si="93"/>
        <v>-0.03940769231</v>
      </c>
      <c r="R331" s="34"/>
      <c r="S331" s="34"/>
      <c r="T331" s="34"/>
      <c r="U331" s="727"/>
    </row>
    <row r="332">
      <c r="A332" s="735">
        <v>45859.0</v>
      </c>
      <c r="B332" s="722" t="s">
        <v>4853</v>
      </c>
      <c r="C332" s="722" t="s">
        <v>4849</v>
      </c>
      <c r="D332" s="733" t="s">
        <v>4879</v>
      </c>
      <c r="E332" s="64"/>
      <c r="F332" s="64"/>
      <c r="G332" s="64"/>
      <c r="H332" s="64"/>
      <c r="I332" s="64"/>
      <c r="J332" s="740">
        <f t="shared" si="92"/>
        <v>8201</v>
      </c>
      <c r="K332" s="757">
        <v>6296.0</v>
      </c>
      <c r="L332" s="757">
        <v>2452.0</v>
      </c>
      <c r="M332" s="758">
        <v>-281.0</v>
      </c>
      <c r="N332" s="758">
        <v>-266.0</v>
      </c>
      <c r="O332" s="34"/>
      <c r="P332" s="34"/>
      <c r="Q332" s="726">
        <f t="shared" si="93"/>
        <v>0.06308461538</v>
      </c>
      <c r="R332" s="34"/>
      <c r="S332" s="34"/>
      <c r="T332" s="34"/>
      <c r="U332" s="727"/>
    </row>
    <row r="333">
      <c r="A333" s="713"/>
      <c r="B333" s="714"/>
      <c r="C333" s="714"/>
      <c r="D333" s="733" t="s">
        <v>4879</v>
      </c>
      <c r="E333" s="714"/>
      <c r="F333" s="714"/>
      <c r="G333" s="714"/>
      <c r="H333" s="714"/>
      <c r="I333" s="714"/>
      <c r="J333" s="716"/>
      <c r="K333" s="717" t="s">
        <v>4888</v>
      </c>
      <c r="L333" s="717" t="s">
        <v>4889</v>
      </c>
      <c r="M333" s="717" t="s">
        <v>4870</v>
      </c>
      <c r="N333" s="717" t="s">
        <v>4890</v>
      </c>
      <c r="O333" s="719"/>
      <c r="P333" s="719"/>
      <c r="Q333" s="716"/>
      <c r="R333" s="719"/>
      <c r="S333" s="719"/>
      <c r="T333" s="719"/>
      <c r="U333" s="720"/>
    </row>
    <row r="334">
      <c r="A334" s="735">
        <v>45860.0</v>
      </c>
      <c r="B334" s="722" t="s">
        <v>4848</v>
      </c>
      <c r="C334" s="722" t="s">
        <v>4849</v>
      </c>
      <c r="D334" s="733" t="s">
        <v>4879</v>
      </c>
      <c r="E334" s="728"/>
      <c r="F334" s="728"/>
      <c r="G334" s="728"/>
      <c r="H334" s="728"/>
      <c r="I334" s="728"/>
      <c r="J334" s="729"/>
      <c r="K334" s="728"/>
      <c r="L334" s="728"/>
      <c r="M334" s="728"/>
      <c r="N334" s="728"/>
      <c r="O334" s="731"/>
      <c r="P334" s="731"/>
      <c r="Q334" s="729"/>
      <c r="R334" s="746"/>
      <c r="S334" s="731"/>
      <c r="T334" s="731"/>
      <c r="U334" s="732"/>
    </row>
    <row r="335">
      <c r="A335" s="721">
        <v>45860.0</v>
      </c>
      <c r="B335" s="722" t="s">
        <v>4850</v>
      </c>
      <c r="C335" s="722" t="s">
        <v>4849</v>
      </c>
      <c r="D335" s="733" t="s">
        <v>4879</v>
      </c>
      <c r="E335" s="736"/>
      <c r="F335" s="736"/>
      <c r="G335" s="736"/>
      <c r="H335" s="736"/>
      <c r="I335" s="736"/>
      <c r="J335" s="737"/>
      <c r="K335" s="736"/>
      <c r="L335" s="736"/>
      <c r="M335" s="736"/>
      <c r="N335" s="736"/>
      <c r="O335" s="738"/>
      <c r="P335" s="738"/>
      <c r="Q335" s="737"/>
      <c r="R335" s="747"/>
      <c r="S335" s="738"/>
      <c r="T335" s="738"/>
      <c r="U335" s="739"/>
    </row>
    <row r="336">
      <c r="A336" s="735">
        <v>45860.0</v>
      </c>
      <c r="B336" s="722" t="s">
        <v>4851</v>
      </c>
      <c r="C336" s="762" t="s">
        <v>4891</v>
      </c>
      <c r="D336" s="733" t="s">
        <v>4879</v>
      </c>
      <c r="E336" s="64">
        <v>144000.0</v>
      </c>
      <c r="F336" s="64">
        <v>-63418.0</v>
      </c>
      <c r="G336" s="723">
        <v>0.4395833333333333</v>
      </c>
      <c r="H336" s="64">
        <v>167.0</v>
      </c>
      <c r="I336" s="64">
        <v>140.6</v>
      </c>
      <c r="J336" s="740">
        <f t="shared" ref="J336:J338" si="94">SUM(K336:N336)</f>
        <v>1530</v>
      </c>
      <c r="K336" s="758">
        <v>-146.0</v>
      </c>
      <c r="L336" s="757">
        <v>2175.0</v>
      </c>
      <c r="M336" s="758">
        <v>-386.0</v>
      </c>
      <c r="N336" s="758">
        <v>-113.0</v>
      </c>
      <c r="O336" s="34"/>
      <c r="P336" s="51"/>
      <c r="Q336" s="726">
        <f t="shared" ref="Q336:Q338" si="95">J336/$E$336</f>
        <v>0.010625</v>
      </c>
      <c r="R336" s="763" t="s">
        <v>4892</v>
      </c>
      <c r="S336" s="763" t="s">
        <v>4893</v>
      </c>
      <c r="T336" s="763" t="s">
        <v>4894</v>
      </c>
      <c r="U336" s="764" t="s">
        <v>65</v>
      </c>
    </row>
    <row r="337">
      <c r="A337" s="735">
        <v>45860.0</v>
      </c>
      <c r="B337" s="722" t="s">
        <v>4852</v>
      </c>
      <c r="C337" s="762" t="s">
        <v>4891</v>
      </c>
      <c r="D337" s="733" t="s">
        <v>4879</v>
      </c>
      <c r="E337" s="64"/>
      <c r="F337" s="13"/>
      <c r="G337" s="64" t="s">
        <v>65</v>
      </c>
      <c r="H337" s="64"/>
      <c r="I337" s="64">
        <v>150.0</v>
      </c>
      <c r="J337" s="756">
        <f t="shared" si="94"/>
        <v>-160.75</v>
      </c>
      <c r="K337" s="758">
        <v>-202.0</v>
      </c>
      <c r="L337" s="758">
        <v>-4226.25</v>
      </c>
      <c r="M337" s="757">
        <f>4361.25</f>
        <v>4361.25</v>
      </c>
      <c r="N337" s="758">
        <v>-93.75</v>
      </c>
      <c r="O337" s="765"/>
      <c r="P337" s="765"/>
      <c r="Q337" s="726">
        <f t="shared" si="95"/>
        <v>-0.001116319444</v>
      </c>
      <c r="R337" s="766" t="s">
        <v>4895</v>
      </c>
      <c r="S337" s="766" t="s">
        <v>4896</v>
      </c>
      <c r="T337" s="766" t="s">
        <v>4897</v>
      </c>
      <c r="U337" s="767" t="s">
        <v>4898</v>
      </c>
    </row>
    <row r="338">
      <c r="A338" s="735">
        <v>45860.0</v>
      </c>
      <c r="B338" s="722" t="s">
        <v>4853</v>
      </c>
      <c r="C338" s="762" t="s">
        <v>4891</v>
      </c>
      <c r="D338" s="733" t="s">
        <v>4879</v>
      </c>
      <c r="E338" s="557"/>
      <c r="F338" s="557"/>
      <c r="G338" s="557"/>
      <c r="H338" s="743"/>
      <c r="I338" s="743"/>
      <c r="J338" s="740">
        <f t="shared" si="94"/>
        <v>4073</v>
      </c>
      <c r="K338" s="768">
        <v>-307.0</v>
      </c>
      <c r="L338" s="757">
        <f>4938</f>
        <v>4938</v>
      </c>
      <c r="M338" s="758">
        <v>-337.0</v>
      </c>
      <c r="N338" s="758">
        <v>-221.0</v>
      </c>
      <c r="O338" s="769"/>
      <c r="P338" s="769"/>
      <c r="Q338" s="726">
        <f t="shared" si="95"/>
        <v>0.02828472222</v>
      </c>
      <c r="R338" s="770" t="s">
        <v>4899</v>
      </c>
      <c r="S338" s="766" t="s">
        <v>4900</v>
      </c>
      <c r="T338" s="766" t="s">
        <v>4901</v>
      </c>
      <c r="U338" s="767" t="s">
        <v>4902</v>
      </c>
    </row>
    <row r="339">
      <c r="A339" s="713"/>
      <c r="B339" s="714"/>
      <c r="C339" s="714"/>
      <c r="D339" s="733" t="s">
        <v>4879</v>
      </c>
      <c r="E339" s="714"/>
      <c r="F339" s="714"/>
      <c r="G339" s="714"/>
      <c r="H339" s="714"/>
      <c r="I339" s="714"/>
      <c r="J339" s="716"/>
      <c r="K339" s="717" t="s">
        <v>4903</v>
      </c>
      <c r="L339" s="717" t="s">
        <v>4846</v>
      </c>
      <c r="M339" s="717" t="s">
        <v>4904</v>
      </c>
      <c r="N339" s="717" t="s">
        <v>4905</v>
      </c>
      <c r="O339" s="719"/>
      <c r="P339" s="719"/>
      <c r="Q339" s="716"/>
      <c r="R339" s="751"/>
      <c r="S339" s="719"/>
      <c r="T339" s="719"/>
      <c r="U339" s="720"/>
    </row>
    <row r="340">
      <c r="A340" s="735">
        <v>45861.0</v>
      </c>
      <c r="B340" s="722" t="s">
        <v>4848</v>
      </c>
      <c r="C340" s="722" t="s">
        <v>4849</v>
      </c>
      <c r="D340" s="733" t="s">
        <v>4879</v>
      </c>
      <c r="E340" s="728"/>
      <c r="F340" s="728"/>
      <c r="G340" s="728"/>
      <c r="H340" s="728"/>
      <c r="I340" s="728"/>
      <c r="J340" s="729"/>
      <c r="K340" s="728"/>
      <c r="L340" s="728"/>
      <c r="M340" s="728"/>
      <c r="N340" s="728"/>
      <c r="O340" s="731"/>
      <c r="P340" s="731"/>
      <c r="Q340" s="729"/>
      <c r="R340" s="746"/>
      <c r="S340" s="731"/>
      <c r="T340" s="731"/>
      <c r="U340" s="732"/>
    </row>
    <row r="341">
      <c r="A341" s="735">
        <v>45861.0</v>
      </c>
      <c r="B341" s="722" t="s">
        <v>4850</v>
      </c>
      <c r="C341" s="722" t="s">
        <v>4849</v>
      </c>
      <c r="D341" s="733" t="s">
        <v>4879</v>
      </c>
      <c r="E341" s="736"/>
      <c r="F341" s="736"/>
      <c r="G341" s="736"/>
      <c r="H341" s="736"/>
      <c r="I341" s="736"/>
      <c r="J341" s="737"/>
      <c r="K341" s="736"/>
      <c r="L341" s="736"/>
      <c r="M341" s="736"/>
      <c r="N341" s="736"/>
      <c r="O341" s="738"/>
      <c r="P341" s="738"/>
      <c r="Q341" s="737"/>
      <c r="R341" s="747"/>
      <c r="S341" s="738"/>
      <c r="T341" s="738"/>
      <c r="U341" s="739"/>
    </row>
    <row r="342">
      <c r="A342" s="721">
        <v>45861.0</v>
      </c>
      <c r="B342" s="722" t="s">
        <v>4851</v>
      </c>
      <c r="C342" s="722" t="s">
        <v>4849</v>
      </c>
      <c r="D342" s="733" t="s">
        <v>4879</v>
      </c>
      <c r="E342" s="736"/>
      <c r="F342" s="736"/>
      <c r="G342" s="736"/>
      <c r="H342" s="736"/>
      <c r="I342" s="736"/>
      <c r="J342" s="737"/>
      <c r="K342" s="736"/>
      <c r="L342" s="736"/>
      <c r="M342" s="736"/>
      <c r="N342" s="736"/>
      <c r="O342" s="738"/>
      <c r="P342" s="738"/>
      <c r="Q342" s="737"/>
      <c r="R342" s="747"/>
      <c r="S342" s="738"/>
      <c r="T342" s="738"/>
      <c r="U342" s="739"/>
    </row>
    <row r="343">
      <c r="A343" s="735">
        <v>45861.0</v>
      </c>
      <c r="B343" s="722" t="s">
        <v>4852</v>
      </c>
      <c r="C343" s="722" t="s">
        <v>4849</v>
      </c>
      <c r="D343" s="733" t="s">
        <v>4879</v>
      </c>
      <c r="E343" s="64">
        <v>106000.0</v>
      </c>
      <c r="F343" s="64">
        <v>-24150.0</v>
      </c>
      <c r="G343" s="723">
        <v>0.4076388888888889</v>
      </c>
      <c r="H343" s="13"/>
      <c r="I343" s="13"/>
      <c r="J343" s="756">
        <f t="shared" ref="J343:J344" si="96">SUM(K343:N343)</f>
        <v>-1974</v>
      </c>
      <c r="K343" s="757">
        <v>2137.0</v>
      </c>
      <c r="L343" s="758">
        <v>-4125.0</v>
      </c>
      <c r="M343" s="757">
        <v>7.0</v>
      </c>
      <c r="N343" s="757">
        <v>7.0</v>
      </c>
      <c r="O343" s="35"/>
      <c r="P343" s="35"/>
      <c r="Q343" s="726">
        <f t="shared" ref="Q343:Q344" si="97">J343/$E$343</f>
        <v>-0.01862264151</v>
      </c>
      <c r="R343" s="759"/>
      <c r="S343" s="35"/>
      <c r="T343" s="35"/>
      <c r="U343" s="727"/>
    </row>
    <row r="344">
      <c r="A344" s="735">
        <v>45861.0</v>
      </c>
      <c r="B344" s="722" t="s">
        <v>4853</v>
      </c>
      <c r="C344" s="722" t="s">
        <v>4849</v>
      </c>
      <c r="D344" s="733" t="s">
        <v>4879</v>
      </c>
      <c r="E344" s="13"/>
      <c r="F344" s="13"/>
      <c r="G344" s="13"/>
      <c r="H344" s="13"/>
      <c r="I344" s="13"/>
      <c r="J344" s="740">
        <f t="shared" si="96"/>
        <v>5843</v>
      </c>
      <c r="K344" s="757">
        <v>2933.0</v>
      </c>
      <c r="L344" s="757">
        <v>3188.0</v>
      </c>
      <c r="M344" s="758">
        <v>-139.0</v>
      </c>
      <c r="N344" s="758">
        <v>-139.0</v>
      </c>
      <c r="O344" s="35"/>
      <c r="P344" s="35"/>
      <c r="Q344" s="726">
        <f t="shared" si="97"/>
        <v>0.05512264151</v>
      </c>
      <c r="R344" s="759"/>
      <c r="S344" s="35"/>
      <c r="T344" s="35"/>
      <c r="U344" s="745"/>
    </row>
    <row r="345">
      <c r="A345" s="713"/>
      <c r="B345" s="714"/>
      <c r="C345" s="714"/>
      <c r="D345" s="733" t="s">
        <v>4879</v>
      </c>
      <c r="E345" s="714"/>
      <c r="F345" s="714"/>
      <c r="G345" s="714"/>
      <c r="H345" s="714"/>
      <c r="I345" s="714"/>
      <c r="J345" s="716"/>
      <c r="K345" s="717"/>
      <c r="L345" s="717"/>
      <c r="M345" s="717"/>
      <c r="N345" s="717"/>
      <c r="O345" s="719"/>
      <c r="P345" s="719"/>
      <c r="Q345" s="716"/>
      <c r="R345" s="751"/>
      <c r="S345" s="719"/>
      <c r="T345" s="719"/>
      <c r="U345" s="720"/>
    </row>
    <row r="346">
      <c r="A346" s="735">
        <v>45862.0</v>
      </c>
      <c r="B346" s="722" t="s">
        <v>4848</v>
      </c>
      <c r="C346" s="722" t="s">
        <v>4878</v>
      </c>
      <c r="D346" s="733" t="s">
        <v>4879</v>
      </c>
      <c r="E346" s="736"/>
      <c r="F346" s="736"/>
      <c r="G346" s="736"/>
      <c r="H346" s="736"/>
      <c r="I346" s="736"/>
      <c r="J346" s="737"/>
      <c r="K346" s="736"/>
      <c r="L346" s="736"/>
      <c r="M346" s="736"/>
      <c r="N346" s="736"/>
      <c r="O346" s="738"/>
      <c r="P346" s="738"/>
      <c r="Q346" s="737"/>
      <c r="R346" s="747"/>
      <c r="S346" s="738"/>
      <c r="T346" s="738"/>
      <c r="U346" s="739"/>
    </row>
    <row r="347">
      <c r="A347" s="735">
        <v>45862.0</v>
      </c>
      <c r="B347" s="722" t="s">
        <v>4850</v>
      </c>
      <c r="C347" s="722" t="s">
        <v>4878</v>
      </c>
      <c r="D347" s="733" t="s">
        <v>4879</v>
      </c>
      <c r="E347" s="736"/>
      <c r="F347" s="736"/>
      <c r="G347" s="736"/>
      <c r="H347" s="736"/>
      <c r="I347" s="736"/>
      <c r="J347" s="737"/>
      <c r="K347" s="736"/>
      <c r="L347" s="736"/>
      <c r="M347" s="736"/>
      <c r="N347" s="736"/>
      <c r="O347" s="738"/>
      <c r="P347" s="738"/>
      <c r="Q347" s="737"/>
      <c r="R347" s="747"/>
      <c r="S347" s="738"/>
      <c r="T347" s="738"/>
      <c r="U347" s="739"/>
    </row>
    <row r="348">
      <c r="A348" s="735">
        <v>45862.0</v>
      </c>
      <c r="B348" s="722" t="s">
        <v>4851</v>
      </c>
      <c r="C348" s="722" t="s">
        <v>4878</v>
      </c>
      <c r="D348" s="733" t="s">
        <v>4879</v>
      </c>
      <c r="E348" s="736"/>
      <c r="F348" s="736"/>
      <c r="G348" s="736"/>
      <c r="H348" s="736"/>
      <c r="I348" s="736"/>
      <c r="J348" s="737"/>
      <c r="K348" s="736"/>
      <c r="L348" s="736"/>
      <c r="M348" s="736"/>
      <c r="N348" s="736"/>
      <c r="O348" s="738"/>
      <c r="P348" s="738"/>
      <c r="Q348" s="737"/>
      <c r="R348" s="747"/>
      <c r="S348" s="738"/>
      <c r="T348" s="738"/>
      <c r="U348" s="739"/>
    </row>
    <row r="349">
      <c r="A349" s="721">
        <v>45862.0</v>
      </c>
      <c r="B349" s="722" t="s">
        <v>4852</v>
      </c>
      <c r="C349" s="722" t="s">
        <v>4878</v>
      </c>
      <c r="D349" s="733" t="s">
        <v>4879</v>
      </c>
      <c r="E349" s="736"/>
      <c r="F349" s="736"/>
      <c r="G349" s="736"/>
      <c r="H349" s="736"/>
      <c r="I349" s="736"/>
      <c r="J349" s="737"/>
      <c r="K349" s="736"/>
      <c r="L349" s="736"/>
      <c r="M349" s="736"/>
      <c r="N349" s="736"/>
      <c r="O349" s="738"/>
      <c r="P349" s="738"/>
      <c r="Q349" s="737"/>
      <c r="R349" s="747"/>
      <c r="S349" s="738"/>
      <c r="T349" s="738"/>
      <c r="U349" s="739"/>
    </row>
    <row r="350">
      <c r="A350" s="742">
        <v>45862.0</v>
      </c>
      <c r="B350" s="771" t="s">
        <v>4853</v>
      </c>
      <c r="C350" s="771" t="s">
        <v>4878</v>
      </c>
      <c r="D350" s="772" t="s">
        <v>4879</v>
      </c>
      <c r="E350" s="557"/>
      <c r="F350" s="557"/>
      <c r="G350" s="557"/>
      <c r="H350" s="557"/>
      <c r="I350" s="557"/>
      <c r="J350" s="760"/>
      <c r="K350" s="557"/>
      <c r="L350" s="557"/>
      <c r="M350" s="557"/>
      <c r="N350" s="557"/>
      <c r="O350" s="744"/>
      <c r="P350" s="744"/>
      <c r="Q350" s="760"/>
      <c r="R350" s="755"/>
      <c r="S350" s="744"/>
      <c r="T350" s="744"/>
      <c r="U350" s="773"/>
    </row>
    <row r="351">
      <c r="A351" s="713"/>
      <c r="B351" s="714"/>
      <c r="C351" s="714"/>
      <c r="D351" s="733" t="s">
        <v>4879</v>
      </c>
      <c r="E351" s="714"/>
      <c r="F351" s="714"/>
      <c r="G351" s="714"/>
      <c r="H351" s="714"/>
      <c r="I351" s="714"/>
      <c r="J351" s="716"/>
      <c r="K351" s="717" t="s">
        <v>4906</v>
      </c>
      <c r="L351" s="717" t="s">
        <v>4907</v>
      </c>
      <c r="M351" s="774" t="s">
        <v>4908</v>
      </c>
      <c r="N351" s="717" t="s">
        <v>4909</v>
      </c>
      <c r="O351" s="774" t="s">
        <v>4910</v>
      </c>
      <c r="P351" s="718" t="s">
        <v>4911</v>
      </c>
      <c r="Q351" s="719"/>
      <c r="R351" s="751"/>
      <c r="S351" s="719"/>
      <c r="T351" s="719"/>
      <c r="U351" s="720"/>
    </row>
    <row r="352">
      <c r="A352" s="735">
        <v>45856.0</v>
      </c>
      <c r="B352" s="722" t="s">
        <v>4848</v>
      </c>
      <c r="C352" s="762" t="s">
        <v>4891</v>
      </c>
      <c r="D352" s="733" t="s">
        <v>4879</v>
      </c>
      <c r="E352" s="736"/>
      <c r="F352" s="736"/>
      <c r="G352" s="736"/>
      <c r="H352" s="736"/>
      <c r="I352" s="736"/>
      <c r="J352" s="737"/>
      <c r="K352" s="736"/>
      <c r="L352" s="736"/>
      <c r="M352" s="736"/>
      <c r="N352" s="736"/>
      <c r="O352" s="738"/>
      <c r="P352" s="738"/>
      <c r="Q352" s="738"/>
      <c r="R352" s="747"/>
      <c r="S352" s="738"/>
      <c r="T352" s="738"/>
      <c r="U352" s="739"/>
    </row>
    <row r="353">
      <c r="A353" s="735">
        <v>45856.0</v>
      </c>
      <c r="B353" s="722" t="s">
        <v>4850</v>
      </c>
      <c r="C353" s="762" t="s">
        <v>4891</v>
      </c>
      <c r="D353" s="733" t="s">
        <v>4879</v>
      </c>
      <c r="E353" s="736"/>
      <c r="F353" s="736"/>
      <c r="G353" s="736"/>
      <c r="H353" s="736"/>
      <c r="I353" s="736"/>
      <c r="J353" s="737"/>
      <c r="K353" s="736"/>
      <c r="L353" s="736"/>
      <c r="M353" s="736"/>
      <c r="N353" s="736"/>
      <c r="O353" s="738"/>
      <c r="P353" s="738"/>
      <c r="Q353" s="738"/>
      <c r="R353" s="747"/>
      <c r="S353" s="738"/>
      <c r="T353" s="738"/>
      <c r="U353" s="739"/>
    </row>
    <row r="354">
      <c r="A354" s="735">
        <v>45856.0</v>
      </c>
      <c r="B354" s="722" t="s">
        <v>4851</v>
      </c>
      <c r="C354" s="762" t="s">
        <v>4891</v>
      </c>
      <c r="D354" s="733" t="s">
        <v>4879</v>
      </c>
      <c r="E354" s="736"/>
      <c r="F354" s="736"/>
      <c r="G354" s="736"/>
      <c r="H354" s="736"/>
      <c r="I354" s="736"/>
      <c r="J354" s="737"/>
      <c r="K354" s="736"/>
      <c r="L354" s="736"/>
      <c r="M354" s="736"/>
      <c r="N354" s="736"/>
      <c r="O354" s="738"/>
      <c r="P354" s="738"/>
      <c r="Q354" s="738"/>
      <c r="R354" s="747"/>
      <c r="S354" s="738"/>
      <c r="T354" s="738"/>
      <c r="U354" s="739"/>
    </row>
    <row r="355">
      <c r="A355" s="735">
        <v>45856.0</v>
      </c>
      <c r="B355" s="722" t="s">
        <v>4852</v>
      </c>
      <c r="C355" s="762" t="s">
        <v>4891</v>
      </c>
      <c r="D355" s="733" t="s">
        <v>4879</v>
      </c>
      <c r="E355" s="736"/>
      <c r="F355" s="736"/>
      <c r="G355" s="736"/>
      <c r="H355" s="736"/>
      <c r="I355" s="736"/>
      <c r="J355" s="737"/>
      <c r="K355" s="736"/>
      <c r="L355" s="736"/>
      <c r="M355" s="736"/>
      <c r="N355" s="736"/>
      <c r="O355" s="738"/>
      <c r="P355" s="738"/>
      <c r="Q355" s="738"/>
      <c r="R355" s="747"/>
      <c r="S355" s="738"/>
      <c r="T355" s="738"/>
      <c r="U355" s="739"/>
    </row>
    <row r="356">
      <c r="A356" s="721">
        <v>45856.0</v>
      </c>
      <c r="B356" s="771" t="s">
        <v>4853</v>
      </c>
      <c r="C356" s="762" t="s">
        <v>4891</v>
      </c>
      <c r="D356" s="733" t="s">
        <v>4879</v>
      </c>
      <c r="E356" s="64">
        <v>170000.0</v>
      </c>
      <c r="F356" s="64">
        <v>-65000.0</v>
      </c>
      <c r="G356" s="64" t="s">
        <v>4912</v>
      </c>
      <c r="H356" s="557"/>
      <c r="I356" s="557"/>
      <c r="J356" s="760">
        <f>sum(K356:P356)</f>
        <v>-784</v>
      </c>
      <c r="K356" s="557">
        <f>71</f>
        <v>71</v>
      </c>
      <c r="L356" s="743">
        <v>-2051.0</v>
      </c>
      <c r="M356" s="743">
        <v>146.0</v>
      </c>
      <c r="N356" s="743">
        <v>1091.0</v>
      </c>
      <c r="O356" s="775">
        <v>8.0</v>
      </c>
      <c r="P356" s="775">
        <v>-49.0</v>
      </c>
      <c r="Q356" s="726">
        <f>J356/$E$356</f>
        <v>-0.004611764706</v>
      </c>
      <c r="R356" s="776" t="s">
        <v>4913</v>
      </c>
      <c r="S356" s="777" t="s">
        <v>4914</v>
      </c>
      <c r="T356" s="777" t="s">
        <v>4915</v>
      </c>
      <c r="U356" s="777" t="s">
        <v>4916</v>
      </c>
    </row>
    <row r="357">
      <c r="A357" s="713"/>
      <c r="B357" s="714"/>
      <c r="C357" s="714"/>
      <c r="D357" s="733" t="s">
        <v>4879</v>
      </c>
      <c r="E357" s="714"/>
      <c r="F357" s="714"/>
      <c r="G357" s="714"/>
      <c r="H357" s="714"/>
      <c r="I357" s="714"/>
      <c r="J357" s="716"/>
      <c r="K357" s="717"/>
      <c r="L357" s="717"/>
      <c r="M357" s="717"/>
      <c r="N357" s="717"/>
      <c r="O357" s="719"/>
      <c r="P357" s="719"/>
      <c r="Q357" s="719"/>
      <c r="R357" s="751"/>
      <c r="S357" s="719"/>
      <c r="T357" s="719"/>
      <c r="U357" s="720"/>
    </row>
    <row r="358">
      <c r="A358" s="778"/>
      <c r="B358" s="722"/>
      <c r="C358" s="722"/>
      <c r="D358" s="722"/>
      <c r="E358" s="13"/>
      <c r="F358" s="13"/>
      <c r="G358" s="13"/>
      <c r="H358" s="13"/>
      <c r="I358" s="13"/>
      <c r="J358" s="13"/>
      <c r="K358" s="35"/>
      <c r="L358" s="35"/>
      <c r="M358" s="13"/>
      <c r="N358" s="13"/>
      <c r="O358" s="13"/>
      <c r="P358" s="13"/>
      <c r="Q358" s="13"/>
      <c r="R358" s="13"/>
      <c r="S358" s="779"/>
      <c r="T358" s="35"/>
      <c r="U358" s="35"/>
    </row>
    <row r="359">
      <c r="A359" s="780" t="s">
        <v>4523</v>
      </c>
      <c r="B359" s="781" t="s">
        <v>4661</v>
      </c>
      <c r="C359" s="782"/>
      <c r="D359" s="783" t="s">
        <v>82</v>
      </c>
      <c r="E359" s="781" t="s">
        <v>4662</v>
      </c>
      <c r="F359" s="782" t="s">
        <v>4917</v>
      </c>
      <c r="G359" s="784" t="s">
        <v>4663</v>
      </c>
      <c r="H359" s="785" t="s">
        <v>4664</v>
      </c>
      <c r="I359" s="785" t="s">
        <v>4665</v>
      </c>
      <c r="J359" s="785" t="s">
        <v>4666</v>
      </c>
      <c r="K359" s="785" t="s">
        <v>4667</v>
      </c>
      <c r="L359" s="786" t="s">
        <v>4668</v>
      </c>
      <c r="M359" s="787" t="s">
        <v>4918</v>
      </c>
      <c r="N359" s="787" t="s">
        <v>4919</v>
      </c>
      <c r="O359" s="781" t="s">
        <v>4361</v>
      </c>
      <c r="P359" s="788" t="s">
        <v>4382</v>
      </c>
      <c r="Q359" s="789" t="s">
        <v>4669</v>
      </c>
      <c r="R359" s="789"/>
      <c r="T359" s="741"/>
      <c r="U359" s="741"/>
    </row>
    <row r="360">
      <c r="A360" s="538">
        <v>45846.0</v>
      </c>
      <c r="B360" s="65">
        <v>244000.0</v>
      </c>
      <c r="C360" s="722" t="s">
        <v>4849</v>
      </c>
      <c r="D360" s="733" t="s">
        <v>4861</v>
      </c>
      <c r="E360" s="216" t="s">
        <v>4864</v>
      </c>
      <c r="F360" s="723">
        <v>0.4097222222222222</v>
      </c>
      <c r="G360" s="724">
        <v>2.0</v>
      </c>
      <c r="H360" s="790"/>
      <c r="I360" s="790"/>
      <c r="J360" s="757">
        <v>203.0</v>
      </c>
      <c r="K360" s="757">
        <v>2760.0</v>
      </c>
      <c r="L360" s="740">
        <v>4867.0</v>
      </c>
      <c r="M360" s="577"/>
      <c r="N360" s="577">
        <f t="shared" ref="N360:N362" si="98">L360</f>
        <v>4867</v>
      </c>
      <c r="O360" s="13">
        <f t="shared" ref="O360:O362" si="99">G360*68</f>
        <v>136</v>
      </c>
      <c r="P360" s="791">
        <f t="shared" ref="P360:P362" si="100">N360-O360</f>
        <v>4731</v>
      </c>
      <c r="Q360" s="792">
        <f t="shared" ref="Q360:Q362" si="101">P360/B360</f>
        <v>0.01938934426</v>
      </c>
      <c r="R360" s="792"/>
      <c r="T360" s="35"/>
      <c r="U360" s="35"/>
      <c r="V360" s="13"/>
    </row>
    <row r="361">
      <c r="A361" s="538">
        <v>45847.0</v>
      </c>
      <c r="B361" s="65">
        <v>239000.0</v>
      </c>
      <c r="C361" s="722" t="s">
        <v>4849</v>
      </c>
      <c r="D361" s="733" t="s">
        <v>4861</v>
      </c>
      <c r="E361" s="216" t="s">
        <v>4864</v>
      </c>
      <c r="F361" s="723">
        <v>0.39375</v>
      </c>
      <c r="G361" s="793">
        <v>2.0</v>
      </c>
      <c r="H361" s="790"/>
      <c r="I361" s="790"/>
      <c r="J361" s="790"/>
      <c r="K361" s="757">
        <v>172.0</v>
      </c>
      <c r="L361" s="740">
        <v>1192.0</v>
      </c>
      <c r="M361" s="577"/>
      <c r="N361" s="577">
        <f t="shared" si="98"/>
        <v>1192</v>
      </c>
      <c r="O361" s="13">
        <f t="shared" si="99"/>
        <v>136</v>
      </c>
      <c r="P361" s="791">
        <f t="shared" si="100"/>
        <v>1056</v>
      </c>
      <c r="Q361" s="792">
        <f t="shared" si="101"/>
        <v>0.004418410042</v>
      </c>
      <c r="R361" s="792"/>
      <c r="T361" s="794"/>
      <c r="U361" s="794"/>
      <c r="V361" s="13"/>
    </row>
    <row r="362">
      <c r="A362" s="553">
        <v>45848.0</v>
      </c>
      <c r="B362" s="795">
        <v>319000.0</v>
      </c>
      <c r="C362" s="771" t="s">
        <v>4849</v>
      </c>
      <c r="D362" s="772" t="s">
        <v>4861</v>
      </c>
      <c r="E362" s="743" t="s">
        <v>4864</v>
      </c>
      <c r="F362" s="753">
        <v>0.4215277777777778</v>
      </c>
      <c r="G362" s="796">
        <v>2.0</v>
      </c>
      <c r="H362" s="790"/>
      <c r="I362" s="790"/>
      <c r="J362" s="790"/>
      <c r="K362" s="790"/>
      <c r="L362" s="740">
        <v>569.0</v>
      </c>
      <c r="M362" s="577"/>
      <c r="N362" s="577">
        <f t="shared" si="98"/>
        <v>569</v>
      </c>
      <c r="O362" s="13">
        <f t="shared" si="99"/>
        <v>136</v>
      </c>
      <c r="P362" s="791">
        <f t="shared" si="100"/>
        <v>433</v>
      </c>
      <c r="Q362" s="792">
        <f t="shared" si="101"/>
        <v>0.001357366771</v>
      </c>
      <c r="R362" s="792"/>
      <c r="T362" s="35"/>
      <c r="U362" s="35"/>
      <c r="V362" s="13"/>
    </row>
    <row r="363">
      <c r="A363" s="797" t="s">
        <v>4551</v>
      </c>
      <c r="B363" s="798">
        <f>sum(B360:B362)</f>
        <v>802000</v>
      </c>
      <c r="C363" s="799"/>
      <c r="D363" s="772" t="s">
        <v>4861</v>
      </c>
      <c r="E363" s="800"/>
      <c r="F363" s="801"/>
      <c r="G363" s="802"/>
      <c r="H363" s="800">
        <f t="shared" ref="H363:L363" si="102">sum(H360:H362)</f>
        <v>0</v>
      </c>
      <c r="I363" s="800">
        <f t="shared" si="102"/>
        <v>0</v>
      </c>
      <c r="J363" s="800">
        <f t="shared" si="102"/>
        <v>203</v>
      </c>
      <c r="K363" s="800">
        <f t="shared" si="102"/>
        <v>2932</v>
      </c>
      <c r="L363" s="802">
        <f t="shared" si="102"/>
        <v>6628</v>
      </c>
      <c r="M363" s="802"/>
      <c r="N363" s="802">
        <f t="shared" ref="N363:P363" si="103">sum(N360:N362)</f>
        <v>6628</v>
      </c>
      <c r="O363" s="802">
        <f t="shared" si="103"/>
        <v>408</v>
      </c>
      <c r="P363" s="802">
        <f t="shared" si="103"/>
        <v>6220</v>
      </c>
      <c r="Q363" s="803">
        <f>N363/B363</f>
        <v>0.008264339152</v>
      </c>
      <c r="R363" s="803"/>
      <c r="T363" s="35"/>
      <c r="U363" s="35"/>
      <c r="V363" s="13"/>
    </row>
    <row r="364">
      <c r="A364" s="804">
        <v>45849.0</v>
      </c>
      <c r="B364" s="805">
        <v>232000.0</v>
      </c>
      <c r="C364" s="722" t="s">
        <v>4849</v>
      </c>
      <c r="D364" s="806" t="s">
        <v>4868</v>
      </c>
      <c r="E364" s="805" t="s">
        <v>4864</v>
      </c>
      <c r="F364" s="807">
        <v>0.4270833333333333</v>
      </c>
      <c r="G364" s="808">
        <v>2.0</v>
      </c>
      <c r="H364" s="758">
        <v>-420.0</v>
      </c>
      <c r="I364" s="757">
        <v>623.0</v>
      </c>
      <c r="J364" s="757">
        <v>2317.0</v>
      </c>
      <c r="K364" s="757">
        <v>2662.0</v>
      </c>
      <c r="L364" s="740">
        <v>3022.0</v>
      </c>
      <c r="M364" s="577"/>
      <c r="N364" s="577">
        <f t="shared" ref="N364:N366" si="104">L364</f>
        <v>3022</v>
      </c>
      <c r="O364" s="13">
        <f t="shared" ref="O364:O366" si="105">G364*68</f>
        <v>136</v>
      </c>
      <c r="P364" s="791">
        <f t="shared" ref="P364:P366" si="106">N364-O364</f>
        <v>2886</v>
      </c>
      <c r="Q364" s="792">
        <f t="shared" ref="Q364:Q366" si="107">P364/B364</f>
        <v>0.01243965517</v>
      </c>
      <c r="R364" s="792"/>
      <c r="T364" s="35"/>
      <c r="U364" s="35"/>
      <c r="V364" s="13"/>
    </row>
    <row r="365">
      <c r="A365" s="538">
        <v>45852.0</v>
      </c>
      <c r="B365" s="64">
        <v>234000.0</v>
      </c>
      <c r="C365" s="722" t="s">
        <v>4849</v>
      </c>
      <c r="D365" s="715" t="s">
        <v>4868</v>
      </c>
      <c r="E365" s="64">
        <v>-76552.0</v>
      </c>
      <c r="F365" s="723">
        <v>0.5388888888888889</v>
      </c>
      <c r="G365" s="724">
        <v>4.0</v>
      </c>
      <c r="H365" s="790"/>
      <c r="I365" s="758">
        <v>-203.0</v>
      </c>
      <c r="J365" s="757">
        <v>278.0</v>
      </c>
      <c r="K365" s="757">
        <v>1417.0</v>
      </c>
      <c r="L365" s="740">
        <v>2197.0</v>
      </c>
      <c r="M365" s="577"/>
      <c r="N365" s="577">
        <f t="shared" si="104"/>
        <v>2197</v>
      </c>
      <c r="O365" s="13">
        <f t="shared" si="105"/>
        <v>272</v>
      </c>
      <c r="P365" s="791">
        <f t="shared" si="106"/>
        <v>1925</v>
      </c>
      <c r="Q365" s="792">
        <f t="shared" si="107"/>
        <v>0.008226495726</v>
      </c>
      <c r="R365" s="792"/>
      <c r="T365" s="35"/>
      <c r="U365" s="35"/>
      <c r="V365" s="13"/>
    </row>
    <row r="366">
      <c r="A366" s="538">
        <v>45853.0</v>
      </c>
      <c r="B366" s="64">
        <v>228000.0</v>
      </c>
      <c r="C366" s="722" t="s">
        <v>4849</v>
      </c>
      <c r="D366" s="715" t="s">
        <v>4868</v>
      </c>
      <c r="E366" s="64">
        <v>-148000.0</v>
      </c>
      <c r="F366" s="723">
        <v>0.47291666666666665</v>
      </c>
      <c r="G366" s="724">
        <v>4.0</v>
      </c>
      <c r="H366" s="790"/>
      <c r="I366" s="790"/>
      <c r="J366" s="757">
        <v>803.0</v>
      </c>
      <c r="K366" s="757">
        <v>1627.0</v>
      </c>
      <c r="L366" s="740">
        <v>2399.0</v>
      </c>
      <c r="M366" s="577"/>
      <c r="N366" s="577">
        <f t="shared" si="104"/>
        <v>2399</v>
      </c>
      <c r="O366" s="13">
        <f t="shared" si="105"/>
        <v>272</v>
      </c>
      <c r="P366" s="791">
        <f t="shared" si="106"/>
        <v>2127</v>
      </c>
      <c r="Q366" s="792">
        <f t="shared" si="107"/>
        <v>0.009328947368</v>
      </c>
      <c r="R366" s="792"/>
      <c r="T366" s="35"/>
      <c r="U366" s="35"/>
      <c r="V366" s="13"/>
    </row>
    <row r="367">
      <c r="A367" s="538">
        <v>45854.0</v>
      </c>
      <c r="B367" s="64"/>
      <c r="C367" s="722" t="s">
        <v>4878</v>
      </c>
      <c r="D367" s="715" t="s">
        <v>4868</v>
      </c>
      <c r="E367" s="64"/>
      <c r="F367" s="13"/>
      <c r="G367" s="724"/>
      <c r="H367" s="790"/>
      <c r="I367" s="790"/>
      <c r="J367" s="790"/>
      <c r="K367" s="64" t="s">
        <v>65</v>
      </c>
      <c r="L367" s="724" t="s">
        <v>65</v>
      </c>
      <c r="M367" s="577"/>
      <c r="N367" s="577"/>
      <c r="O367" s="13"/>
      <c r="P367" s="791"/>
      <c r="Q367" s="577"/>
      <c r="R367" s="577"/>
      <c r="T367" s="35"/>
      <c r="U367" s="35"/>
      <c r="V367" s="13"/>
    </row>
    <row r="368">
      <c r="A368" s="553">
        <v>45855.0</v>
      </c>
      <c r="B368" s="743"/>
      <c r="C368" s="771" t="s">
        <v>4878</v>
      </c>
      <c r="D368" s="809" t="s">
        <v>4868</v>
      </c>
      <c r="E368" s="743"/>
      <c r="F368" s="557"/>
      <c r="G368" s="796"/>
      <c r="H368" s="790"/>
      <c r="I368" s="790"/>
      <c r="J368" s="790"/>
      <c r="K368" s="790"/>
      <c r="L368" s="724" t="s">
        <v>65</v>
      </c>
      <c r="M368" s="760"/>
      <c r="N368" s="760"/>
      <c r="O368" s="557"/>
      <c r="P368" s="810"/>
      <c r="Q368" s="760"/>
      <c r="R368" s="760"/>
      <c r="T368" s="35"/>
      <c r="U368" s="35"/>
      <c r="V368" s="13"/>
    </row>
    <row r="369">
      <c r="A369" s="797" t="s">
        <v>4551</v>
      </c>
      <c r="B369" s="800">
        <f>sum(B364:B368)</f>
        <v>694000</v>
      </c>
      <c r="C369" s="799"/>
      <c r="D369" s="715" t="s">
        <v>4868</v>
      </c>
      <c r="E369" s="800"/>
      <c r="F369" s="801"/>
      <c r="G369" s="802"/>
      <c r="H369" s="800">
        <f t="shared" ref="H369:L369" si="108">sum(H364:H368)</f>
        <v>-420</v>
      </c>
      <c r="I369" s="800">
        <f t="shared" si="108"/>
        <v>420</v>
      </c>
      <c r="J369" s="800">
        <f t="shared" si="108"/>
        <v>3398</v>
      </c>
      <c r="K369" s="800">
        <f t="shared" si="108"/>
        <v>5706</v>
      </c>
      <c r="L369" s="802">
        <f t="shared" si="108"/>
        <v>7618</v>
      </c>
      <c r="M369" s="802"/>
      <c r="N369" s="802">
        <f t="shared" ref="N369:P369" si="109">sum(N364:N368)</f>
        <v>7618</v>
      </c>
      <c r="O369" s="802">
        <f t="shared" si="109"/>
        <v>680</v>
      </c>
      <c r="P369" s="802">
        <f t="shared" si="109"/>
        <v>6938</v>
      </c>
      <c r="Q369" s="811">
        <f t="shared" ref="Q369:Q373" si="110">P369/B369</f>
        <v>0.009997118156</v>
      </c>
      <c r="R369" s="811"/>
      <c r="T369" s="35"/>
      <c r="U369" s="35"/>
      <c r="V369" s="13"/>
    </row>
    <row r="370">
      <c r="A370" s="804">
        <v>45856.0</v>
      </c>
      <c r="B370" s="805">
        <v>132000.0</v>
      </c>
      <c r="C370" s="722" t="s">
        <v>4849</v>
      </c>
      <c r="D370" s="812" t="s">
        <v>4879</v>
      </c>
      <c r="E370" s="805">
        <v>-38280.0</v>
      </c>
      <c r="F370" s="807">
        <v>0.38680555555555557</v>
      </c>
      <c r="G370" s="808">
        <v>4.0</v>
      </c>
      <c r="H370" s="758">
        <v>-1717.0</v>
      </c>
      <c r="I370" s="757">
        <v>4856.0</v>
      </c>
      <c r="J370" s="757">
        <v>5588.0</v>
      </c>
      <c r="K370" s="757">
        <v>8813.0</v>
      </c>
      <c r="L370" s="740">
        <v>11573.0</v>
      </c>
      <c r="M370" s="577"/>
      <c r="N370" s="577">
        <f t="shared" ref="N370:N373" si="111">L370</f>
        <v>11573</v>
      </c>
      <c r="O370" s="13">
        <f t="shared" ref="O370:O373" si="112">G370*68</f>
        <v>272</v>
      </c>
      <c r="P370" s="791">
        <f t="shared" ref="P370:P373" si="113">N370-O370</f>
        <v>11301</v>
      </c>
      <c r="Q370" s="792">
        <f t="shared" si="110"/>
        <v>0.08561363636</v>
      </c>
      <c r="R370" s="792"/>
      <c r="T370" s="35"/>
      <c r="U370" s="35"/>
      <c r="V370" s="13"/>
    </row>
    <row r="371">
      <c r="A371" s="538">
        <v>45859.0</v>
      </c>
      <c r="B371" s="64">
        <v>130000.0</v>
      </c>
      <c r="C371" s="722" t="s">
        <v>4849</v>
      </c>
      <c r="D371" s="733" t="s">
        <v>4879</v>
      </c>
      <c r="E371" s="64">
        <v>-40000.0</v>
      </c>
      <c r="F371" s="723">
        <v>0.38680555555555557</v>
      </c>
      <c r="G371" s="724">
        <v>4.0</v>
      </c>
      <c r="H371" s="790"/>
      <c r="I371" s="758">
        <v>-1327.0</v>
      </c>
      <c r="J371" s="757">
        <v>2439.0</v>
      </c>
      <c r="K371" s="758">
        <v>-5123.0</v>
      </c>
      <c r="L371" s="740">
        <v>8201.0</v>
      </c>
      <c r="M371" s="577"/>
      <c r="N371" s="577">
        <f t="shared" si="111"/>
        <v>8201</v>
      </c>
      <c r="O371" s="13">
        <f t="shared" si="112"/>
        <v>272</v>
      </c>
      <c r="P371" s="791">
        <f t="shared" si="113"/>
        <v>7929</v>
      </c>
      <c r="Q371" s="792">
        <f t="shared" si="110"/>
        <v>0.06099230769</v>
      </c>
      <c r="R371" s="792"/>
      <c r="T371" s="35"/>
      <c r="U371" s="35"/>
      <c r="V371" s="13"/>
    </row>
    <row r="372">
      <c r="A372" s="538">
        <v>45860.0</v>
      </c>
      <c r="B372" s="65">
        <v>144000.0</v>
      </c>
      <c r="C372" s="762" t="s">
        <v>4891</v>
      </c>
      <c r="D372" s="733" t="s">
        <v>4879</v>
      </c>
      <c r="E372" s="64">
        <v>167.35</v>
      </c>
      <c r="F372" s="723">
        <v>0.4395833333333333</v>
      </c>
      <c r="G372" s="724">
        <v>4.0</v>
      </c>
      <c r="H372" s="790"/>
      <c r="I372" s="790"/>
      <c r="J372" s="757">
        <v>1530.0</v>
      </c>
      <c r="K372" s="758">
        <v>-160.75</v>
      </c>
      <c r="L372" s="740">
        <v>4073.0</v>
      </c>
      <c r="M372" s="577"/>
      <c r="N372" s="577">
        <f t="shared" si="111"/>
        <v>4073</v>
      </c>
      <c r="O372" s="13">
        <f t="shared" si="112"/>
        <v>272</v>
      </c>
      <c r="P372" s="791">
        <f t="shared" si="113"/>
        <v>3801</v>
      </c>
      <c r="Q372" s="792">
        <f t="shared" si="110"/>
        <v>0.02639583333</v>
      </c>
      <c r="R372" s="792"/>
    </row>
    <row r="373">
      <c r="A373" s="538">
        <v>45861.0</v>
      </c>
      <c r="B373" s="64">
        <v>106000.0</v>
      </c>
      <c r="C373" s="722" t="s">
        <v>4849</v>
      </c>
      <c r="D373" s="733" t="s">
        <v>4879</v>
      </c>
      <c r="E373" s="64">
        <v>-24150.0</v>
      </c>
      <c r="F373" s="723">
        <v>0.4076388888888889</v>
      </c>
      <c r="G373" s="724">
        <v>4.0</v>
      </c>
      <c r="H373" s="790"/>
      <c r="I373" s="790"/>
      <c r="J373" s="790"/>
      <c r="K373" s="758">
        <v>-1974.0</v>
      </c>
      <c r="L373" s="740">
        <v>5843.0</v>
      </c>
      <c r="M373" s="577"/>
      <c r="N373" s="577">
        <f t="shared" si="111"/>
        <v>5843</v>
      </c>
      <c r="O373" s="13">
        <f t="shared" si="112"/>
        <v>272</v>
      </c>
      <c r="P373" s="791">
        <f t="shared" si="113"/>
        <v>5571</v>
      </c>
      <c r="Q373" s="792">
        <f t="shared" si="110"/>
        <v>0.05255660377</v>
      </c>
      <c r="R373" s="792"/>
    </row>
    <row r="374">
      <c r="A374" s="553">
        <v>45862.0</v>
      </c>
      <c r="B374" s="557"/>
      <c r="C374" s="771" t="s">
        <v>4878</v>
      </c>
      <c r="D374" s="772" t="s">
        <v>4879</v>
      </c>
      <c r="E374" s="557"/>
      <c r="F374" s="557"/>
      <c r="G374" s="796" t="s">
        <v>65</v>
      </c>
      <c r="H374" s="790"/>
      <c r="I374" s="790"/>
      <c r="J374" s="790"/>
      <c r="K374" s="790"/>
      <c r="L374" s="724" t="s">
        <v>65</v>
      </c>
      <c r="M374" s="760"/>
      <c r="N374" s="760"/>
      <c r="O374" s="557"/>
      <c r="P374" s="810"/>
      <c r="Q374" s="760"/>
      <c r="R374" s="760"/>
    </row>
    <row r="375">
      <c r="A375" s="797" t="s">
        <v>4551</v>
      </c>
      <c r="B375" s="800">
        <f>sum(B370:B374)</f>
        <v>512000</v>
      </c>
      <c r="C375" s="800"/>
      <c r="D375" s="813" t="s">
        <v>4879</v>
      </c>
      <c r="E375" s="800"/>
      <c r="F375" s="814"/>
      <c r="G375" s="802"/>
      <c r="H375" s="800">
        <f t="shared" ref="H375:L375" si="114">sum(H370:H374)</f>
        <v>-1717</v>
      </c>
      <c r="I375" s="800">
        <f t="shared" si="114"/>
        <v>3529</v>
      </c>
      <c r="J375" s="800">
        <f t="shared" si="114"/>
        <v>9557</v>
      </c>
      <c r="K375" s="800">
        <f t="shared" si="114"/>
        <v>1555.25</v>
      </c>
      <c r="L375" s="802">
        <f t="shared" si="114"/>
        <v>29690</v>
      </c>
      <c r="M375" s="802"/>
      <c r="N375" s="802">
        <f t="shared" ref="N375:P375" si="115">sum(N370:N374)</f>
        <v>29690</v>
      </c>
      <c r="O375" s="802">
        <f t="shared" si="115"/>
        <v>1088</v>
      </c>
      <c r="P375" s="802">
        <f t="shared" si="115"/>
        <v>28602</v>
      </c>
      <c r="Q375" s="803">
        <f t="shared" ref="Q375:Q379" si="116">P375/B375</f>
        <v>0.05586328125</v>
      </c>
      <c r="R375" s="803"/>
    </row>
    <row r="376">
      <c r="A376" s="815">
        <v>45866.0</v>
      </c>
      <c r="B376" s="64">
        <v>170000.0</v>
      </c>
      <c r="C376" s="762" t="s">
        <v>4891</v>
      </c>
      <c r="D376" s="715" t="s">
        <v>4920</v>
      </c>
      <c r="E376" s="64">
        <v>-65000.0</v>
      </c>
      <c r="F376" s="64" t="s">
        <v>4912</v>
      </c>
      <c r="G376" s="808">
        <v>7.0</v>
      </c>
      <c r="H376" s="758">
        <v>-784.0</v>
      </c>
      <c r="I376" s="64"/>
      <c r="J376" s="64"/>
      <c r="K376" s="64"/>
      <c r="L376" s="724"/>
      <c r="M376" s="724">
        <v>-228.75</v>
      </c>
      <c r="N376" s="577">
        <f>H376+M376</f>
        <v>-1012.75</v>
      </c>
      <c r="O376" s="13">
        <f t="shared" ref="O376:O379" si="117">G376*68</f>
        <v>476</v>
      </c>
      <c r="P376" s="791">
        <f t="shared" ref="P376:P379" si="118">N376-O376</f>
        <v>-1488.75</v>
      </c>
      <c r="Q376" s="792">
        <f t="shared" si="116"/>
        <v>-0.008757352941</v>
      </c>
      <c r="R376" s="792"/>
    </row>
    <row r="377">
      <c r="A377" s="815">
        <v>45867.0</v>
      </c>
      <c r="B377" s="64"/>
      <c r="C377" s="722" t="s">
        <v>4849</v>
      </c>
      <c r="D377" s="715" t="s">
        <v>4920</v>
      </c>
      <c r="E377" s="64"/>
      <c r="F377" s="723"/>
      <c r="G377" s="724"/>
      <c r="H377" s="790"/>
      <c r="I377" s="64"/>
      <c r="J377" s="64"/>
      <c r="K377" s="64"/>
      <c r="L377" s="724"/>
      <c r="M377" s="577"/>
      <c r="N377" s="577" t="str">
        <f t="shared" ref="N377:N379" si="119">L377</f>
        <v/>
      </c>
      <c r="O377" s="13">
        <f t="shared" si="117"/>
        <v>0</v>
      </c>
      <c r="P377" s="791">
        <f t="shared" si="118"/>
        <v>0</v>
      </c>
      <c r="Q377" s="792" t="str">
        <f t="shared" si="116"/>
        <v>#DIV/0!</v>
      </c>
      <c r="R377" s="792"/>
    </row>
    <row r="378">
      <c r="A378" s="815">
        <v>45868.0</v>
      </c>
      <c r="B378" s="65"/>
      <c r="C378" s="722" t="s">
        <v>4849</v>
      </c>
      <c r="D378" s="715" t="s">
        <v>4920</v>
      </c>
      <c r="E378" s="64"/>
      <c r="F378" s="723"/>
      <c r="G378" s="724"/>
      <c r="H378" s="790"/>
      <c r="I378" s="790"/>
      <c r="J378" s="64"/>
      <c r="K378" s="64"/>
      <c r="L378" s="724"/>
      <c r="M378" s="577"/>
      <c r="N378" s="577" t="str">
        <f t="shared" si="119"/>
        <v/>
      </c>
      <c r="O378" s="13">
        <f t="shared" si="117"/>
        <v>0</v>
      </c>
      <c r="P378" s="791">
        <f t="shared" si="118"/>
        <v>0</v>
      </c>
      <c r="Q378" s="792" t="str">
        <f t="shared" si="116"/>
        <v>#DIV/0!</v>
      </c>
      <c r="R378" s="792"/>
    </row>
    <row r="379">
      <c r="A379" s="815">
        <v>45869.0</v>
      </c>
      <c r="B379" s="64"/>
      <c r="C379" s="722" t="s">
        <v>4849</v>
      </c>
      <c r="D379" s="715" t="s">
        <v>4920</v>
      </c>
      <c r="E379" s="64"/>
      <c r="F379" s="723"/>
      <c r="G379" s="724"/>
      <c r="H379" s="790"/>
      <c r="I379" s="790"/>
      <c r="J379" s="790"/>
      <c r="K379" s="64"/>
      <c r="L379" s="724"/>
      <c r="M379" s="577"/>
      <c r="N379" s="577" t="str">
        <f t="shared" si="119"/>
        <v/>
      </c>
      <c r="O379" s="13">
        <f t="shared" si="117"/>
        <v>0</v>
      </c>
      <c r="P379" s="791">
        <f t="shared" si="118"/>
        <v>0</v>
      </c>
      <c r="Q379" s="792" t="str">
        <f t="shared" si="116"/>
        <v>#DIV/0!</v>
      </c>
      <c r="R379" s="792"/>
    </row>
    <row r="380">
      <c r="A380" s="815">
        <v>45870.0</v>
      </c>
      <c r="B380" s="557"/>
      <c r="C380" s="722" t="s">
        <v>4878</v>
      </c>
      <c r="D380" s="715" t="s">
        <v>4920</v>
      </c>
      <c r="E380" s="557"/>
      <c r="F380" s="557"/>
      <c r="G380" s="796"/>
      <c r="H380" s="790"/>
      <c r="I380" s="790"/>
      <c r="J380" s="790"/>
      <c r="K380" s="790"/>
      <c r="L380" s="724"/>
      <c r="M380" s="760"/>
      <c r="N380" s="760"/>
      <c r="O380" s="557"/>
      <c r="P380" s="810"/>
      <c r="Q380" s="760"/>
      <c r="R380" s="760"/>
    </row>
    <row r="381">
      <c r="A381" s="797" t="s">
        <v>4551</v>
      </c>
      <c r="B381" s="800">
        <f>sum(B376:B380)</f>
        <v>170000</v>
      </c>
      <c r="C381" s="800"/>
      <c r="D381" s="816" t="s">
        <v>4920</v>
      </c>
      <c r="E381" s="800"/>
      <c r="F381" s="814"/>
      <c r="G381" s="802"/>
      <c r="H381" s="800">
        <f t="shared" ref="H381:L381" si="120">sum(H376:H380)</f>
        <v>-784</v>
      </c>
      <c r="I381" s="800">
        <f t="shared" si="120"/>
        <v>0</v>
      </c>
      <c r="J381" s="800">
        <f t="shared" si="120"/>
        <v>0</v>
      </c>
      <c r="K381" s="800">
        <f t="shared" si="120"/>
        <v>0</v>
      </c>
      <c r="L381" s="802">
        <f t="shared" si="120"/>
        <v>0</v>
      </c>
      <c r="M381" s="802"/>
      <c r="N381" s="802">
        <f t="shared" ref="N381:P381" si="121">sum(N376:N380)</f>
        <v>-1012.75</v>
      </c>
      <c r="O381" s="802">
        <f t="shared" si="121"/>
        <v>476</v>
      </c>
      <c r="P381" s="802">
        <f t="shared" si="121"/>
        <v>-1488.75</v>
      </c>
      <c r="Q381" s="803">
        <f>P381/B381</f>
        <v>-0.008757352941</v>
      </c>
      <c r="R381" s="803"/>
    </row>
    <row r="382">
      <c r="A382" s="815"/>
      <c r="B382" s="64"/>
      <c r="C382" s="64"/>
      <c r="D382" s="715"/>
      <c r="E382" s="64"/>
      <c r="G382" s="64"/>
      <c r="H382" s="64"/>
      <c r="I382" s="64"/>
      <c r="J382" s="64"/>
      <c r="K382" s="64"/>
      <c r="L382" s="64"/>
      <c r="M382" s="64"/>
      <c r="N382" s="64"/>
      <c r="O382" s="64"/>
      <c r="P382" s="725"/>
      <c r="Q382" s="725"/>
    </row>
    <row r="387">
      <c r="A387" s="817" t="s">
        <v>4523</v>
      </c>
      <c r="B387" s="817" t="s">
        <v>4424</v>
      </c>
      <c r="C387" s="817" t="s">
        <v>4921</v>
      </c>
      <c r="D387" s="817" t="s">
        <v>4917</v>
      </c>
      <c r="E387" s="817" t="s">
        <v>4922</v>
      </c>
      <c r="F387" s="817" t="s">
        <v>4382</v>
      </c>
      <c r="G387" s="818" t="s">
        <v>4560</v>
      </c>
      <c r="H387" s="818" t="s">
        <v>4562</v>
      </c>
      <c r="I387" s="819" t="s">
        <v>4923</v>
      </c>
    </row>
    <row r="388">
      <c r="A388" s="820">
        <v>45870.0</v>
      </c>
      <c r="B388" s="65">
        <v>-1024.0</v>
      </c>
      <c r="C388" s="64">
        <v>12.0</v>
      </c>
      <c r="D388" s="13">
        <f t="shared" ref="D388:D397" si="122">C388/2</f>
        <v>6</v>
      </c>
      <c r="E388" s="13">
        <f t="shared" ref="E388:E397" si="123">D388*68</f>
        <v>408</v>
      </c>
      <c r="F388" s="821">
        <f t="shared" ref="F388:F397" si="124">B388-E388</f>
        <v>-1432</v>
      </c>
      <c r="G388" s="749" t="s">
        <v>4924</v>
      </c>
      <c r="H388" s="822" t="s">
        <v>4925</v>
      </c>
      <c r="I388" s="823"/>
    </row>
    <row r="389">
      <c r="A389" s="820">
        <v>45873.0</v>
      </c>
      <c r="B389" s="821">
        <v>2632.000000000001</v>
      </c>
      <c r="C389" s="64">
        <v>6.0</v>
      </c>
      <c r="D389" s="13">
        <f t="shared" si="122"/>
        <v>3</v>
      </c>
      <c r="E389" s="13">
        <f t="shared" si="123"/>
        <v>204</v>
      </c>
      <c r="F389" s="821">
        <f t="shared" si="124"/>
        <v>2428</v>
      </c>
      <c r="G389" s="824" t="s">
        <v>4926</v>
      </c>
      <c r="H389" s="825" t="s">
        <v>4927</v>
      </c>
      <c r="I389" s="823"/>
    </row>
    <row r="390">
      <c r="A390" s="820">
        <v>45874.0</v>
      </c>
      <c r="B390" s="821">
        <v>-1235.4999999999984</v>
      </c>
      <c r="C390" s="64">
        <v>8.0</v>
      </c>
      <c r="D390" s="13">
        <f t="shared" si="122"/>
        <v>4</v>
      </c>
      <c r="E390" s="13">
        <f t="shared" si="123"/>
        <v>272</v>
      </c>
      <c r="F390" s="821">
        <f t="shared" si="124"/>
        <v>-1507.5</v>
      </c>
      <c r="G390" s="824" t="s">
        <v>4928</v>
      </c>
      <c r="H390" s="826" t="s">
        <v>4929</v>
      </c>
      <c r="I390" s="827" t="s">
        <v>4930</v>
      </c>
    </row>
    <row r="391">
      <c r="A391" s="820">
        <v>45875.0</v>
      </c>
      <c r="B391" s="64">
        <v>-1790.0</v>
      </c>
      <c r="C391" s="64">
        <v>4.0</v>
      </c>
      <c r="D391" s="13">
        <f t="shared" si="122"/>
        <v>2</v>
      </c>
      <c r="E391" s="13">
        <f t="shared" si="123"/>
        <v>136</v>
      </c>
      <c r="F391" s="13">
        <f t="shared" si="124"/>
        <v>-1926</v>
      </c>
      <c r="G391" s="824" t="s">
        <v>4931</v>
      </c>
      <c r="H391" s="825" t="s">
        <v>4932</v>
      </c>
      <c r="I391" s="828" t="s">
        <v>4933</v>
      </c>
    </row>
    <row r="392">
      <c r="A392" s="820">
        <v>45876.0</v>
      </c>
      <c r="B392" s="64">
        <v>-38.0</v>
      </c>
      <c r="C392" s="64">
        <v>12.0</v>
      </c>
      <c r="D392" s="13">
        <f t="shared" si="122"/>
        <v>6</v>
      </c>
      <c r="E392" s="13">
        <f t="shared" si="123"/>
        <v>408</v>
      </c>
      <c r="F392" s="13">
        <f t="shared" si="124"/>
        <v>-446</v>
      </c>
      <c r="G392" s="824" t="s">
        <v>4934</v>
      </c>
      <c r="H392" s="825" t="s">
        <v>4935</v>
      </c>
      <c r="I392" s="829" t="s">
        <v>4936</v>
      </c>
    </row>
    <row r="393">
      <c r="A393" s="820">
        <v>45877.0</v>
      </c>
      <c r="B393" s="64">
        <v>-792.0</v>
      </c>
      <c r="C393" s="64">
        <v>6.0</v>
      </c>
      <c r="D393" s="13">
        <f t="shared" si="122"/>
        <v>3</v>
      </c>
      <c r="E393" s="13">
        <f t="shared" si="123"/>
        <v>204</v>
      </c>
      <c r="F393" s="13">
        <f t="shared" si="124"/>
        <v>-996</v>
      </c>
      <c r="G393" s="13"/>
      <c r="H393" s="13"/>
      <c r="I393" s="830" t="s">
        <v>4937</v>
      </c>
    </row>
    <row r="394">
      <c r="A394" s="820">
        <v>45880.0</v>
      </c>
      <c r="B394" s="64">
        <v>-2184.0</v>
      </c>
      <c r="C394" s="64">
        <v>4.0</v>
      </c>
      <c r="D394" s="13">
        <f t="shared" si="122"/>
        <v>2</v>
      </c>
      <c r="E394" s="13">
        <f t="shared" si="123"/>
        <v>136</v>
      </c>
      <c r="F394" s="13">
        <f t="shared" si="124"/>
        <v>-2320</v>
      </c>
      <c r="G394" s="13"/>
      <c r="H394" s="13"/>
      <c r="I394" s="831" t="s">
        <v>4938</v>
      </c>
    </row>
    <row r="395">
      <c r="A395" s="820">
        <v>45881.0</v>
      </c>
      <c r="B395" s="64">
        <v>450.0</v>
      </c>
      <c r="C395" s="64">
        <v>6.0</v>
      </c>
      <c r="D395" s="13">
        <f t="shared" si="122"/>
        <v>3</v>
      </c>
      <c r="E395" s="13">
        <f t="shared" si="123"/>
        <v>204</v>
      </c>
      <c r="F395" s="13">
        <f t="shared" si="124"/>
        <v>246</v>
      </c>
      <c r="G395" s="13"/>
      <c r="H395" s="13"/>
      <c r="I395" s="828" t="s">
        <v>4939</v>
      </c>
    </row>
    <row r="396">
      <c r="A396" s="820">
        <v>45882.0</v>
      </c>
      <c r="B396" s="64">
        <v>25.0</v>
      </c>
      <c r="C396" s="64">
        <v>16.0</v>
      </c>
      <c r="D396" s="13">
        <f t="shared" si="122"/>
        <v>8</v>
      </c>
      <c r="E396" s="13">
        <f t="shared" si="123"/>
        <v>544</v>
      </c>
      <c r="F396" s="13">
        <f t="shared" si="124"/>
        <v>-519</v>
      </c>
      <c r="G396" s="13"/>
      <c r="H396" s="13"/>
      <c r="I396" s="828" t="s">
        <v>4940</v>
      </c>
    </row>
    <row r="397">
      <c r="A397" s="820">
        <v>45883.0</v>
      </c>
      <c r="B397" s="64">
        <v>-418.0</v>
      </c>
      <c r="C397" s="64">
        <v>14.0</v>
      </c>
      <c r="D397" s="13">
        <f t="shared" si="122"/>
        <v>7</v>
      </c>
      <c r="E397" s="13">
        <f t="shared" si="123"/>
        <v>476</v>
      </c>
      <c r="F397" s="13">
        <f t="shared" si="124"/>
        <v>-894</v>
      </c>
      <c r="G397" s="824" t="s">
        <v>4941</v>
      </c>
      <c r="H397" s="64" t="s">
        <v>65</v>
      </c>
      <c r="I397" s="828" t="s">
        <v>4942</v>
      </c>
    </row>
    <row r="398">
      <c r="A398" s="820"/>
      <c r="B398" s="64"/>
      <c r="C398" s="64"/>
      <c r="D398" s="13"/>
      <c r="E398" s="13"/>
      <c r="F398" s="13"/>
      <c r="G398" s="13"/>
      <c r="H398" s="13"/>
      <c r="I398" s="823"/>
    </row>
    <row r="405">
      <c r="A405" s="832" t="s">
        <v>4943</v>
      </c>
      <c r="B405" s="832"/>
      <c r="C405" s="833"/>
      <c r="D405" s="833"/>
    </row>
    <row r="406">
      <c r="A406" s="834" t="s">
        <v>4944</v>
      </c>
      <c r="B406" s="835"/>
      <c r="C406" s="835"/>
      <c r="D406" s="835"/>
    </row>
    <row r="407">
      <c r="A407" s="836" t="s">
        <v>4945</v>
      </c>
      <c r="B407" s="835"/>
      <c r="C407" s="837"/>
      <c r="D407" s="837"/>
    </row>
    <row r="408">
      <c r="A408" s="835"/>
      <c r="B408" s="835"/>
      <c r="C408" s="837"/>
      <c r="D408" s="837"/>
    </row>
    <row r="409">
      <c r="A409" s="838" t="s">
        <v>42</v>
      </c>
      <c r="B409" s="839" t="s">
        <v>4946</v>
      </c>
      <c r="C409" s="840" t="s">
        <v>4947</v>
      </c>
      <c r="D409" s="837"/>
    </row>
    <row r="410">
      <c r="A410" s="841" t="s">
        <v>4948</v>
      </c>
      <c r="B410" s="842">
        <v>6.0</v>
      </c>
      <c r="C410" s="843"/>
      <c r="D410" s="837"/>
    </row>
    <row r="411">
      <c r="A411" s="841" t="s">
        <v>4949</v>
      </c>
      <c r="B411" s="844">
        <v>10.0</v>
      </c>
      <c r="C411" s="843"/>
      <c r="D411" s="837"/>
    </row>
    <row r="412">
      <c r="A412" s="841" t="s">
        <v>4950</v>
      </c>
      <c r="B412" s="845">
        <v>30.0</v>
      </c>
      <c r="C412" s="843"/>
      <c r="D412" s="837"/>
    </row>
    <row r="413">
      <c r="A413" s="846" t="s">
        <v>4951</v>
      </c>
      <c r="B413" s="845">
        <v>20.0</v>
      </c>
      <c r="C413" s="847">
        <v>20.0</v>
      </c>
      <c r="D413" s="837"/>
    </row>
    <row r="414">
      <c r="A414" s="846" t="s">
        <v>4952</v>
      </c>
      <c r="B414" s="845">
        <v>1.0</v>
      </c>
      <c r="C414" s="848">
        <v>10.0</v>
      </c>
      <c r="D414" s="837"/>
    </row>
    <row r="415">
      <c r="A415" s="846" t="s">
        <v>90</v>
      </c>
      <c r="B415" s="845">
        <v>35.0</v>
      </c>
      <c r="C415" s="843">
        <f>B415*C414</f>
        <v>350</v>
      </c>
      <c r="D415" s="837"/>
    </row>
    <row r="416">
      <c r="A416" s="846" t="s">
        <v>4953</v>
      </c>
      <c r="B416" s="845">
        <v>100000.0</v>
      </c>
      <c r="C416" s="843">
        <f>B416*C414</f>
        <v>1000000</v>
      </c>
      <c r="D416" s="837"/>
    </row>
    <row r="417">
      <c r="A417" s="846" t="s">
        <v>4954</v>
      </c>
      <c r="B417" s="845">
        <v>2.0</v>
      </c>
      <c r="C417" s="848">
        <v>2.0</v>
      </c>
      <c r="D417" s="837"/>
    </row>
    <row r="418">
      <c r="A418" s="846" t="s">
        <v>4361</v>
      </c>
      <c r="B418" s="845">
        <v>68.0</v>
      </c>
      <c r="C418" s="847">
        <v>68.0</v>
      </c>
      <c r="D418" s="837"/>
    </row>
    <row r="419">
      <c r="A419" s="846" t="s">
        <v>4955</v>
      </c>
      <c r="B419" s="849">
        <f t="shared" ref="B419:C419" si="125">B418*2</f>
        <v>136</v>
      </c>
      <c r="C419" s="850">
        <f t="shared" si="125"/>
        <v>136</v>
      </c>
      <c r="D419" s="837"/>
    </row>
    <row r="420">
      <c r="A420" s="846" t="s">
        <v>4956</v>
      </c>
      <c r="B420" s="851">
        <f>B412*B415</f>
        <v>1050</v>
      </c>
      <c r="C420" s="843">
        <f>B420*C414</f>
        <v>10500</v>
      </c>
      <c r="D420" s="837"/>
    </row>
    <row r="421">
      <c r="A421" s="846" t="s">
        <v>4957</v>
      </c>
      <c r="B421" s="845">
        <f t="shared" ref="B421:C421" si="126">B420-B419</f>
        <v>914</v>
      </c>
      <c r="C421" s="848">
        <f t="shared" si="126"/>
        <v>10364</v>
      </c>
      <c r="D421" s="837"/>
    </row>
    <row r="422">
      <c r="A422" s="846" t="s">
        <v>4958</v>
      </c>
      <c r="B422" s="849">
        <f>B421*B413</f>
        <v>18280</v>
      </c>
      <c r="C422" s="852">
        <f>C420*C413</f>
        <v>210000</v>
      </c>
      <c r="D422" s="837"/>
    </row>
    <row r="423">
      <c r="A423" s="846" t="s">
        <v>4358</v>
      </c>
      <c r="B423" s="853">
        <f t="shared" ref="B423:C423" si="127">B422*12</f>
        <v>219360</v>
      </c>
      <c r="C423" s="854">
        <f t="shared" si="127"/>
        <v>2520000</v>
      </c>
      <c r="D423" s="837"/>
    </row>
    <row r="424">
      <c r="A424" s="855" t="s">
        <v>4959</v>
      </c>
      <c r="B424" s="856">
        <f t="shared" ref="B424:C424" si="128">B421/B416</f>
        <v>0.00914</v>
      </c>
      <c r="C424" s="857">
        <f t="shared" si="128"/>
        <v>0.010364</v>
      </c>
      <c r="D424" s="837"/>
    </row>
    <row r="425">
      <c r="A425" s="858" t="s">
        <v>4960</v>
      </c>
      <c r="B425" s="859">
        <f>B424*20</f>
        <v>0.1828</v>
      </c>
      <c r="C425" s="860"/>
      <c r="D425" s="837"/>
    </row>
    <row r="426">
      <c r="A426" s="837"/>
      <c r="B426" s="837"/>
      <c r="C426" s="837"/>
      <c r="D426" s="837"/>
    </row>
    <row r="431" ht="22.5" customHeight="1">
      <c r="A431" s="861" t="s">
        <v>4523</v>
      </c>
      <c r="B431" s="338" t="s">
        <v>4961</v>
      </c>
      <c r="C431" s="338" t="s">
        <v>4422</v>
      </c>
      <c r="D431" s="338" t="s">
        <v>4433</v>
      </c>
      <c r="E431" s="338" t="s">
        <v>4962</v>
      </c>
      <c r="F431" s="338" t="s">
        <v>4963</v>
      </c>
      <c r="G431" s="338" t="s">
        <v>4921</v>
      </c>
      <c r="H431" s="212" t="s">
        <v>4506</v>
      </c>
      <c r="I431" s="212" t="s">
        <v>4499</v>
      </c>
      <c r="J431" s="212" t="s">
        <v>4382</v>
      </c>
      <c r="K431" s="338" t="s">
        <v>4424</v>
      </c>
      <c r="L431" s="219" t="s">
        <v>4432</v>
      </c>
      <c r="M431" s="338" t="s">
        <v>4964</v>
      </c>
      <c r="N431" s="338" t="s">
        <v>4965</v>
      </c>
      <c r="O431" s="338" t="s">
        <v>4966</v>
      </c>
      <c r="P431" s="212" t="s">
        <v>4967</v>
      </c>
      <c r="Q431" s="212" t="s">
        <v>4968</v>
      </c>
      <c r="R431" s="212" t="s">
        <v>4969</v>
      </c>
      <c r="S431" s="338" t="s">
        <v>4970</v>
      </c>
      <c r="T431" s="219" t="s">
        <v>4971</v>
      </c>
      <c r="U431" s="338" t="s">
        <v>4972</v>
      </c>
    </row>
    <row r="432" ht="22.5" customHeight="1">
      <c r="A432" s="861"/>
      <c r="B432" s="212"/>
      <c r="C432" s="212"/>
      <c r="D432" s="212"/>
      <c r="E432" s="212"/>
      <c r="F432" s="212"/>
      <c r="G432" s="212"/>
      <c r="H432" s="212"/>
      <c r="I432" s="212"/>
      <c r="J432" s="188"/>
      <c r="K432" s="212"/>
      <c r="L432" s="219"/>
      <c r="M432" s="212"/>
      <c r="N432" s="212"/>
      <c r="O432" s="212"/>
      <c r="P432" s="212"/>
      <c r="Q432" s="212"/>
      <c r="R432" s="212"/>
      <c r="S432" s="212"/>
      <c r="T432" s="219"/>
      <c r="U432" s="212"/>
    </row>
    <row r="433" ht="22.5" customHeight="1">
      <c r="A433" s="861"/>
      <c r="B433" s="212"/>
      <c r="C433" s="212"/>
      <c r="D433" s="212"/>
      <c r="E433" s="212"/>
      <c r="F433" s="212"/>
      <c r="G433" s="212"/>
      <c r="H433" s="212"/>
      <c r="I433" s="212"/>
      <c r="J433" s="188"/>
      <c r="K433" s="212"/>
      <c r="L433" s="219"/>
      <c r="M433" s="212"/>
      <c r="N433" s="212"/>
      <c r="O433" s="212"/>
      <c r="P433" s="212"/>
      <c r="Q433" s="212"/>
      <c r="R433" s="212"/>
      <c r="S433" s="212"/>
      <c r="T433" s="219"/>
      <c r="U433" s="212"/>
    </row>
    <row r="434" ht="22.5" customHeight="1">
      <c r="A434" s="349">
        <v>45803.0</v>
      </c>
      <c r="B434" s="219" t="s">
        <v>4973</v>
      </c>
      <c r="C434" s="267" t="s">
        <v>4485</v>
      </c>
      <c r="D434" s="266" t="s">
        <v>4974</v>
      </c>
      <c r="E434" s="270">
        <v>0.3854166666666667</v>
      </c>
      <c r="F434" s="212">
        <v>25000.0</v>
      </c>
      <c r="G434" s="212">
        <v>2.0</v>
      </c>
      <c r="H434" s="212">
        <v>614.0</v>
      </c>
      <c r="I434" s="212">
        <v>820.0</v>
      </c>
      <c r="J434" s="188">
        <f t="shared" ref="J434:J470" si="129">H434+I434</f>
        <v>1434</v>
      </c>
      <c r="K434" s="291" t="s">
        <v>4506</v>
      </c>
      <c r="L434" s="274" t="s">
        <v>4975</v>
      </c>
      <c r="M434" s="212"/>
      <c r="N434" s="212"/>
      <c r="O434" s="212"/>
      <c r="P434" s="212"/>
      <c r="Q434" s="212"/>
      <c r="R434" s="212"/>
      <c r="S434" s="212"/>
      <c r="T434" s="219"/>
      <c r="U434" s="212"/>
    </row>
    <row r="435" ht="22.5" customHeight="1">
      <c r="A435" s="349">
        <v>45804.0</v>
      </c>
      <c r="B435" s="219" t="s">
        <v>4973</v>
      </c>
      <c r="C435" s="267" t="s">
        <v>4485</v>
      </c>
      <c r="D435" s="266" t="s">
        <v>4974</v>
      </c>
      <c r="E435" s="270">
        <v>0.3854166666666667</v>
      </c>
      <c r="F435" s="212">
        <v>24900.0</v>
      </c>
      <c r="G435" s="212">
        <v>4.0</v>
      </c>
      <c r="H435" s="212">
        <v>10844.0</v>
      </c>
      <c r="I435" s="212">
        <v>3457.0</v>
      </c>
      <c r="J435" s="188">
        <f t="shared" si="129"/>
        <v>14301</v>
      </c>
      <c r="K435" s="291" t="s">
        <v>4506</v>
      </c>
      <c r="L435" s="274" t="s">
        <v>4976</v>
      </c>
      <c r="M435" s="212"/>
      <c r="N435" s="212"/>
      <c r="O435" s="212"/>
      <c r="P435" s="212"/>
      <c r="Q435" s="212"/>
      <c r="R435" s="212"/>
      <c r="S435" s="212"/>
      <c r="T435" s="219"/>
      <c r="U435" s="212"/>
    </row>
    <row r="436" ht="22.5" customHeight="1">
      <c r="A436" s="349">
        <v>45805.0</v>
      </c>
      <c r="B436" s="219" t="s">
        <v>4973</v>
      </c>
      <c r="C436" s="267" t="s">
        <v>4485</v>
      </c>
      <c r="D436" s="266" t="s">
        <v>4974</v>
      </c>
      <c r="E436" s="270">
        <v>0.3854166666666667</v>
      </c>
      <c r="F436" s="212">
        <v>24800.0</v>
      </c>
      <c r="G436" s="212">
        <v>2.0</v>
      </c>
      <c r="H436" s="212">
        <v>-1275.0</v>
      </c>
      <c r="I436" s="212">
        <v>-1857.0</v>
      </c>
      <c r="J436" s="188">
        <f t="shared" si="129"/>
        <v>-3132</v>
      </c>
      <c r="K436" s="288" t="s">
        <v>4499</v>
      </c>
      <c r="L436" s="274" t="s">
        <v>4977</v>
      </c>
      <c r="M436" s="212"/>
      <c r="N436" s="212"/>
      <c r="O436" s="212"/>
      <c r="P436" s="212"/>
      <c r="Q436" s="212"/>
      <c r="R436" s="212"/>
      <c r="S436" s="212"/>
      <c r="T436" s="219"/>
      <c r="U436" s="212"/>
    </row>
    <row r="437" ht="22.5" customHeight="1">
      <c r="A437" s="349">
        <v>45806.0</v>
      </c>
      <c r="B437" s="219" t="s">
        <v>4973</v>
      </c>
      <c r="C437" s="267" t="s">
        <v>4485</v>
      </c>
      <c r="D437" s="266" t="s">
        <v>4974</v>
      </c>
      <c r="E437" s="270">
        <v>0.3854166666666667</v>
      </c>
      <c r="F437" s="212">
        <v>24900.0</v>
      </c>
      <c r="G437" s="212">
        <v>2.0</v>
      </c>
      <c r="H437" s="212">
        <v>3472.0</v>
      </c>
      <c r="I437" s="212">
        <v>-1148.0</v>
      </c>
      <c r="J437" s="188">
        <f t="shared" si="129"/>
        <v>2324</v>
      </c>
      <c r="K437" s="291" t="s">
        <v>4506</v>
      </c>
      <c r="L437" s="274" t="s">
        <v>4978</v>
      </c>
      <c r="M437" s="212"/>
      <c r="N437" s="212"/>
      <c r="O437" s="212"/>
      <c r="P437" s="212"/>
      <c r="Q437" s="212"/>
      <c r="R437" s="212"/>
      <c r="S437" s="212"/>
      <c r="T437" s="219"/>
      <c r="U437" s="212"/>
    </row>
    <row r="438" ht="22.5" customHeight="1">
      <c r="A438" s="862">
        <v>45807.0</v>
      </c>
      <c r="B438" s="863" t="s">
        <v>4973</v>
      </c>
      <c r="C438" s="406" t="s">
        <v>4485</v>
      </c>
      <c r="D438" s="864" t="s">
        <v>4974</v>
      </c>
      <c r="E438" s="592">
        <v>0.3854166666666667</v>
      </c>
      <c r="F438" s="596">
        <v>24800.0</v>
      </c>
      <c r="G438" s="596">
        <v>2.0</v>
      </c>
      <c r="H438" s="596">
        <v>2148.0</v>
      </c>
      <c r="I438" s="596">
        <v>-1629.0</v>
      </c>
      <c r="J438" s="604">
        <f t="shared" si="129"/>
        <v>519</v>
      </c>
      <c r="K438" s="408" t="s">
        <v>4506</v>
      </c>
      <c r="L438" s="865" t="s">
        <v>4979</v>
      </c>
      <c r="M438" s="596"/>
      <c r="N438" s="596"/>
      <c r="O438" s="596"/>
      <c r="P438" s="596"/>
      <c r="Q438" s="596"/>
      <c r="R438" s="596"/>
      <c r="S438" s="596"/>
      <c r="T438" s="863"/>
      <c r="U438" s="596"/>
    </row>
    <row r="439" ht="22.5" customHeight="1">
      <c r="A439" s="349">
        <v>45810.0</v>
      </c>
      <c r="B439" s="219" t="s">
        <v>4973</v>
      </c>
      <c r="C439" s="267" t="s">
        <v>4485</v>
      </c>
      <c r="D439" s="266" t="s">
        <v>4974</v>
      </c>
      <c r="E439" s="270">
        <v>0.3854166666666667</v>
      </c>
      <c r="F439" s="212">
        <v>24650.0</v>
      </c>
      <c r="G439" s="212">
        <v>3.0</v>
      </c>
      <c r="H439" s="212">
        <v>3014.0</v>
      </c>
      <c r="I439" s="212">
        <v>-1673.0</v>
      </c>
      <c r="J439" s="188">
        <f t="shared" si="129"/>
        <v>1341</v>
      </c>
      <c r="K439" s="291" t="s">
        <v>4506</v>
      </c>
      <c r="L439" s="274" t="s">
        <v>4980</v>
      </c>
      <c r="M439" s="212"/>
      <c r="N439" s="212"/>
      <c r="O439" s="212"/>
      <c r="P439" s="212"/>
      <c r="Q439" s="212"/>
      <c r="R439" s="212"/>
      <c r="S439" s="212"/>
      <c r="T439" s="219"/>
      <c r="U439" s="212"/>
    </row>
    <row r="440" ht="22.5" customHeight="1">
      <c r="A440" s="349">
        <v>45811.0</v>
      </c>
      <c r="B440" s="219" t="s">
        <v>4973</v>
      </c>
      <c r="C440" s="267" t="s">
        <v>4485</v>
      </c>
      <c r="D440" s="266" t="s">
        <v>4974</v>
      </c>
      <c r="E440" s="270">
        <v>0.3854166666666667</v>
      </c>
      <c r="F440" s="212">
        <v>24750.0</v>
      </c>
      <c r="G440" s="212">
        <v>3.0</v>
      </c>
      <c r="H440" s="212">
        <v>3509.0</v>
      </c>
      <c r="I440" s="212">
        <v>-2810.0</v>
      </c>
      <c r="J440" s="188">
        <f t="shared" si="129"/>
        <v>699</v>
      </c>
      <c r="K440" s="291" t="s">
        <v>4506</v>
      </c>
      <c r="L440" s="274" t="s">
        <v>4981</v>
      </c>
      <c r="M440" s="188"/>
      <c r="N440" s="188"/>
      <c r="O440" s="188"/>
      <c r="P440" s="188"/>
      <c r="Q440" s="188"/>
      <c r="R440" s="188"/>
      <c r="S440" s="188"/>
      <c r="T440" s="188"/>
      <c r="U440" s="212"/>
    </row>
    <row r="441" ht="22.5" customHeight="1">
      <c r="A441" s="349">
        <v>45812.0</v>
      </c>
      <c r="B441" s="219" t="s">
        <v>4973</v>
      </c>
      <c r="C441" s="267" t="s">
        <v>4485</v>
      </c>
      <c r="D441" s="266" t="s">
        <v>4974</v>
      </c>
      <c r="E441" s="270">
        <v>0.3854166666666667</v>
      </c>
      <c r="F441" s="212">
        <v>24500.0</v>
      </c>
      <c r="G441" s="212">
        <v>2.0</v>
      </c>
      <c r="H441" s="212">
        <v>-1294.0</v>
      </c>
      <c r="I441" s="212">
        <v>-1388.0</v>
      </c>
      <c r="J441" s="188">
        <f t="shared" si="129"/>
        <v>-2682</v>
      </c>
      <c r="K441" s="288" t="s">
        <v>4499</v>
      </c>
      <c r="L441" s="274" t="s">
        <v>4981</v>
      </c>
      <c r="M441" s="188"/>
      <c r="N441" s="188"/>
      <c r="O441" s="188"/>
      <c r="P441" s="188"/>
      <c r="Q441" s="188"/>
      <c r="R441" s="188"/>
      <c r="S441" s="188"/>
      <c r="T441" s="188"/>
      <c r="U441" s="212"/>
    </row>
    <row r="442" ht="22.5" customHeight="1">
      <c r="A442" s="349">
        <v>45813.0</v>
      </c>
      <c r="B442" s="219" t="s">
        <v>4973</v>
      </c>
      <c r="C442" s="267" t="s">
        <v>4485</v>
      </c>
      <c r="D442" s="266" t="s">
        <v>4974</v>
      </c>
      <c r="E442" s="270">
        <v>0.3854166666666667</v>
      </c>
      <c r="F442" s="212">
        <v>24600.0</v>
      </c>
      <c r="G442" s="212">
        <v>3.0</v>
      </c>
      <c r="H442" s="212">
        <v>2797.0</v>
      </c>
      <c r="I442" s="212">
        <v>-1489.0</v>
      </c>
      <c r="J442" s="188">
        <f t="shared" si="129"/>
        <v>1308</v>
      </c>
      <c r="K442" s="291" t="s">
        <v>4506</v>
      </c>
      <c r="L442" s="274" t="s">
        <v>4982</v>
      </c>
      <c r="M442" s="188"/>
      <c r="N442" s="188"/>
      <c r="O442" s="188"/>
      <c r="P442" s="188"/>
      <c r="Q442" s="188"/>
      <c r="R442" s="188"/>
      <c r="S442" s="188"/>
      <c r="T442" s="188"/>
      <c r="U442" s="188"/>
    </row>
    <row r="443" ht="22.5" customHeight="1">
      <c r="A443" s="349">
        <v>45814.0</v>
      </c>
      <c r="B443" s="219" t="s">
        <v>4973</v>
      </c>
      <c r="C443" s="267" t="s">
        <v>4485</v>
      </c>
      <c r="D443" s="266" t="s">
        <v>4974</v>
      </c>
      <c r="E443" s="270">
        <v>0.3854166666666667</v>
      </c>
      <c r="F443" s="212">
        <v>24750.0</v>
      </c>
      <c r="G443" s="212">
        <v>3.0</v>
      </c>
      <c r="H443" s="212">
        <v>6933.0</v>
      </c>
      <c r="I443" s="212">
        <v>-1479.0</v>
      </c>
      <c r="J443" s="188">
        <f t="shared" si="129"/>
        <v>5454</v>
      </c>
      <c r="K443" s="291" t="s">
        <v>4506</v>
      </c>
      <c r="L443" s="274" t="s">
        <v>4983</v>
      </c>
      <c r="M443" s="188"/>
      <c r="N443" s="188"/>
      <c r="O443" s="188"/>
      <c r="P443" s="188"/>
      <c r="Q443" s="188"/>
      <c r="R443" s="188"/>
      <c r="S443" s="188"/>
      <c r="T443" s="188"/>
      <c r="U443" s="188"/>
    </row>
    <row r="444" ht="22.5" customHeight="1">
      <c r="A444" s="349">
        <v>45817.0</v>
      </c>
      <c r="B444" s="219" t="s">
        <v>4973</v>
      </c>
      <c r="C444" s="267" t="s">
        <v>4485</v>
      </c>
      <c r="D444" s="266" t="s">
        <v>4974</v>
      </c>
      <c r="E444" s="270">
        <v>0.3854166666666667</v>
      </c>
      <c r="F444" s="212">
        <v>25150.0</v>
      </c>
      <c r="G444" s="212">
        <v>1.0</v>
      </c>
      <c r="H444" s="212">
        <v>-226.0</v>
      </c>
      <c r="I444" s="212">
        <v>-1479.0</v>
      </c>
      <c r="J444" s="188">
        <f t="shared" si="129"/>
        <v>-1705</v>
      </c>
      <c r="K444" s="288" t="s">
        <v>4499</v>
      </c>
      <c r="L444" s="274" t="s">
        <v>4984</v>
      </c>
      <c r="M444" s="188"/>
      <c r="N444" s="188"/>
      <c r="O444" s="188"/>
      <c r="P444" s="188"/>
      <c r="Q444" s="188"/>
      <c r="R444" s="188"/>
      <c r="S444" s="188"/>
      <c r="T444" s="188"/>
      <c r="U444" s="188"/>
    </row>
    <row r="445" ht="22.5" customHeight="1">
      <c r="A445" s="349">
        <v>45818.0</v>
      </c>
      <c r="B445" s="219" t="s">
        <v>4973</v>
      </c>
      <c r="C445" s="267" t="s">
        <v>4485</v>
      </c>
      <c r="D445" s="266" t="s">
        <v>4974</v>
      </c>
      <c r="E445" s="270">
        <v>0.3854166666666667</v>
      </c>
      <c r="F445" s="212">
        <v>25200.0</v>
      </c>
      <c r="G445" s="212">
        <v>3.0</v>
      </c>
      <c r="H445" s="212">
        <v>-1459.0</v>
      </c>
      <c r="I445" s="212">
        <v>-3331.0</v>
      </c>
      <c r="J445" s="188">
        <f t="shared" si="129"/>
        <v>-4790</v>
      </c>
      <c r="K445" s="288" t="s">
        <v>4499</v>
      </c>
      <c r="L445" s="274" t="s">
        <v>4985</v>
      </c>
      <c r="M445" s="188"/>
      <c r="N445" s="188"/>
      <c r="O445" s="188"/>
      <c r="P445" s="188"/>
      <c r="Q445" s="188"/>
      <c r="R445" s="188"/>
      <c r="S445" s="188"/>
      <c r="T445" s="188"/>
      <c r="U445" s="188"/>
    </row>
    <row r="446" ht="22.5" customHeight="1">
      <c r="A446" s="349">
        <v>45819.0</v>
      </c>
      <c r="B446" s="219" t="s">
        <v>4973</v>
      </c>
      <c r="C446" s="267" t="s">
        <v>4485</v>
      </c>
      <c r="D446" s="266" t="s">
        <v>4974</v>
      </c>
      <c r="E446" s="270">
        <v>0.3854166666666667</v>
      </c>
      <c r="F446" s="212">
        <v>25100.0</v>
      </c>
      <c r="G446" s="212">
        <v>3.0</v>
      </c>
      <c r="H446" s="212">
        <v>-1992.0</v>
      </c>
      <c r="I446" s="212">
        <v>-1309.0</v>
      </c>
      <c r="J446" s="188">
        <f t="shared" si="129"/>
        <v>-3301</v>
      </c>
      <c r="K446" s="288" t="s">
        <v>4499</v>
      </c>
      <c r="L446" s="274" t="s">
        <v>4986</v>
      </c>
      <c r="N446" s="188"/>
      <c r="O446" s="188"/>
      <c r="P446" s="188"/>
      <c r="Q446" s="188"/>
      <c r="R446" s="188"/>
      <c r="T446" s="300"/>
      <c r="U446" s="188"/>
    </row>
    <row r="447" ht="22.5" customHeight="1">
      <c r="A447" s="349">
        <v>45820.0</v>
      </c>
      <c r="B447" s="219" t="s">
        <v>4973</v>
      </c>
      <c r="C447" s="267" t="s">
        <v>4485</v>
      </c>
      <c r="D447" s="266" t="s">
        <v>4974</v>
      </c>
      <c r="E447" s="270">
        <v>0.3854166666666667</v>
      </c>
      <c r="F447" s="212">
        <v>25100.0</v>
      </c>
      <c r="G447" s="212">
        <v>3.0</v>
      </c>
      <c r="H447" s="212">
        <v>1938.0</v>
      </c>
      <c r="I447" s="212">
        <v>-3204.0</v>
      </c>
      <c r="J447" s="188">
        <f t="shared" si="129"/>
        <v>-1266</v>
      </c>
      <c r="K447" s="288" t="s">
        <v>4499</v>
      </c>
      <c r="L447" s="274" t="s">
        <v>4987</v>
      </c>
      <c r="N447" s="188"/>
      <c r="O447" s="188"/>
      <c r="P447" s="188"/>
      <c r="Q447" s="188"/>
      <c r="R447" s="188"/>
      <c r="T447" s="300"/>
      <c r="U447" s="188"/>
    </row>
    <row r="448" ht="22.5" customHeight="1">
      <c r="A448" s="349">
        <v>45821.0</v>
      </c>
      <c r="B448" s="219" t="s">
        <v>4973</v>
      </c>
      <c r="C448" s="267" t="s">
        <v>4485</v>
      </c>
      <c r="D448" s="266" t="s">
        <v>4974</v>
      </c>
      <c r="E448" s="270">
        <v>0.3854166666666667</v>
      </c>
      <c r="F448" s="212">
        <v>24550.0</v>
      </c>
      <c r="G448" s="212">
        <v>3.0</v>
      </c>
      <c r="H448" s="212">
        <v>1563.0</v>
      </c>
      <c r="I448" s="212">
        <v>1383.0</v>
      </c>
      <c r="J448" s="188">
        <f t="shared" si="129"/>
        <v>2946</v>
      </c>
      <c r="K448" s="291" t="s">
        <v>4506</v>
      </c>
      <c r="L448" s="274" t="s">
        <v>4988</v>
      </c>
      <c r="N448" s="188"/>
      <c r="O448" s="188"/>
      <c r="P448" s="188"/>
      <c r="Q448" s="188"/>
      <c r="R448" s="188"/>
      <c r="T448" s="300"/>
      <c r="U448" s="188"/>
    </row>
    <row r="449" ht="22.5" customHeight="1">
      <c r="A449" s="349">
        <v>45824.0</v>
      </c>
      <c r="B449" s="219" t="s">
        <v>4973</v>
      </c>
      <c r="C449" s="267" t="s">
        <v>4485</v>
      </c>
      <c r="D449" s="266" t="s">
        <v>4974</v>
      </c>
      <c r="E449" s="270">
        <v>0.3854166666666667</v>
      </c>
      <c r="F449" s="212">
        <v>24800.0</v>
      </c>
      <c r="G449" s="212">
        <v>3.0</v>
      </c>
      <c r="H449" s="212">
        <v>5380.0</v>
      </c>
      <c r="I449" s="212">
        <v>-1568.0</v>
      </c>
      <c r="J449" s="188">
        <f t="shared" si="129"/>
        <v>3812</v>
      </c>
      <c r="K449" s="291" t="s">
        <v>4506</v>
      </c>
      <c r="L449" s="274" t="s">
        <v>4989</v>
      </c>
      <c r="M449" s="212" t="s">
        <v>4990</v>
      </c>
      <c r="N449" s="212">
        <v>24800.0</v>
      </c>
      <c r="O449" s="212">
        <v>3.0</v>
      </c>
      <c r="P449" s="212">
        <v>6798.0</v>
      </c>
      <c r="Q449" s="212">
        <v>-983.0</v>
      </c>
      <c r="R449" s="188">
        <f t="shared" ref="R449:R464" si="130">P449+Q449</f>
        <v>5815</v>
      </c>
      <c r="S449" s="291" t="s">
        <v>4506</v>
      </c>
      <c r="T449" s="274" t="s">
        <v>4991</v>
      </c>
      <c r="U449" s="188"/>
    </row>
    <row r="450" ht="22.5" customHeight="1">
      <c r="A450" s="349">
        <v>45825.0</v>
      </c>
      <c r="B450" s="219" t="s">
        <v>4973</v>
      </c>
      <c r="C450" s="267" t="s">
        <v>4485</v>
      </c>
      <c r="D450" s="266" t="s">
        <v>4974</v>
      </c>
      <c r="E450" s="270">
        <v>0.3854166666666667</v>
      </c>
      <c r="F450" s="212">
        <v>25000.0</v>
      </c>
      <c r="G450" s="212">
        <v>3.0</v>
      </c>
      <c r="H450" s="212">
        <v>220.0</v>
      </c>
      <c r="I450" s="212">
        <v>-1328.0</v>
      </c>
      <c r="J450" s="188">
        <f t="shared" si="129"/>
        <v>-1108</v>
      </c>
      <c r="K450" s="288" t="s">
        <v>4499</v>
      </c>
      <c r="L450" s="274" t="s">
        <v>4992</v>
      </c>
      <c r="M450" s="212" t="s">
        <v>4990</v>
      </c>
      <c r="N450" s="212">
        <v>25000.0</v>
      </c>
      <c r="O450" s="212">
        <v>3.0</v>
      </c>
      <c r="P450" s="212">
        <v>2770.0</v>
      </c>
      <c r="Q450" s="212">
        <v>-919.0</v>
      </c>
      <c r="R450" s="188">
        <f t="shared" si="130"/>
        <v>1851</v>
      </c>
      <c r="S450" s="291" t="s">
        <v>4506</v>
      </c>
      <c r="T450" s="866" t="s">
        <v>4993</v>
      </c>
      <c r="U450" s="188"/>
    </row>
    <row r="451" ht="22.5" customHeight="1">
      <c r="A451" s="349">
        <v>45826.0</v>
      </c>
      <c r="B451" s="219" t="s">
        <v>4973</v>
      </c>
      <c r="C451" s="267" t="s">
        <v>4485</v>
      </c>
      <c r="D451" s="266" t="s">
        <v>4974</v>
      </c>
      <c r="E451" s="270">
        <v>0.3854166666666667</v>
      </c>
      <c r="F451" s="212">
        <v>24800.0</v>
      </c>
      <c r="G451" s="212">
        <v>4.0</v>
      </c>
      <c r="H451" s="212">
        <v>4705.0</v>
      </c>
      <c r="I451" s="212">
        <v>247.0</v>
      </c>
      <c r="J451" s="188">
        <f t="shared" si="129"/>
        <v>4952</v>
      </c>
      <c r="K451" s="291" t="s">
        <v>4506</v>
      </c>
      <c r="L451" s="274" t="s">
        <v>4994</v>
      </c>
      <c r="M451" s="212" t="s">
        <v>4990</v>
      </c>
      <c r="N451" s="212">
        <v>24800.0</v>
      </c>
      <c r="O451" s="212">
        <v>4.0</v>
      </c>
      <c r="P451" s="212">
        <v>1482.0</v>
      </c>
      <c r="Q451" s="212">
        <v>-1104.0</v>
      </c>
      <c r="R451" s="188">
        <f t="shared" si="130"/>
        <v>378</v>
      </c>
      <c r="S451" s="291" t="s">
        <v>4506</v>
      </c>
      <c r="T451" s="866" t="s">
        <v>4995</v>
      </c>
      <c r="U451" s="188"/>
    </row>
    <row r="452" ht="22.5" customHeight="1">
      <c r="A452" s="349">
        <v>45827.0</v>
      </c>
      <c r="B452" s="219" t="s">
        <v>4973</v>
      </c>
      <c r="C452" s="267" t="s">
        <v>4485</v>
      </c>
      <c r="D452" s="266" t="s">
        <v>4974</v>
      </c>
      <c r="E452" s="270">
        <v>0.3854166666666667</v>
      </c>
      <c r="F452" s="212">
        <v>24800.0</v>
      </c>
      <c r="G452" s="212">
        <v>3.0</v>
      </c>
      <c r="H452" s="212">
        <v>2286.0</v>
      </c>
      <c r="I452" s="212">
        <v>2084.0</v>
      </c>
      <c r="J452" s="188">
        <f t="shared" si="129"/>
        <v>4370</v>
      </c>
      <c r="K452" s="291" t="s">
        <v>4506</v>
      </c>
      <c r="L452" s="274" t="s">
        <v>4996</v>
      </c>
      <c r="M452" s="212" t="s">
        <v>4990</v>
      </c>
      <c r="N452" s="212">
        <v>24800.0</v>
      </c>
      <c r="O452" s="212">
        <v>4.0</v>
      </c>
      <c r="P452" s="212">
        <v>1582.0</v>
      </c>
      <c r="Q452" s="212">
        <v>-1104.0</v>
      </c>
      <c r="R452" s="188">
        <f t="shared" si="130"/>
        <v>478</v>
      </c>
      <c r="S452" s="291" t="s">
        <v>4506</v>
      </c>
      <c r="T452" s="274" t="s">
        <v>4995</v>
      </c>
      <c r="U452" s="188"/>
    </row>
    <row r="453" ht="22.5" customHeight="1">
      <c r="A453" s="349">
        <v>45828.0</v>
      </c>
      <c r="B453" s="219" t="s">
        <v>4973</v>
      </c>
      <c r="C453" s="267" t="s">
        <v>4485</v>
      </c>
      <c r="D453" s="266" t="s">
        <v>4974</v>
      </c>
      <c r="E453" s="270">
        <v>0.3854166666666667</v>
      </c>
      <c r="F453" s="212">
        <v>24800.0</v>
      </c>
      <c r="G453" s="212">
        <v>2.0</v>
      </c>
      <c r="H453" s="212">
        <v>157.0</v>
      </c>
      <c r="I453" s="212">
        <v>-1373.0</v>
      </c>
      <c r="J453" s="212">
        <f t="shared" si="129"/>
        <v>-1216</v>
      </c>
      <c r="K453" s="288" t="s">
        <v>4499</v>
      </c>
      <c r="L453" s="274" t="s">
        <v>4997</v>
      </c>
      <c r="M453" s="212" t="s">
        <v>4990</v>
      </c>
      <c r="N453" s="212">
        <v>24800.0</v>
      </c>
      <c r="O453" s="212">
        <v>2.0</v>
      </c>
      <c r="P453" s="212">
        <v>157.0</v>
      </c>
      <c r="Q453" s="212">
        <v>-615.0</v>
      </c>
      <c r="R453" s="188">
        <f t="shared" si="130"/>
        <v>-458</v>
      </c>
      <c r="S453" s="288" t="s">
        <v>4499</v>
      </c>
      <c r="T453" s="274" t="s">
        <v>4998</v>
      </c>
      <c r="U453" s="219"/>
    </row>
    <row r="454" ht="22.5" customHeight="1">
      <c r="A454" s="349">
        <v>45831.0</v>
      </c>
      <c r="B454" s="219" t="s">
        <v>4973</v>
      </c>
      <c r="C454" s="267" t="s">
        <v>4485</v>
      </c>
      <c r="D454" s="266" t="s">
        <v>4974</v>
      </c>
      <c r="E454" s="270">
        <v>0.3854166666666667</v>
      </c>
      <c r="F454" s="212">
        <v>24950.0</v>
      </c>
      <c r="G454" s="212">
        <v>4.0</v>
      </c>
      <c r="H454" s="212">
        <v>1450.0</v>
      </c>
      <c r="I454" s="212">
        <v>-1816.0</v>
      </c>
      <c r="J454" s="212">
        <f t="shared" si="129"/>
        <v>-366</v>
      </c>
      <c r="K454" s="288" t="s">
        <v>4499</v>
      </c>
      <c r="L454" s="274" t="s">
        <v>4999</v>
      </c>
      <c r="M454" s="212" t="s">
        <v>4990</v>
      </c>
      <c r="N454" s="212">
        <v>24950.0</v>
      </c>
      <c r="O454" s="212">
        <v>4.0</v>
      </c>
      <c r="P454" s="212">
        <v>-1089.0</v>
      </c>
      <c r="Q454" s="212">
        <v>-271.0</v>
      </c>
      <c r="R454" s="188">
        <f t="shared" si="130"/>
        <v>-1360</v>
      </c>
      <c r="S454" s="288" t="s">
        <v>4499</v>
      </c>
      <c r="T454" s="274" t="s">
        <v>5000</v>
      </c>
      <c r="U454" s="219"/>
    </row>
    <row r="455" ht="22.5" customHeight="1">
      <c r="A455" s="349">
        <v>45832.0</v>
      </c>
      <c r="B455" s="219" t="s">
        <v>4973</v>
      </c>
      <c r="C455" s="267" t="s">
        <v>4485</v>
      </c>
      <c r="D455" s="266" t="s">
        <v>4974</v>
      </c>
      <c r="E455" s="270">
        <v>0.3854166666666667</v>
      </c>
      <c r="F455" s="212">
        <v>24950.0</v>
      </c>
      <c r="G455" s="212">
        <v>4.0</v>
      </c>
      <c r="H455" s="212">
        <v>-901.0</v>
      </c>
      <c r="I455" s="212">
        <v>-279.0</v>
      </c>
      <c r="J455" s="212">
        <f t="shared" si="129"/>
        <v>-1180</v>
      </c>
      <c r="K455" s="288" t="s">
        <v>4499</v>
      </c>
      <c r="L455" s="274" t="s">
        <v>5001</v>
      </c>
      <c r="M455" s="212" t="s">
        <v>4990</v>
      </c>
      <c r="N455" s="212">
        <v>24950.0</v>
      </c>
      <c r="O455" s="212">
        <v>4.0</v>
      </c>
      <c r="P455" s="212">
        <v>-1711.0</v>
      </c>
      <c r="Q455" s="212">
        <v>-1465.0</v>
      </c>
      <c r="R455" s="188">
        <f t="shared" si="130"/>
        <v>-3176</v>
      </c>
      <c r="S455" s="288" t="s">
        <v>4499</v>
      </c>
      <c r="T455" s="274" t="s">
        <v>5002</v>
      </c>
      <c r="U455" s="219"/>
    </row>
    <row r="456" ht="22.5" customHeight="1">
      <c r="A456" s="349">
        <v>45833.0</v>
      </c>
      <c r="B456" s="219" t="s">
        <v>4973</v>
      </c>
      <c r="C456" s="267" t="s">
        <v>4485</v>
      </c>
      <c r="D456" s="266" t="s">
        <v>4974</v>
      </c>
      <c r="E456" s="270">
        <v>0.3854166666666667</v>
      </c>
      <c r="F456" s="212">
        <v>25150.0</v>
      </c>
      <c r="G456" s="212">
        <v>3.0</v>
      </c>
      <c r="H456" s="212">
        <v>4750.0</v>
      </c>
      <c r="I456" s="212">
        <v>-1174.0</v>
      </c>
      <c r="J456" s="212">
        <f t="shared" si="129"/>
        <v>3576</v>
      </c>
      <c r="K456" s="291" t="s">
        <v>4506</v>
      </c>
      <c r="L456" s="274" t="s">
        <v>5003</v>
      </c>
      <c r="M456" s="212" t="s">
        <v>4990</v>
      </c>
      <c r="N456" s="212">
        <v>25150.0</v>
      </c>
      <c r="O456" s="212">
        <v>3.0</v>
      </c>
      <c r="P456" s="212">
        <v>479.0</v>
      </c>
      <c r="Q456" s="212">
        <v>-94.0</v>
      </c>
      <c r="R456" s="188">
        <f t="shared" si="130"/>
        <v>385</v>
      </c>
      <c r="S456" s="291" t="s">
        <v>4506</v>
      </c>
      <c r="T456" s="274" t="s">
        <v>5004</v>
      </c>
      <c r="U456" s="219"/>
    </row>
    <row r="457" ht="22.5" customHeight="1">
      <c r="A457" s="349">
        <v>45834.0</v>
      </c>
      <c r="B457" s="219" t="s">
        <v>4973</v>
      </c>
      <c r="C457" s="267" t="s">
        <v>4485</v>
      </c>
      <c r="D457" s="266" t="s">
        <v>4974</v>
      </c>
      <c r="E457" s="270">
        <v>0.3854166666666667</v>
      </c>
      <c r="F457" s="212">
        <v>25250.0</v>
      </c>
      <c r="G457" s="212">
        <v>2.0</v>
      </c>
      <c r="H457" s="212">
        <v>-1290.0</v>
      </c>
      <c r="I457" s="212">
        <v>-1261.0</v>
      </c>
      <c r="J457" s="212">
        <f t="shared" si="129"/>
        <v>-2551</v>
      </c>
      <c r="K457" s="288" t="s">
        <v>4499</v>
      </c>
      <c r="L457" s="274" t="s">
        <v>5005</v>
      </c>
      <c r="M457" s="212" t="s">
        <v>4990</v>
      </c>
      <c r="N457" s="212">
        <v>25250.0</v>
      </c>
      <c r="O457" s="212">
        <v>2.0</v>
      </c>
      <c r="P457" s="212">
        <v>-458.0</v>
      </c>
      <c r="Q457" s="212">
        <v>-1092.0</v>
      </c>
      <c r="R457" s="188">
        <f t="shared" si="130"/>
        <v>-1550</v>
      </c>
      <c r="S457" s="288" t="s">
        <v>4499</v>
      </c>
      <c r="T457" s="274" t="s">
        <v>5006</v>
      </c>
      <c r="U457" s="219"/>
    </row>
    <row r="458" ht="22.5" customHeight="1">
      <c r="A458" s="349">
        <v>45835.0</v>
      </c>
      <c r="B458" s="219" t="s">
        <v>4973</v>
      </c>
      <c r="C458" s="267" t="s">
        <v>4485</v>
      </c>
      <c r="D458" s="266" t="s">
        <v>4974</v>
      </c>
      <c r="E458" s="270">
        <v>0.3854166666666667</v>
      </c>
      <c r="F458" s="212">
        <v>25600.0</v>
      </c>
      <c r="G458" s="212">
        <v>3.0</v>
      </c>
      <c r="H458" s="212">
        <v>420.0</v>
      </c>
      <c r="I458" s="212">
        <v>-2802.0</v>
      </c>
      <c r="J458" s="212">
        <f t="shared" si="129"/>
        <v>-2382</v>
      </c>
      <c r="K458" s="288" t="s">
        <v>4499</v>
      </c>
      <c r="L458" s="274" t="s">
        <v>5007</v>
      </c>
      <c r="M458" s="212" t="s">
        <v>4990</v>
      </c>
      <c r="N458" s="212">
        <v>25600.0</v>
      </c>
      <c r="O458" s="212">
        <v>3.0</v>
      </c>
      <c r="P458" s="212">
        <v>420.0</v>
      </c>
      <c r="Q458" s="212">
        <v>-1396.0</v>
      </c>
      <c r="R458" s="188">
        <f t="shared" si="130"/>
        <v>-976</v>
      </c>
      <c r="S458" s="288" t="s">
        <v>4499</v>
      </c>
      <c r="T458" s="274" t="s">
        <v>5008</v>
      </c>
      <c r="U458" s="219"/>
    </row>
    <row r="459" ht="22.5" customHeight="1">
      <c r="A459" s="867">
        <v>45838.0</v>
      </c>
      <c r="B459" s="863" t="s">
        <v>4973</v>
      </c>
      <c r="C459" s="406" t="s">
        <v>4485</v>
      </c>
      <c r="D459" s="864" t="s">
        <v>4974</v>
      </c>
      <c r="E459" s="592">
        <v>0.3854166666666667</v>
      </c>
      <c r="F459" s="596">
        <v>25700.0</v>
      </c>
      <c r="G459" s="596">
        <v>2.0</v>
      </c>
      <c r="H459" s="596">
        <v>-1189.0</v>
      </c>
      <c r="I459" s="596">
        <f>2114</f>
        <v>2114</v>
      </c>
      <c r="J459" s="596">
        <f t="shared" si="129"/>
        <v>925</v>
      </c>
      <c r="K459" s="408" t="s">
        <v>4506</v>
      </c>
      <c r="L459" s="865" t="s">
        <v>5009</v>
      </c>
      <c r="M459" s="596" t="s">
        <v>4990</v>
      </c>
      <c r="N459" s="596">
        <v>25700.0</v>
      </c>
      <c r="O459" s="596">
        <v>2.0</v>
      </c>
      <c r="P459" s="596">
        <v>-567.0</v>
      </c>
      <c r="Q459" s="596">
        <v>2114.0</v>
      </c>
      <c r="R459" s="604">
        <f t="shared" si="130"/>
        <v>1547</v>
      </c>
      <c r="S459" s="408" t="s">
        <v>4506</v>
      </c>
      <c r="T459" s="865" t="s">
        <v>5010</v>
      </c>
      <c r="U459" s="863"/>
    </row>
    <row r="460" ht="22.5" customHeight="1">
      <c r="A460" s="349">
        <v>45839.0</v>
      </c>
      <c r="B460" s="219" t="s">
        <v>4973</v>
      </c>
      <c r="C460" s="267" t="s">
        <v>4485</v>
      </c>
      <c r="D460" s="266" t="s">
        <v>4974</v>
      </c>
      <c r="E460" s="270">
        <v>0.3854166666666667</v>
      </c>
      <c r="F460" s="212">
        <v>25700.0</v>
      </c>
      <c r="G460" s="212">
        <v>3.0</v>
      </c>
      <c r="H460" s="212">
        <v>-852.0</v>
      </c>
      <c r="I460" s="212">
        <v>-1560.0</v>
      </c>
      <c r="J460" s="212">
        <f t="shared" si="129"/>
        <v>-2412</v>
      </c>
      <c r="K460" s="288" t="s">
        <v>4499</v>
      </c>
      <c r="L460" s="274" t="s">
        <v>5011</v>
      </c>
      <c r="M460" s="212" t="s">
        <v>4990</v>
      </c>
      <c r="N460" s="212">
        <v>25700.0</v>
      </c>
      <c r="O460" s="212">
        <v>2.0</v>
      </c>
      <c r="P460" s="212">
        <v>772.0</v>
      </c>
      <c r="Q460" s="212">
        <v>-544.0</v>
      </c>
      <c r="R460" s="188">
        <f t="shared" si="130"/>
        <v>228</v>
      </c>
      <c r="S460" s="291" t="s">
        <v>4506</v>
      </c>
      <c r="T460" s="274" t="s">
        <v>5012</v>
      </c>
      <c r="U460" s="219"/>
    </row>
    <row r="461" ht="22.5" customHeight="1">
      <c r="A461" s="349">
        <v>45840.0</v>
      </c>
      <c r="B461" s="219" t="s">
        <v>4973</v>
      </c>
      <c r="C461" s="267" t="s">
        <v>4485</v>
      </c>
      <c r="D461" s="266" t="s">
        <v>4974</v>
      </c>
      <c r="E461" s="270">
        <v>0.3854166666666667</v>
      </c>
      <c r="F461" s="212">
        <v>25550.0</v>
      </c>
      <c r="G461" s="212">
        <v>2.0</v>
      </c>
      <c r="H461" s="212">
        <v>-1047.0</v>
      </c>
      <c r="I461" s="212">
        <v>281.0</v>
      </c>
      <c r="J461" s="212">
        <f t="shared" si="129"/>
        <v>-766</v>
      </c>
      <c r="K461" s="288" t="s">
        <v>4499</v>
      </c>
      <c r="L461" s="274" t="s">
        <v>5013</v>
      </c>
      <c r="M461" s="212" t="s">
        <v>4990</v>
      </c>
      <c r="N461" s="212">
        <v>25550.0</v>
      </c>
      <c r="O461" s="212">
        <v>2.0</v>
      </c>
      <c r="P461" s="212">
        <v>-289.0</v>
      </c>
      <c r="Q461" s="212">
        <v>67.0</v>
      </c>
      <c r="R461" s="188">
        <f t="shared" si="130"/>
        <v>-222</v>
      </c>
      <c r="S461" s="288" t="s">
        <v>4499</v>
      </c>
      <c r="T461" s="274" t="s">
        <v>5012</v>
      </c>
      <c r="U461" s="219"/>
    </row>
    <row r="462" ht="22.5" customHeight="1">
      <c r="A462" s="349">
        <v>45841.0</v>
      </c>
      <c r="B462" s="219" t="s">
        <v>4973</v>
      </c>
      <c r="C462" s="267" t="s">
        <v>4485</v>
      </c>
      <c r="D462" s="266" t="s">
        <v>4974</v>
      </c>
      <c r="E462" s="270">
        <v>0.3854166666666667</v>
      </c>
      <c r="F462" s="212">
        <v>25500.0</v>
      </c>
      <c r="G462" s="212">
        <v>4.0</v>
      </c>
      <c r="H462" s="212">
        <v>3190.0</v>
      </c>
      <c r="I462" s="212">
        <v>-2825.0</v>
      </c>
      <c r="J462" s="212">
        <f t="shared" si="129"/>
        <v>365</v>
      </c>
      <c r="K462" s="291" t="s">
        <v>4506</v>
      </c>
      <c r="L462" s="274" t="s">
        <v>5014</v>
      </c>
      <c r="M462" s="212" t="s">
        <v>4990</v>
      </c>
      <c r="N462" s="212">
        <v>25500.0</v>
      </c>
      <c r="O462" s="212">
        <v>4.0</v>
      </c>
      <c r="P462" s="212">
        <v>415.0</v>
      </c>
      <c r="Q462" s="212">
        <v>44.0</v>
      </c>
      <c r="R462" s="188">
        <f t="shared" si="130"/>
        <v>459</v>
      </c>
      <c r="S462" s="291" t="s">
        <v>4506</v>
      </c>
      <c r="T462" s="274" t="s">
        <v>5015</v>
      </c>
      <c r="U462" s="219"/>
    </row>
    <row r="463" ht="22.5" customHeight="1">
      <c r="A463" s="349">
        <v>45842.0</v>
      </c>
      <c r="B463" s="219" t="s">
        <v>4973</v>
      </c>
      <c r="C463" s="267" t="s">
        <v>4485</v>
      </c>
      <c r="D463" s="266" t="s">
        <v>4974</v>
      </c>
      <c r="E463" s="270">
        <v>0.3854166666666667</v>
      </c>
      <c r="F463" s="212">
        <v>25400.0</v>
      </c>
      <c r="G463" s="212">
        <v>3.0</v>
      </c>
      <c r="H463" s="212">
        <v>-1358.0</v>
      </c>
      <c r="I463" s="212">
        <v>-1752.0</v>
      </c>
      <c r="J463" s="212">
        <f t="shared" si="129"/>
        <v>-3110</v>
      </c>
      <c r="K463" s="288" t="s">
        <v>4499</v>
      </c>
      <c r="L463" s="274" t="s">
        <v>5016</v>
      </c>
      <c r="M463" s="212" t="s">
        <v>4990</v>
      </c>
      <c r="N463" s="219">
        <v>25400.0</v>
      </c>
      <c r="O463" s="219">
        <v>3.0</v>
      </c>
      <c r="P463" s="219">
        <v>-1358.0</v>
      </c>
      <c r="Q463" s="219">
        <v>-1336.0</v>
      </c>
      <c r="R463" s="188">
        <f t="shared" si="130"/>
        <v>-2694</v>
      </c>
      <c r="S463" s="288" t="s">
        <v>4499</v>
      </c>
      <c r="T463" s="274" t="s">
        <v>5017</v>
      </c>
      <c r="U463" s="219"/>
    </row>
    <row r="464" ht="22.5" customHeight="1">
      <c r="A464" s="349">
        <v>45845.0</v>
      </c>
      <c r="B464" s="219" t="s">
        <v>4973</v>
      </c>
      <c r="C464" s="267" t="s">
        <v>4485</v>
      </c>
      <c r="D464" s="266" t="s">
        <v>4974</v>
      </c>
      <c r="E464" s="270">
        <v>0.3854166666666667</v>
      </c>
      <c r="F464" s="212">
        <v>25550.0</v>
      </c>
      <c r="G464" s="212">
        <v>3.0</v>
      </c>
      <c r="H464" s="212">
        <v>213.0</v>
      </c>
      <c r="I464" s="212">
        <v>-1515.0</v>
      </c>
      <c r="J464" s="212">
        <f t="shared" si="129"/>
        <v>-1302</v>
      </c>
      <c r="K464" s="288" t="s">
        <v>4499</v>
      </c>
      <c r="L464" s="274" t="s">
        <v>5018</v>
      </c>
      <c r="M464" s="212" t="s">
        <v>4990</v>
      </c>
      <c r="N464" s="212">
        <v>25550.0</v>
      </c>
      <c r="O464" s="219">
        <v>3.0</v>
      </c>
      <c r="P464" s="219">
        <v>18.0</v>
      </c>
      <c r="Q464" s="219">
        <v>-1515.0</v>
      </c>
      <c r="R464" s="188">
        <f t="shared" si="130"/>
        <v>-1497</v>
      </c>
      <c r="S464" s="288" t="s">
        <v>4499</v>
      </c>
      <c r="T464" s="274" t="s">
        <v>5019</v>
      </c>
      <c r="U464" s="219"/>
    </row>
    <row r="465" ht="22.5" customHeight="1">
      <c r="A465" s="349">
        <v>45846.0</v>
      </c>
      <c r="B465" s="219" t="s">
        <v>4973</v>
      </c>
      <c r="C465" s="267" t="s">
        <v>4485</v>
      </c>
      <c r="D465" s="266" t="s">
        <v>4974</v>
      </c>
      <c r="E465" s="270">
        <v>0.3854166666666667</v>
      </c>
      <c r="F465" s="219">
        <v>25450.0</v>
      </c>
      <c r="G465" s="212">
        <v>2.0</v>
      </c>
      <c r="H465" s="212">
        <v>-1050.0</v>
      </c>
      <c r="I465" s="212">
        <v>-1178.0</v>
      </c>
      <c r="J465" s="212">
        <f t="shared" si="129"/>
        <v>-2228</v>
      </c>
      <c r="K465" s="288" t="s">
        <v>4499</v>
      </c>
      <c r="L465" s="274" t="s">
        <v>5020</v>
      </c>
      <c r="M465" s="581"/>
      <c r="N465" s="581"/>
      <c r="O465" s="581"/>
      <c r="P465" s="581"/>
      <c r="Q465" s="581"/>
      <c r="R465" s="581"/>
      <c r="S465" s="581"/>
      <c r="T465" s="581"/>
      <c r="U465" s="219"/>
    </row>
    <row r="466" ht="22.5" customHeight="1">
      <c r="A466" s="349">
        <v>45847.0</v>
      </c>
      <c r="B466" s="219" t="s">
        <v>4973</v>
      </c>
      <c r="C466" s="267" t="s">
        <v>4485</v>
      </c>
      <c r="D466" s="266" t="s">
        <v>4974</v>
      </c>
      <c r="E466" s="270">
        <v>0.3854166666666667</v>
      </c>
      <c r="F466" s="219">
        <v>25550.0</v>
      </c>
      <c r="G466" s="212">
        <v>2.0</v>
      </c>
      <c r="H466" s="212">
        <v>1559.0</v>
      </c>
      <c r="I466" s="212">
        <v>-1291.0</v>
      </c>
      <c r="J466" s="212">
        <f t="shared" si="129"/>
        <v>268</v>
      </c>
      <c r="K466" s="291" t="s">
        <v>4506</v>
      </c>
      <c r="L466" s="274" t="s">
        <v>5021</v>
      </c>
      <c r="M466" s="219"/>
      <c r="N466" s="219"/>
      <c r="O466" s="219"/>
      <c r="P466" s="219"/>
      <c r="Q466" s="219"/>
      <c r="R466" s="219"/>
      <c r="S466" s="219"/>
      <c r="T466" s="219"/>
      <c r="U466" s="219"/>
    </row>
    <row r="467" ht="22.5" customHeight="1">
      <c r="A467" s="349">
        <v>45848.0</v>
      </c>
      <c r="B467" s="219" t="s">
        <v>4973</v>
      </c>
      <c r="C467" s="267" t="s">
        <v>4485</v>
      </c>
      <c r="D467" s="266" t="s">
        <v>4974</v>
      </c>
      <c r="E467" s="270">
        <v>0.3854166666666667</v>
      </c>
      <c r="F467" s="219">
        <v>25550.0</v>
      </c>
      <c r="G467" s="212">
        <v>2.0</v>
      </c>
      <c r="H467" s="212">
        <v>-1186.0</v>
      </c>
      <c r="I467" s="212">
        <v>2662.0</v>
      </c>
      <c r="J467" s="212">
        <f t="shared" si="129"/>
        <v>1476</v>
      </c>
      <c r="K467" s="291" t="s">
        <v>4506</v>
      </c>
      <c r="L467" s="274" t="s">
        <v>5022</v>
      </c>
      <c r="M467" s="219"/>
      <c r="N467" s="219"/>
      <c r="O467" s="219"/>
      <c r="P467" s="219"/>
      <c r="Q467" s="219"/>
      <c r="R467" s="219"/>
      <c r="S467" s="219"/>
      <c r="T467" s="219"/>
      <c r="U467" s="219"/>
    </row>
    <row r="468" ht="22.5" customHeight="1">
      <c r="A468" s="349">
        <v>45849.0</v>
      </c>
      <c r="B468" s="219" t="s">
        <v>4973</v>
      </c>
      <c r="C468" s="267" t="s">
        <v>4485</v>
      </c>
      <c r="D468" s="266" t="s">
        <v>4974</v>
      </c>
      <c r="E468" s="270">
        <v>0.3854166666666667</v>
      </c>
      <c r="F468" s="219">
        <v>25300.0</v>
      </c>
      <c r="G468" s="212">
        <v>2.0</v>
      </c>
      <c r="H468" s="212">
        <v>1368.0</v>
      </c>
      <c r="I468" s="212">
        <v>-1268.0</v>
      </c>
      <c r="J468" s="212">
        <f t="shared" si="129"/>
        <v>100</v>
      </c>
      <c r="K468" s="291" t="s">
        <v>4506</v>
      </c>
      <c r="L468" s="274" t="s">
        <v>5023</v>
      </c>
      <c r="M468" s="219"/>
      <c r="N468" s="219"/>
      <c r="O468" s="219"/>
      <c r="P468" s="219"/>
      <c r="Q468" s="219"/>
      <c r="R468" s="219"/>
      <c r="S468" s="219"/>
      <c r="T468" s="219"/>
      <c r="U468" s="219"/>
    </row>
    <row r="469" ht="22.5" customHeight="1">
      <c r="A469" s="349">
        <v>45852.0</v>
      </c>
      <c r="B469" s="219" t="s">
        <v>4973</v>
      </c>
      <c r="C469" s="267" t="s">
        <v>4485</v>
      </c>
      <c r="D469" s="266" t="s">
        <v>4974</v>
      </c>
      <c r="E469" s="270">
        <v>0.3854166666666667</v>
      </c>
      <c r="F469" s="219">
        <v>25150.0</v>
      </c>
      <c r="G469" s="212">
        <v>3.0</v>
      </c>
      <c r="H469" s="212">
        <v>104.0</v>
      </c>
      <c r="I469" s="212">
        <v>-2971.0</v>
      </c>
      <c r="J469" s="212">
        <f t="shared" si="129"/>
        <v>-2867</v>
      </c>
      <c r="K469" s="288" t="s">
        <v>4499</v>
      </c>
      <c r="L469" s="274" t="s">
        <v>5024</v>
      </c>
      <c r="M469" s="219"/>
      <c r="N469" s="219"/>
      <c r="O469" s="219"/>
      <c r="P469" s="219"/>
      <c r="Q469" s="219"/>
      <c r="R469" s="219"/>
      <c r="S469" s="219"/>
      <c r="T469" s="219"/>
      <c r="U469" s="219"/>
    </row>
    <row r="470" ht="22.5" customHeight="1">
      <c r="A470" s="349">
        <v>45853.0</v>
      </c>
      <c r="B470" s="219" t="s">
        <v>4973</v>
      </c>
      <c r="C470" s="267" t="s">
        <v>4485</v>
      </c>
      <c r="D470" s="266" t="s">
        <v>4974</v>
      </c>
      <c r="E470" s="270">
        <v>0.3854166666666667</v>
      </c>
      <c r="F470" s="219">
        <v>25100.0</v>
      </c>
      <c r="G470" s="212">
        <v>3.0</v>
      </c>
      <c r="H470" s="212">
        <v>-2739.0</v>
      </c>
      <c r="I470" s="212">
        <v>-342.0</v>
      </c>
      <c r="J470" s="212">
        <f t="shared" si="129"/>
        <v>-3081</v>
      </c>
      <c r="K470" s="288" t="s">
        <v>4499</v>
      </c>
      <c r="L470" s="274" t="s">
        <v>5025</v>
      </c>
      <c r="M470" s="219"/>
      <c r="N470" s="219"/>
      <c r="O470" s="219"/>
      <c r="P470" s="219"/>
      <c r="Q470" s="219"/>
      <c r="R470" s="219"/>
      <c r="S470" s="219"/>
      <c r="T470" s="219"/>
      <c r="U470" s="219"/>
    </row>
    <row r="471" ht="22.5" customHeight="1">
      <c r="A471" s="349">
        <v>45854.0</v>
      </c>
      <c r="B471" s="219"/>
      <c r="C471" s="219"/>
      <c r="D471" s="219"/>
      <c r="E471" s="219"/>
      <c r="F471" s="219"/>
      <c r="G471" s="212"/>
      <c r="H471" s="212"/>
      <c r="I471" s="212"/>
      <c r="J471" s="212"/>
      <c r="K471" s="219"/>
      <c r="L471" s="219"/>
      <c r="M471" s="219"/>
      <c r="N471" s="219"/>
      <c r="O471" s="219"/>
      <c r="P471" s="219"/>
      <c r="Q471" s="219"/>
      <c r="R471" s="219"/>
      <c r="S471" s="219"/>
      <c r="T471" s="219"/>
      <c r="U471" s="219"/>
    </row>
    <row r="472" ht="22.5" customHeight="1">
      <c r="A472" s="349">
        <v>45855.0</v>
      </c>
      <c r="B472" s="219"/>
      <c r="C472" s="219"/>
      <c r="D472" s="219"/>
      <c r="E472" s="219"/>
      <c r="F472" s="219"/>
      <c r="G472" s="212"/>
      <c r="H472" s="212"/>
      <c r="I472" s="212"/>
      <c r="J472" s="212"/>
      <c r="K472" s="219"/>
      <c r="L472" s="219"/>
      <c r="M472" s="219"/>
      <c r="N472" s="219"/>
      <c r="O472" s="219"/>
      <c r="P472" s="219"/>
      <c r="Q472" s="219"/>
      <c r="R472" s="219"/>
      <c r="S472" s="219"/>
      <c r="T472" s="219"/>
      <c r="U472" s="219"/>
    </row>
    <row r="473" ht="22.5" customHeight="1">
      <c r="A473" s="349">
        <v>45856.0</v>
      </c>
      <c r="B473" s="219" t="s">
        <v>4973</v>
      </c>
      <c r="C473" s="267" t="s">
        <v>4485</v>
      </c>
      <c r="D473" s="266" t="s">
        <v>4974</v>
      </c>
      <c r="E473" s="270">
        <v>0.3854166666666667</v>
      </c>
      <c r="F473" s="219">
        <v>25200.0</v>
      </c>
      <c r="G473" s="212">
        <v>2.0</v>
      </c>
      <c r="H473" s="212">
        <v>-1129.0</v>
      </c>
      <c r="I473" s="212">
        <v>6176.0</v>
      </c>
      <c r="J473" s="212">
        <f>H473+I473</f>
        <v>5047</v>
      </c>
      <c r="K473" s="291" t="s">
        <v>4506</v>
      </c>
      <c r="L473" s="274" t="s">
        <v>5026</v>
      </c>
      <c r="M473" s="219"/>
      <c r="N473" s="219"/>
      <c r="O473" s="219"/>
      <c r="P473" s="219"/>
      <c r="Q473" s="219"/>
      <c r="R473" s="219"/>
      <c r="S473" s="219"/>
      <c r="T473" s="219"/>
      <c r="U473" s="219"/>
    </row>
    <row r="474" ht="22.5" customHeight="1">
      <c r="A474" s="349"/>
      <c r="B474" s="219"/>
      <c r="C474" s="219"/>
      <c r="D474" s="219"/>
      <c r="E474" s="219"/>
      <c r="F474" s="219"/>
      <c r="G474" s="212"/>
      <c r="H474" s="212"/>
      <c r="I474" s="212"/>
      <c r="J474" s="212"/>
      <c r="K474" s="219"/>
      <c r="L474" s="219"/>
      <c r="M474" s="219"/>
      <c r="N474" s="219"/>
      <c r="O474" s="219"/>
      <c r="P474" s="219"/>
      <c r="Q474" s="219"/>
      <c r="R474" s="219"/>
      <c r="S474" s="219"/>
      <c r="T474" s="219"/>
      <c r="U474" s="219"/>
    </row>
    <row r="475" ht="22.5" customHeight="1">
      <c r="A475" s="868"/>
      <c r="B475" s="869"/>
      <c r="C475" s="869"/>
      <c r="D475" s="869"/>
      <c r="E475" s="869"/>
      <c r="F475" s="581"/>
      <c r="G475" s="581"/>
      <c r="H475" s="581"/>
      <c r="I475" s="582"/>
      <c r="J475" s="582"/>
      <c r="K475" s="581"/>
      <c r="L475" s="870"/>
      <c r="M475" s="869"/>
      <c r="N475" s="581"/>
      <c r="O475" s="581"/>
      <c r="P475" s="581"/>
      <c r="Q475" s="581"/>
      <c r="R475" s="581"/>
      <c r="S475" s="869"/>
      <c r="T475" s="870"/>
      <c r="U475" s="581"/>
    </row>
    <row r="476">
      <c r="A476" s="871"/>
      <c r="B476" s="872"/>
      <c r="C476" s="871"/>
      <c r="D476" s="871"/>
      <c r="E476" s="871"/>
      <c r="F476" s="871"/>
      <c r="G476" s="1"/>
      <c r="H476" s="1"/>
      <c r="I476" s="1"/>
      <c r="J476" s="1"/>
      <c r="K476" s="871"/>
      <c r="L476" s="873"/>
      <c r="M476" s="871"/>
      <c r="N476" s="871"/>
      <c r="O476" s="871"/>
      <c r="P476" s="871"/>
      <c r="Q476" s="871"/>
      <c r="R476" s="871"/>
      <c r="S476" s="871"/>
      <c r="T476" s="871"/>
      <c r="U476" s="871"/>
    </row>
    <row r="477">
      <c r="A477" s="871"/>
      <c r="B477" s="874"/>
      <c r="F477" s="1"/>
      <c r="G477" s="1"/>
      <c r="H477" s="2"/>
      <c r="I477" s="2"/>
      <c r="J477" s="1"/>
      <c r="L477" s="873"/>
      <c r="T477" s="873"/>
      <c r="U477" s="1"/>
    </row>
    <row r="478">
      <c r="A478" s="871"/>
      <c r="B478" s="874"/>
      <c r="F478" s="1"/>
      <c r="G478" s="1"/>
      <c r="H478" s="2"/>
      <c r="I478" s="1"/>
      <c r="J478" s="1"/>
      <c r="L478" s="873"/>
      <c r="N478" s="1"/>
      <c r="O478" s="1"/>
      <c r="P478" s="1"/>
      <c r="Q478" s="1"/>
      <c r="T478" s="873"/>
      <c r="U478" s="1"/>
    </row>
    <row r="479">
      <c r="A479" s="871"/>
      <c r="B479" s="874"/>
      <c r="E479" s="2"/>
      <c r="F479" s="875" t="s">
        <v>5027</v>
      </c>
      <c r="G479" s="2"/>
      <c r="H479" s="1"/>
      <c r="I479" s="1"/>
      <c r="J479" s="1"/>
      <c r="L479" s="873"/>
      <c r="M479" s="2"/>
      <c r="O479" s="2"/>
      <c r="P479" s="875" t="s">
        <v>5028</v>
      </c>
      <c r="Q479" s="1"/>
      <c r="R479" s="1"/>
      <c r="S479" s="1"/>
      <c r="T479" s="873"/>
      <c r="U479" s="1"/>
    </row>
    <row r="480">
      <c r="A480" s="871"/>
      <c r="E480" s="2"/>
      <c r="F480" s="46"/>
      <c r="G480" s="2"/>
      <c r="H480" s="46"/>
      <c r="I480" s="2"/>
      <c r="J480" s="829"/>
      <c r="L480" s="873"/>
      <c r="M480" s="2"/>
      <c r="O480" s="1"/>
      <c r="P480" s="46"/>
      <c r="Q480" s="2"/>
      <c r="R480" s="46"/>
      <c r="S480" s="2"/>
      <c r="T480" s="873"/>
      <c r="U480" s="1"/>
    </row>
    <row r="481" ht="22.5" customHeight="1">
      <c r="A481" s="871"/>
      <c r="E481" s="2"/>
      <c r="F481" s="212" t="s">
        <v>4359</v>
      </c>
      <c r="G481" s="212" t="s">
        <v>5029</v>
      </c>
      <c r="H481" s="212" t="s">
        <v>89</v>
      </c>
      <c r="I481" s="212" t="s">
        <v>5030</v>
      </c>
      <c r="J481" s="212" t="s">
        <v>5031</v>
      </c>
      <c r="K481" s="212" t="s">
        <v>4361</v>
      </c>
      <c r="L481" s="219" t="s">
        <v>39</v>
      </c>
      <c r="M481" s="2"/>
      <c r="O481" s="1"/>
      <c r="P481" s="876"/>
      <c r="Q481" s="876"/>
      <c r="R481" s="876"/>
      <c r="T481" s="876"/>
      <c r="U481" s="876"/>
    </row>
    <row r="482" ht="22.5" customHeight="1">
      <c r="A482" s="871"/>
      <c r="E482" s="2"/>
      <c r="F482" s="212" t="s">
        <v>5032</v>
      </c>
      <c r="G482" s="212">
        <f>sum(J434:J438)</f>
        <v>15446</v>
      </c>
      <c r="H482" s="188">
        <f>sum(G434:G438)</f>
        <v>12</v>
      </c>
      <c r="I482" s="188">
        <f>COUNTIF(K434:K438, "PROFIT")</f>
        <v>4</v>
      </c>
      <c r="J482" s="188">
        <f>COUNTIF(K434:K438, "LOSS")</f>
        <v>1</v>
      </c>
      <c r="K482" s="188">
        <f t="shared" ref="K482:K485" si="131">H482*68</f>
        <v>816</v>
      </c>
      <c r="L482" s="300">
        <f t="shared" ref="L482:L485" si="132">G482-K482</f>
        <v>14630</v>
      </c>
      <c r="P482" s="876"/>
      <c r="Q482" s="876"/>
      <c r="R482" s="876"/>
      <c r="T482" s="876"/>
      <c r="U482" s="876"/>
    </row>
    <row r="483" ht="22.5" customHeight="1">
      <c r="A483" s="871"/>
      <c r="E483" s="2"/>
      <c r="F483" s="212" t="s">
        <v>5033</v>
      </c>
      <c r="G483" s="212">
        <f>sum(J439:J459)</f>
        <v>6836</v>
      </c>
      <c r="H483" s="188">
        <f>sum(G439:G459)</f>
        <v>60</v>
      </c>
      <c r="I483" s="188">
        <f>COUNTIF(K439:K459, "PROFIT")</f>
        <v>10</v>
      </c>
      <c r="J483" s="188">
        <f>COUNTIF(K439:K459, "LOSS")</f>
        <v>11</v>
      </c>
      <c r="K483" s="188">
        <f t="shared" si="131"/>
        <v>4080</v>
      </c>
      <c r="L483" s="300">
        <f t="shared" si="132"/>
        <v>2756</v>
      </c>
      <c r="P483" s="876"/>
      <c r="Q483" s="876"/>
      <c r="R483" s="876"/>
      <c r="T483" s="876"/>
      <c r="U483" s="876"/>
    </row>
    <row r="484" ht="22.5" customHeight="1">
      <c r="A484" s="871"/>
      <c r="F484" s="212" t="s">
        <v>5034</v>
      </c>
      <c r="G484" s="212">
        <f>sum(J460:J475)</f>
        <v>-8510</v>
      </c>
      <c r="H484" s="188">
        <f>sum(G460:G475)</f>
        <v>31</v>
      </c>
      <c r="I484" s="188">
        <f>COUNTIF(K460:K475, "PROFIT")</f>
        <v>5</v>
      </c>
      <c r="J484" s="188">
        <f>COUNTIF(K460:K475, "LOSS")</f>
        <v>7</v>
      </c>
      <c r="K484" s="188">
        <f t="shared" si="131"/>
        <v>2108</v>
      </c>
      <c r="L484" s="300">
        <f t="shared" si="132"/>
        <v>-10618</v>
      </c>
      <c r="P484" s="1"/>
      <c r="R484" s="873"/>
      <c r="S484" s="2"/>
      <c r="T484" s="873"/>
      <c r="U484" s="1"/>
    </row>
    <row r="485" ht="22.5" customHeight="1">
      <c r="A485" s="871"/>
      <c r="F485" s="877" t="s">
        <v>5035</v>
      </c>
      <c r="G485" s="877">
        <f>sum(J434:J475)</f>
        <v>13772</v>
      </c>
      <c r="H485" s="296">
        <f>sum(G434:G475)</f>
        <v>103</v>
      </c>
      <c r="I485" s="296">
        <f>COUNTIF(K434:K475, "PROFIT")</f>
        <v>19</v>
      </c>
      <c r="J485" s="296">
        <f>COUNTIF(K434:K475, "LOSS")</f>
        <v>19</v>
      </c>
      <c r="K485" s="296">
        <f t="shared" si="131"/>
        <v>7004</v>
      </c>
      <c r="L485" s="878">
        <f t="shared" si="132"/>
        <v>6768</v>
      </c>
      <c r="N485" s="1"/>
      <c r="O485" s="1"/>
      <c r="P485" s="1"/>
    </row>
    <row r="486">
      <c r="A486" s="871"/>
      <c r="L486" s="873"/>
    </row>
    <row r="487">
      <c r="A487" s="871"/>
      <c r="L487" s="873"/>
    </row>
    <row r="488">
      <c r="A488" s="871"/>
      <c r="L488" s="873"/>
      <c r="R488" s="876"/>
      <c r="S488" s="876"/>
      <c r="T488" s="876"/>
      <c r="U488" s="876"/>
    </row>
    <row r="489" ht="22.5" customHeight="1">
      <c r="A489" s="871"/>
      <c r="F489" s="879" t="s">
        <v>4359</v>
      </c>
      <c r="G489" s="880" t="s">
        <v>82</v>
      </c>
      <c r="H489" s="881" t="s">
        <v>5036</v>
      </c>
      <c r="I489" s="881" t="s">
        <v>5037</v>
      </c>
      <c r="J489" s="881" t="s">
        <v>5038</v>
      </c>
      <c r="K489" s="881" t="s">
        <v>5039</v>
      </c>
      <c r="L489" s="882" t="s">
        <v>47</v>
      </c>
      <c r="M489" s="883" t="s">
        <v>4399</v>
      </c>
      <c r="N489" s="883" t="s">
        <v>5040</v>
      </c>
      <c r="O489" s="883" t="s">
        <v>5041</v>
      </c>
      <c r="P489" s="883" t="s">
        <v>4367</v>
      </c>
      <c r="R489" s="876"/>
      <c r="S489" s="876"/>
      <c r="T489" s="876"/>
      <c r="U489" s="876"/>
    </row>
    <row r="490" ht="22.5" customHeight="1">
      <c r="A490" s="871"/>
      <c r="F490" s="884" t="s">
        <v>5042</v>
      </c>
      <c r="G490" s="885" t="s">
        <v>107</v>
      </c>
      <c r="H490" s="886" t="s">
        <v>65</v>
      </c>
      <c r="I490" s="887">
        <v>-2412.0</v>
      </c>
      <c r="J490" s="887">
        <v>-766.0</v>
      </c>
      <c r="K490" s="888">
        <v>365.0</v>
      </c>
      <c r="L490" s="889">
        <v>-3110.0</v>
      </c>
      <c r="M490" s="890">
        <f t="shared" ref="M490:M491" si="133">sum(H490:L490)</f>
        <v>-5923</v>
      </c>
      <c r="N490" s="890">
        <f t="shared" ref="N490:N491" si="134">AVERAGE(H490:L490)</f>
        <v>-1480.75</v>
      </c>
      <c r="O490" s="891" t="s">
        <v>65</v>
      </c>
      <c r="P490" s="890"/>
      <c r="R490" s="876"/>
      <c r="S490" s="876"/>
      <c r="T490" s="876"/>
      <c r="U490" s="876"/>
    </row>
    <row r="491" ht="22.5" customHeight="1">
      <c r="A491" s="871"/>
      <c r="F491" s="892" t="s">
        <v>5042</v>
      </c>
      <c r="G491" s="220" t="s">
        <v>118</v>
      </c>
      <c r="H491" s="893">
        <v>-1302.0</v>
      </c>
      <c r="I491" s="893">
        <v>-2228.0</v>
      </c>
      <c r="J491" s="888">
        <v>268.0</v>
      </c>
      <c r="K491" s="888">
        <v>1476.0</v>
      </c>
      <c r="L491" s="359"/>
      <c r="M491" s="890">
        <f t="shared" si="133"/>
        <v>-1786</v>
      </c>
      <c r="N491" s="890">
        <f t="shared" si="134"/>
        <v>-446.5</v>
      </c>
      <c r="O491" s="891" t="s">
        <v>65</v>
      </c>
      <c r="P491" s="890"/>
    </row>
    <row r="492" ht="22.5" customHeight="1">
      <c r="A492" s="871"/>
      <c r="F492" s="892" t="s">
        <v>5042</v>
      </c>
      <c r="G492" s="220" t="s">
        <v>131</v>
      </c>
      <c r="H492" s="188"/>
      <c r="I492" s="188"/>
      <c r="J492" s="188"/>
      <c r="K492" s="188"/>
      <c r="L492" s="359"/>
      <c r="M492" s="890"/>
      <c r="N492" s="890"/>
      <c r="O492" s="891" t="s">
        <v>65</v>
      </c>
      <c r="P492" s="890"/>
    </row>
    <row r="493" ht="22.5" customHeight="1">
      <c r="A493" s="871"/>
      <c r="F493" s="892" t="s">
        <v>5042</v>
      </c>
      <c r="G493" s="220" t="s">
        <v>137</v>
      </c>
      <c r="H493" s="188"/>
      <c r="I493" s="188"/>
      <c r="J493" s="188"/>
      <c r="K493" s="188"/>
      <c r="L493" s="359"/>
      <c r="M493" s="890"/>
      <c r="N493" s="890"/>
      <c r="O493" s="891" t="s">
        <v>65</v>
      </c>
      <c r="P493" s="890"/>
    </row>
    <row r="494" ht="22.5" customHeight="1">
      <c r="A494" s="871"/>
      <c r="F494" s="894"/>
      <c r="G494" s="895"/>
      <c r="H494" s="604"/>
      <c r="I494" s="604"/>
      <c r="J494" s="604"/>
      <c r="K494" s="604"/>
      <c r="L494" s="896"/>
      <c r="M494" s="897">
        <f>sum(M490:M493)</f>
        <v>-7709</v>
      </c>
      <c r="N494" s="897" t="s">
        <v>65</v>
      </c>
      <c r="O494" s="898">
        <f>AVERAGE(H490:L493)</f>
        <v>-963.625</v>
      </c>
      <c r="P494" s="899"/>
      <c r="Q494" s="1"/>
      <c r="R494" s="1"/>
      <c r="T494" s="873"/>
      <c r="U494" s="1"/>
    </row>
    <row r="495" ht="22.5" customHeight="1">
      <c r="A495" s="871"/>
      <c r="F495" s="892" t="s">
        <v>5043</v>
      </c>
      <c r="G495" s="220" t="s">
        <v>107</v>
      </c>
      <c r="H495" s="900"/>
      <c r="I495" s="900"/>
      <c r="J495" s="900"/>
      <c r="K495" s="900"/>
      <c r="L495" s="901"/>
      <c r="M495" s="890">
        <f t="shared" ref="M495:M496" si="135">sum(H495:L495)</f>
        <v>0</v>
      </c>
      <c r="N495" s="890" t="str">
        <f t="shared" ref="N495:N496" si="136">AVERAGE(H495:L495)</f>
        <v>#DIV/0!</v>
      </c>
      <c r="O495" s="891" t="s">
        <v>65</v>
      </c>
      <c r="P495" s="890"/>
      <c r="Q495" s="1"/>
      <c r="R495" s="1"/>
      <c r="T495" s="873"/>
      <c r="U495" s="1"/>
    </row>
    <row r="496" ht="22.5" customHeight="1">
      <c r="A496" s="871"/>
      <c r="F496" s="892" t="s">
        <v>5043</v>
      </c>
      <c r="G496" s="220" t="s">
        <v>118</v>
      </c>
      <c r="H496" s="900"/>
      <c r="I496" s="900"/>
      <c r="J496" s="900"/>
      <c r="K496" s="900"/>
      <c r="L496" s="901"/>
      <c r="M496" s="890">
        <f t="shared" si="135"/>
        <v>0</v>
      </c>
      <c r="N496" s="890" t="str">
        <f t="shared" si="136"/>
        <v>#DIV/0!</v>
      </c>
      <c r="O496" s="891" t="s">
        <v>65</v>
      </c>
      <c r="P496" s="890"/>
      <c r="Q496" s="1"/>
      <c r="R496" s="1"/>
      <c r="T496" s="873"/>
      <c r="U496" s="1"/>
    </row>
    <row r="497" ht="22.5" customHeight="1">
      <c r="A497" s="871"/>
      <c r="F497" s="892" t="s">
        <v>5043</v>
      </c>
      <c r="G497" s="220" t="s">
        <v>131</v>
      </c>
      <c r="H497" s="900"/>
      <c r="I497" s="900"/>
      <c r="J497" s="900"/>
      <c r="K497" s="900"/>
      <c r="L497" s="901"/>
      <c r="M497" s="890"/>
      <c r="N497" s="890"/>
      <c r="O497" s="891" t="s">
        <v>65</v>
      </c>
      <c r="P497" s="890"/>
      <c r="Q497" s="1"/>
      <c r="R497" s="1"/>
      <c r="T497" s="873"/>
      <c r="U497" s="1"/>
    </row>
    <row r="498" ht="22.5" customHeight="1">
      <c r="A498" s="871"/>
      <c r="F498" s="892" t="s">
        <v>5043</v>
      </c>
      <c r="G498" s="220" t="s">
        <v>137</v>
      </c>
      <c r="H498" s="188"/>
      <c r="I498" s="188"/>
      <c r="J498" s="188"/>
      <c r="K498" s="188"/>
      <c r="L498" s="351"/>
      <c r="M498" s="890"/>
      <c r="N498" s="890"/>
      <c r="O498" s="891" t="s">
        <v>65</v>
      </c>
      <c r="P498" s="890"/>
      <c r="Q498" s="1"/>
      <c r="R498" s="1"/>
      <c r="T498" s="873"/>
      <c r="U498" s="1"/>
    </row>
    <row r="499" ht="22.5" customHeight="1">
      <c r="A499" s="871"/>
      <c r="F499" s="894"/>
      <c r="G499" s="902"/>
      <c r="H499" s="604"/>
      <c r="I499" s="604"/>
      <c r="J499" s="604"/>
      <c r="K499" s="604"/>
      <c r="L499" s="896"/>
      <c r="M499" s="897">
        <f>sum(M495:M498)</f>
        <v>0</v>
      </c>
      <c r="N499" s="897" t="s">
        <v>65</v>
      </c>
      <c r="O499" s="898" t="str">
        <f>AVERAGE(H495:L498)</f>
        <v>#DIV/0!</v>
      </c>
      <c r="P499" s="899"/>
      <c r="Q499" s="1"/>
      <c r="R499" s="1"/>
      <c r="T499" s="873"/>
      <c r="U499" s="1"/>
    </row>
    <row r="500" ht="22.5" customHeight="1">
      <c r="A500" s="871"/>
      <c r="F500" s="892" t="s">
        <v>5044</v>
      </c>
      <c r="G500" s="338" t="s">
        <v>107</v>
      </c>
      <c r="H500" s="900"/>
      <c r="I500" s="900"/>
      <c r="J500" s="900"/>
      <c r="K500" s="900"/>
      <c r="L500" s="901"/>
      <c r="M500" s="890">
        <f t="shared" ref="M500:M501" si="137">sum(H500:L500)</f>
        <v>0</v>
      </c>
      <c r="N500" s="890" t="str">
        <f t="shared" ref="N500:N501" si="138">AVERAGE(H500:L500)</f>
        <v>#DIV/0!</v>
      </c>
      <c r="O500" s="891" t="s">
        <v>65</v>
      </c>
      <c r="P500" s="890"/>
      <c r="Q500" s="1"/>
      <c r="R500" s="1"/>
      <c r="T500" s="873"/>
      <c r="U500" s="1"/>
    </row>
    <row r="501" ht="22.5" customHeight="1">
      <c r="A501" s="871"/>
      <c r="F501" s="892" t="s">
        <v>5044</v>
      </c>
      <c r="G501" s="220" t="s">
        <v>118</v>
      </c>
      <c r="H501" s="900"/>
      <c r="I501" s="900"/>
      <c r="J501" s="900"/>
      <c r="K501" s="900"/>
      <c r="L501" s="901"/>
      <c r="M501" s="890">
        <f t="shared" si="137"/>
        <v>0</v>
      </c>
      <c r="N501" s="890" t="str">
        <f t="shared" si="138"/>
        <v>#DIV/0!</v>
      </c>
      <c r="O501" s="891" t="s">
        <v>65</v>
      </c>
      <c r="P501" s="890"/>
      <c r="Q501" s="1"/>
      <c r="R501" s="1"/>
      <c r="T501" s="873"/>
      <c r="U501" s="1"/>
    </row>
    <row r="502" ht="22.5" customHeight="1">
      <c r="A502" s="871"/>
      <c r="F502" s="892" t="s">
        <v>5044</v>
      </c>
      <c r="G502" s="220" t="s">
        <v>131</v>
      </c>
      <c r="H502" s="289"/>
      <c r="I502" s="220"/>
      <c r="J502" s="289"/>
      <c r="K502" s="289"/>
      <c r="L502" s="903"/>
      <c r="M502" s="890"/>
      <c r="N502" s="890"/>
      <c r="O502" s="891" t="s">
        <v>65</v>
      </c>
      <c r="P502" s="890"/>
      <c r="Q502" s="1"/>
      <c r="R502" s="1"/>
      <c r="T502" s="873"/>
      <c r="U502" s="1"/>
    </row>
    <row r="503" ht="22.5" customHeight="1">
      <c r="A503" s="871"/>
      <c r="F503" s="892" t="s">
        <v>5044</v>
      </c>
      <c r="G503" s="220" t="s">
        <v>137</v>
      </c>
      <c r="H503" s="289"/>
      <c r="I503" s="289"/>
      <c r="J503" s="289"/>
      <c r="K503" s="289"/>
      <c r="L503" s="903"/>
      <c r="M503" s="890"/>
      <c r="N503" s="890"/>
      <c r="O503" s="891" t="s">
        <v>65</v>
      </c>
      <c r="P503" s="890"/>
      <c r="Q503" s="1"/>
      <c r="R503" s="1"/>
      <c r="T503" s="873"/>
      <c r="U503" s="1"/>
    </row>
    <row r="504" ht="22.5" customHeight="1">
      <c r="A504" s="871"/>
      <c r="F504" s="892"/>
      <c r="G504" s="338"/>
      <c r="H504" s="289"/>
      <c r="I504" s="289"/>
      <c r="J504" s="289"/>
      <c r="K504" s="289"/>
      <c r="L504" s="903"/>
      <c r="M504" s="897">
        <f>sum(M500:M503)</f>
        <v>0</v>
      </c>
      <c r="N504" s="897" t="s">
        <v>65</v>
      </c>
      <c r="O504" s="898" t="str">
        <f>AVERAGE(H500:L503)</f>
        <v>#DIV/0!</v>
      </c>
      <c r="P504" s="899"/>
      <c r="Q504" s="1"/>
      <c r="R504" s="1"/>
      <c r="T504" s="873"/>
      <c r="U504" s="1"/>
    </row>
    <row r="505" ht="22.5" customHeight="1">
      <c r="A505" s="871"/>
      <c r="F505" s="884" t="s">
        <v>5045</v>
      </c>
      <c r="G505" s="904" t="s">
        <v>107</v>
      </c>
      <c r="H505" s="905"/>
      <c r="I505" s="905"/>
      <c r="J505" s="905"/>
      <c r="K505" s="905"/>
      <c r="L505" s="906"/>
      <c r="M505" s="907">
        <f t="shared" ref="M505:N505" si="139">sum(H505:L505)</f>
        <v>0</v>
      </c>
      <c r="N505" s="907">
        <f t="shared" si="139"/>
        <v>0</v>
      </c>
      <c r="O505" s="908" t="s">
        <v>65</v>
      </c>
      <c r="P505" s="909"/>
      <c r="Q505" s="1"/>
      <c r="R505" s="1"/>
      <c r="T505" s="873"/>
      <c r="U505" s="1"/>
    </row>
    <row r="506" ht="22.5" customHeight="1">
      <c r="A506" s="871"/>
      <c r="F506" s="892" t="s">
        <v>5045</v>
      </c>
      <c r="G506" s="220" t="s">
        <v>118</v>
      </c>
      <c r="H506" s="900"/>
      <c r="I506" s="900"/>
      <c r="J506" s="900"/>
      <c r="K506" s="900"/>
      <c r="L506" s="901"/>
      <c r="M506" s="909">
        <f>sum(H506:L506)</f>
        <v>0</v>
      </c>
      <c r="N506" s="909" t="str">
        <f>AVERAGE(H506:L506)</f>
        <v>#DIV/0!</v>
      </c>
      <c r="O506" s="910" t="s">
        <v>65</v>
      </c>
      <c r="P506" s="909"/>
      <c r="Q506" s="1"/>
      <c r="R506" s="1"/>
      <c r="T506" s="873"/>
      <c r="U506" s="1"/>
    </row>
    <row r="507" ht="22.5" customHeight="1">
      <c r="A507" s="871"/>
      <c r="F507" s="892" t="s">
        <v>5045</v>
      </c>
      <c r="G507" s="220" t="s">
        <v>131</v>
      </c>
      <c r="H507" s="188"/>
      <c r="I507" s="188"/>
      <c r="J507" s="188"/>
      <c r="K507" s="188"/>
      <c r="L507" s="359"/>
      <c r="M507" s="909"/>
      <c r="N507" s="909"/>
      <c r="O507" s="910" t="s">
        <v>65</v>
      </c>
      <c r="P507" s="909"/>
      <c r="Q507" s="1"/>
      <c r="R507" s="1"/>
      <c r="T507" s="873"/>
      <c r="U507" s="1"/>
    </row>
    <row r="508" ht="22.5" customHeight="1">
      <c r="A508" s="871"/>
      <c r="F508" s="892" t="s">
        <v>5045</v>
      </c>
      <c r="G508" s="220" t="s">
        <v>137</v>
      </c>
      <c r="H508" s="188"/>
      <c r="I508" s="188"/>
      <c r="J508" s="188"/>
      <c r="K508" s="188"/>
      <c r="L508" s="359"/>
      <c r="M508" s="909"/>
      <c r="N508" s="909"/>
      <c r="O508" s="910" t="s">
        <v>65</v>
      </c>
      <c r="P508" s="909"/>
      <c r="Q508" s="1"/>
      <c r="R508" s="1"/>
      <c r="T508" s="873"/>
      <c r="U508" s="1"/>
    </row>
    <row r="509" ht="22.5" customHeight="1">
      <c r="A509" s="871"/>
      <c r="F509" s="911"/>
      <c r="G509" s="912"/>
      <c r="H509" s="913"/>
      <c r="I509" s="913"/>
      <c r="J509" s="913"/>
      <c r="K509" s="913"/>
      <c r="L509" s="914"/>
      <c r="M509" s="915">
        <f>sum(M505:M508)</f>
        <v>0</v>
      </c>
      <c r="N509" s="604"/>
      <c r="O509" s="916" t="str">
        <f>AVERAGE(H505:L508)</f>
        <v>#DIV/0!</v>
      </c>
      <c r="P509" s="218"/>
      <c r="Q509" s="1"/>
      <c r="R509" s="1"/>
      <c r="T509" s="873"/>
      <c r="U509" s="1"/>
    </row>
    <row r="518">
      <c r="A518" s="917" t="str">
        <f>'JOURNAL- NUM'!$C1</f>
        <v>unique ID</v>
      </c>
      <c r="B518" s="918" t="s">
        <v>5046</v>
      </c>
      <c r="C518" s="919"/>
      <c r="D518" s="55" t="str">
        <f>'JOURNAL- NUM'!H1</f>
        <v>STR Entry</v>
      </c>
      <c r="E518" s="919" t="s">
        <v>5047</v>
      </c>
      <c r="F518" s="920" t="s">
        <v>5048</v>
      </c>
      <c r="G518" s="921" t="s">
        <v>5049</v>
      </c>
    </row>
    <row r="519">
      <c r="A519" s="922" t="str">
        <f>'JOURNAL- NUM'!$C2</f>
        <v>Thu 01 - Jan | 14:50 | No Record | 1</v>
      </c>
      <c r="B519" s="923"/>
      <c r="C519" s="924"/>
      <c r="D519" s="925"/>
      <c r="E519" s="77"/>
      <c r="F519" s="926"/>
      <c r="G519" s="125"/>
    </row>
    <row r="520">
      <c r="A520" s="922" t="str">
        <f>'JOURNAL- NUM'!$C3</f>
        <v>Thu 01 - Jan | 15:15 | No Record | 2</v>
      </c>
      <c r="B520" s="923"/>
      <c r="C520" s="924"/>
      <c r="D520" s="925"/>
      <c r="E520" s="77"/>
      <c r="F520" s="926"/>
      <c r="G520" s="125"/>
    </row>
    <row r="521">
      <c r="A521" s="922" t="str">
        <f>'JOURNAL- NUM'!$C4</f>
        <v>Fri 02 - Jan | 09:17 | Short | 1</v>
      </c>
      <c r="B521" s="923" t="s">
        <v>32</v>
      </c>
      <c r="C521" s="924" t="str">
        <f t="shared" ref="C521:C554" si="140">#REF!</f>
        <v>#REF!</v>
      </c>
      <c r="D521" s="925" t="str">
        <f>'JOURNAL- NUM'!H4</f>
        <v>FIB ENTRY</v>
      </c>
      <c r="E521" s="77" t="s">
        <v>5050</v>
      </c>
      <c r="F521" s="926"/>
      <c r="G521" s="125"/>
    </row>
    <row r="522">
      <c r="A522" s="922" t="str">
        <f>'JOURNAL- NUM'!$C5</f>
        <v>Fri 02 - Jan | 09:25 | Long | 2</v>
      </c>
      <c r="B522" s="923" t="s">
        <v>29</v>
      </c>
      <c r="C522" s="924" t="str">
        <f t="shared" si="140"/>
        <v>#REF!</v>
      </c>
      <c r="D522" s="925" t="str">
        <f>'JOURNAL- NUM'!H5</f>
        <v>Conti</v>
      </c>
      <c r="E522" s="77" t="s">
        <v>125</v>
      </c>
      <c r="F522" s="926"/>
      <c r="G522" s="32" t="s">
        <v>65</v>
      </c>
    </row>
    <row r="523">
      <c r="A523" s="922" t="str">
        <f>'JOURNAL- NUM'!$C6</f>
        <v>Fri 02 - Jan | 10:57 | Short | 3</v>
      </c>
      <c r="B523" s="923" t="s">
        <v>32</v>
      </c>
      <c r="C523" s="924" t="str">
        <f t="shared" si="140"/>
        <v>#REF!</v>
      </c>
      <c r="D523" s="925" t="str">
        <f>'JOURNAL- NUM'!H6</f>
        <v>Reversal</v>
      </c>
      <c r="E523" s="77" t="s">
        <v>5051</v>
      </c>
      <c r="F523" s="926"/>
      <c r="G523" s="32" t="s">
        <v>65</v>
      </c>
    </row>
    <row r="524">
      <c r="A524" s="922" t="str">
        <f>'JOURNAL- NUM'!$C7</f>
        <v>Mon 05 - Jan | 09:36 | Short | 1</v>
      </c>
      <c r="B524" s="923" t="s">
        <v>29</v>
      </c>
      <c r="C524" s="924" t="str">
        <f t="shared" si="140"/>
        <v>#REF!</v>
      </c>
      <c r="D524" s="925" t="str">
        <f>'JOURNAL- NUM'!H7</f>
        <v>Reversal</v>
      </c>
      <c r="E524" s="77" t="s">
        <v>125</v>
      </c>
      <c r="F524" s="926" t="s">
        <v>5052</v>
      </c>
      <c r="G524" s="40" t="s">
        <v>55</v>
      </c>
    </row>
    <row r="525">
      <c r="A525" s="922" t="str">
        <f>'JOURNAL- NUM'!$C8</f>
        <v>Mon 05 - Jan | 09:50 | Long | 2</v>
      </c>
      <c r="B525" s="923" t="s">
        <v>29</v>
      </c>
      <c r="C525" s="924" t="str">
        <f t="shared" si="140"/>
        <v>#REF!</v>
      </c>
      <c r="D525" s="925" t="str">
        <f>'JOURNAL- NUM'!H8</f>
        <v>FIB ENTRY</v>
      </c>
      <c r="E525" s="77" t="s">
        <v>125</v>
      </c>
      <c r="F525" s="927"/>
      <c r="G525" s="32" t="s">
        <v>65</v>
      </c>
    </row>
    <row r="526">
      <c r="A526" s="922" t="str">
        <f>'JOURNAL- NUM'!$C9</f>
        <v>Mon 05 - Jan | 10:12 | Short | 3</v>
      </c>
      <c r="B526" s="923" t="s">
        <v>32</v>
      </c>
      <c r="C526" s="924" t="str">
        <f t="shared" si="140"/>
        <v>#REF!</v>
      </c>
      <c r="D526" s="925" t="str">
        <f>'JOURNAL- NUM'!H9</f>
        <v>Reversal</v>
      </c>
      <c r="E526" s="77" t="s">
        <v>5051</v>
      </c>
      <c r="F526" s="927"/>
      <c r="G526" s="32" t="s">
        <v>65</v>
      </c>
    </row>
    <row r="527">
      <c r="A527" s="922" t="str">
        <f>'JOURNAL- NUM'!$C10</f>
        <v>Mon 05 - Jan | 10:43 | Short | 4</v>
      </c>
      <c r="B527" s="923" t="s">
        <v>32</v>
      </c>
      <c r="C527" s="924" t="str">
        <f t="shared" si="140"/>
        <v>#REF!</v>
      </c>
      <c r="D527" s="925" t="str">
        <f>'JOURNAL- NUM'!H10</f>
        <v>No Record</v>
      </c>
      <c r="F527" s="928"/>
      <c r="G527" s="47" t="s">
        <v>65</v>
      </c>
    </row>
    <row r="528">
      <c r="A528" s="922" t="str">
        <f>'JOURNAL- NUM'!$C11</f>
        <v>Mon 05 - Jan | 11:00 | Short | 5</v>
      </c>
      <c r="B528" s="923" t="s">
        <v>32</v>
      </c>
      <c r="C528" s="924" t="str">
        <f t="shared" si="140"/>
        <v>#REF!</v>
      </c>
      <c r="D528" s="925" t="str">
        <f>'JOURNAL- NUM'!H11</f>
        <v>No Record</v>
      </c>
      <c r="E528" s="929"/>
      <c r="F528" s="926"/>
      <c r="G528" s="32" t="s">
        <v>65</v>
      </c>
    </row>
    <row r="529">
      <c r="A529" s="922" t="str">
        <f>'JOURNAL- NUM'!$C12</f>
        <v>Tue 06 - Jan | 10:22 | Short | 1</v>
      </c>
      <c r="B529" s="923" t="s">
        <v>32</v>
      </c>
      <c r="C529" s="924" t="str">
        <f t="shared" si="140"/>
        <v>#REF!</v>
      </c>
      <c r="D529" s="925" t="str">
        <f>'JOURNAL- NUM'!H12</f>
        <v>No Record</v>
      </c>
      <c r="E529" s="929"/>
      <c r="F529" s="927"/>
      <c r="G529" s="32" t="s">
        <v>65</v>
      </c>
    </row>
    <row r="530">
      <c r="A530" s="922" t="str">
        <f>'JOURNAL- NUM'!$C13</f>
        <v>Tue 06 - Jan | 10:25 | Short | 2</v>
      </c>
      <c r="B530" s="923" t="s">
        <v>32</v>
      </c>
      <c r="C530" s="924" t="str">
        <f t="shared" si="140"/>
        <v>#REF!</v>
      </c>
      <c r="D530" s="925" t="str">
        <f>'JOURNAL- NUM'!H13</f>
        <v>No Record</v>
      </c>
      <c r="E530" s="929"/>
      <c r="F530" s="927"/>
      <c r="G530" s="32" t="s">
        <v>65</v>
      </c>
    </row>
    <row r="531">
      <c r="A531" s="922" t="str">
        <f>'JOURNAL- NUM'!$C14</f>
        <v>Tue 06 - Jan | 10:36 | Short | 3</v>
      </c>
      <c r="B531" s="923" t="s">
        <v>29</v>
      </c>
      <c r="C531" s="924" t="str">
        <f t="shared" si="140"/>
        <v>#REF!</v>
      </c>
      <c r="D531" s="925" t="str">
        <f>'JOURNAL- NUM'!H14</f>
        <v>No Record</v>
      </c>
      <c r="E531" s="929"/>
      <c r="F531" s="927"/>
      <c r="G531" s="41" t="s">
        <v>56</v>
      </c>
    </row>
    <row r="532">
      <c r="A532" s="922" t="str">
        <f>'JOURNAL- NUM'!$C15</f>
        <v>Tue 06 - Jan | 10:55 | Long | 4</v>
      </c>
      <c r="B532" s="923" t="s">
        <v>32</v>
      </c>
      <c r="C532" s="924" t="str">
        <f t="shared" si="140"/>
        <v>#REF!</v>
      </c>
      <c r="D532" s="925" t="str">
        <f>'JOURNAL- NUM'!H15</f>
        <v>No Record</v>
      </c>
      <c r="E532" s="929"/>
      <c r="F532" s="927"/>
      <c r="G532" s="32" t="s">
        <v>65</v>
      </c>
    </row>
    <row r="533">
      <c r="A533" s="922" t="str">
        <f>'JOURNAL- NUM'!$C16</f>
        <v>Wed 07 - Jan | 10:04 | Short | 1</v>
      </c>
      <c r="B533" s="923" t="s">
        <v>32</v>
      </c>
      <c r="C533" s="924" t="str">
        <f t="shared" si="140"/>
        <v>#REF!</v>
      </c>
      <c r="D533" s="925" t="str">
        <f>'JOURNAL- NUM'!H16</f>
        <v>Manual</v>
      </c>
      <c r="E533" s="77" t="s">
        <v>5053</v>
      </c>
      <c r="F533" s="926" t="s">
        <v>5054</v>
      </c>
      <c r="G533" s="42" t="s">
        <v>57</v>
      </c>
    </row>
    <row r="534">
      <c r="A534" s="922" t="str">
        <f>'JOURNAL- NUM'!$C17</f>
        <v>Wed 07 - Jan | 10:39 | Short | 2</v>
      </c>
      <c r="B534" s="923" t="s">
        <v>32</v>
      </c>
      <c r="C534" s="924" t="str">
        <f t="shared" si="140"/>
        <v>#REF!</v>
      </c>
      <c r="D534" s="925" t="str">
        <f>'JOURNAL- NUM'!H17</f>
        <v>Reversal</v>
      </c>
      <c r="E534" s="77" t="s">
        <v>5051</v>
      </c>
      <c r="F534" s="926" t="s">
        <v>5055</v>
      </c>
      <c r="G534" s="41" t="s">
        <v>5056</v>
      </c>
    </row>
    <row r="535">
      <c r="A535" s="922" t="str">
        <f>'JOURNAL- NUM'!$C18</f>
        <v>Thu 08 - Jan | 11:05 | Long | 1</v>
      </c>
      <c r="B535" s="923" t="s">
        <v>32</v>
      </c>
      <c r="C535" s="924" t="str">
        <f t="shared" si="140"/>
        <v>#REF!</v>
      </c>
      <c r="D535" s="925" t="str">
        <f>'JOURNAL- NUM'!H18</f>
        <v>Test</v>
      </c>
      <c r="E535" s="46" t="s">
        <v>5057</v>
      </c>
      <c r="F535" s="927"/>
      <c r="G535" s="32" t="s">
        <v>65</v>
      </c>
    </row>
    <row r="536">
      <c r="A536" s="922" t="str">
        <f>'JOURNAL- NUM'!$C19</f>
        <v>Thu 08 - Jan | 11:56 | Short | 2</v>
      </c>
      <c r="B536" s="923" t="s">
        <v>29</v>
      </c>
      <c r="C536" s="924" t="str">
        <f t="shared" si="140"/>
        <v>#REF!</v>
      </c>
      <c r="D536" s="925" t="str">
        <f>'JOURNAL- NUM'!H19</f>
        <v>Conti</v>
      </c>
      <c r="E536" s="77" t="s">
        <v>125</v>
      </c>
      <c r="F536" s="926" t="s">
        <v>5058</v>
      </c>
      <c r="G536" s="32" t="s">
        <v>65</v>
      </c>
    </row>
    <row r="537">
      <c r="A537" s="930" t="str">
        <f>'JOURNAL- NUM'!$C20</f>
        <v>Fri 09 - Jan | 10:18 | Short | 1</v>
      </c>
      <c r="B537" s="923" t="s">
        <v>32</v>
      </c>
      <c r="C537" s="924" t="str">
        <f t="shared" si="140"/>
        <v>#REF!</v>
      </c>
      <c r="D537" s="925" t="str">
        <f>'JOURNAL- NUM'!H20</f>
        <v>Manual</v>
      </c>
      <c r="E537" s="77" t="s">
        <v>5053</v>
      </c>
      <c r="F537" s="926" t="s">
        <v>61</v>
      </c>
      <c r="G537" s="41" t="s">
        <v>5059</v>
      </c>
    </row>
    <row r="538">
      <c r="A538" s="930" t="str">
        <f>'JOURNAL- NUM'!$C21</f>
        <v>Fri 09 - Jan | 10:27 | Long | 2</v>
      </c>
      <c r="B538" s="923" t="s">
        <v>32</v>
      </c>
      <c r="C538" s="924" t="str">
        <f t="shared" si="140"/>
        <v>#REF!</v>
      </c>
      <c r="D538" s="925" t="str">
        <f>'JOURNAL- NUM'!H21</f>
        <v>Conti</v>
      </c>
      <c r="E538" s="77" t="s">
        <v>5051</v>
      </c>
      <c r="F538" s="927"/>
      <c r="G538" s="32" t="s">
        <v>65</v>
      </c>
    </row>
    <row r="539">
      <c r="A539" s="922" t="str">
        <f>'JOURNAL- NUM'!$C22</f>
        <v>Fri 09 - Jan | 10:37 | Short | 3</v>
      </c>
      <c r="B539" s="923" t="s">
        <v>29</v>
      </c>
      <c r="C539" s="924" t="str">
        <f t="shared" si="140"/>
        <v>#REF!</v>
      </c>
      <c r="D539" s="925" t="str">
        <f>'JOURNAL- NUM'!H22</f>
        <v>Manual</v>
      </c>
      <c r="E539" s="77" t="s">
        <v>125</v>
      </c>
      <c r="F539" s="926" t="s">
        <v>5060</v>
      </c>
      <c r="G539" s="32" t="s">
        <v>65</v>
      </c>
    </row>
    <row r="540">
      <c r="A540" s="930" t="str">
        <f>'JOURNAL- NUM'!$C23</f>
        <v>Mon 12 - Jan | 10:15 | Short | 1</v>
      </c>
      <c r="B540" s="923" t="s">
        <v>32</v>
      </c>
      <c r="C540" s="924" t="str">
        <f t="shared" si="140"/>
        <v>#REF!</v>
      </c>
      <c r="D540" s="925" t="str">
        <f>'JOURNAL- NUM'!H23</f>
        <v>Conti</v>
      </c>
      <c r="E540" s="77" t="s">
        <v>5051</v>
      </c>
      <c r="F540" s="927"/>
      <c r="G540" s="45" t="s">
        <v>62</v>
      </c>
    </row>
    <row r="541">
      <c r="A541" s="922" t="str">
        <f>'JOURNAL- NUM'!$C24</f>
        <v>Mon 12 - Jan | 11:15 | Short | 2</v>
      </c>
      <c r="B541" s="923" t="s">
        <v>29</v>
      </c>
      <c r="C541" s="924" t="str">
        <f t="shared" si="140"/>
        <v>#REF!</v>
      </c>
      <c r="D541" s="925" t="str">
        <f>'JOURNAL- NUM'!H24</f>
        <v>Conti</v>
      </c>
      <c r="E541" s="77" t="s">
        <v>5061</v>
      </c>
      <c r="F541" s="926" t="s">
        <v>5062</v>
      </c>
      <c r="G541" s="32" t="s">
        <v>65</v>
      </c>
    </row>
    <row r="542">
      <c r="A542" s="922" t="str">
        <f>'JOURNAL- NUM'!$C25</f>
        <v>Tue 13 - Jan | 09:36 | Short | 1</v>
      </c>
      <c r="B542" s="923" t="s">
        <v>29</v>
      </c>
      <c r="C542" s="924" t="str">
        <f t="shared" si="140"/>
        <v>#REF!</v>
      </c>
      <c r="D542" s="925" t="str">
        <f>'JOURNAL- NUM'!H25</f>
        <v>Reversal</v>
      </c>
      <c r="E542" s="77" t="s">
        <v>125</v>
      </c>
      <c r="F542" s="926" t="s">
        <v>5063</v>
      </c>
      <c r="G542" s="40" t="s">
        <v>63</v>
      </c>
    </row>
    <row r="543">
      <c r="A543" s="922" t="str">
        <f>'JOURNAL- NUM'!$C26</f>
        <v>Tue 13 - Jan | 09:57 | Short | 2</v>
      </c>
      <c r="B543" s="923" t="s">
        <v>32</v>
      </c>
      <c r="C543" s="924" t="str">
        <f t="shared" si="140"/>
        <v>#REF!</v>
      </c>
      <c r="D543" s="925" t="str">
        <f>'JOURNAL- NUM'!H26</f>
        <v>Conti</v>
      </c>
      <c r="E543" s="77" t="s">
        <v>5051</v>
      </c>
      <c r="F543" s="927"/>
      <c r="G543" s="32" t="s">
        <v>65</v>
      </c>
    </row>
    <row r="544">
      <c r="A544" s="922" t="str">
        <f>'JOURNAL- NUM'!$C27</f>
        <v>Tue 13 - Jan | 11:29 | Long | 3</v>
      </c>
      <c r="B544" s="923" t="s">
        <v>32</v>
      </c>
      <c r="C544" s="924" t="str">
        <f t="shared" si="140"/>
        <v>#REF!</v>
      </c>
      <c r="D544" s="925" t="str">
        <f>'JOURNAL- NUM'!H27</f>
        <v>Conti</v>
      </c>
      <c r="E544" s="77" t="s">
        <v>5064</v>
      </c>
      <c r="F544" s="927"/>
      <c r="G544" s="32" t="s">
        <v>65</v>
      </c>
    </row>
    <row r="545">
      <c r="A545" s="922" t="str">
        <f>'JOURNAL- NUM'!$C28</f>
        <v>Tue 13 - Jan | 12:35 | Short | 4</v>
      </c>
      <c r="B545" s="923" t="s">
        <v>29</v>
      </c>
      <c r="C545" s="924" t="str">
        <f t="shared" si="140"/>
        <v>#REF!</v>
      </c>
      <c r="D545" s="925" t="str">
        <f>'JOURNAL- NUM'!H28</f>
        <v>Conti</v>
      </c>
      <c r="E545" s="77" t="s">
        <v>125</v>
      </c>
      <c r="F545" s="927"/>
      <c r="G545" s="32" t="s">
        <v>65</v>
      </c>
    </row>
    <row r="546">
      <c r="A546" s="922" t="str">
        <f>'JOURNAL- NUM'!$C29</f>
        <v>Wed 14 - Jan | 10:11 | Short | 1</v>
      </c>
      <c r="B546" s="923" t="s">
        <v>29</v>
      </c>
      <c r="C546" s="924" t="str">
        <f t="shared" si="140"/>
        <v>#REF!</v>
      </c>
      <c r="D546" s="925" t="str">
        <f>'JOURNAL- NUM'!H29</f>
        <v>Conti</v>
      </c>
      <c r="E546" s="77" t="s">
        <v>125</v>
      </c>
      <c r="F546" s="926" t="s">
        <v>5065</v>
      </c>
      <c r="G546" s="41" t="s">
        <v>64</v>
      </c>
    </row>
    <row r="547">
      <c r="A547" s="922" t="str">
        <f>'JOURNAL- NUM'!$C30</f>
        <v>Wed 14 - Jan | 10:51 | Long | 2</v>
      </c>
      <c r="B547" s="923" t="s">
        <v>29</v>
      </c>
      <c r="C547" s="924" t="str">
        <f t="shared" si="140"/>
        <v>#REF!</v>
      </c>
      <c r="D547" s="925" t="str">
        <f>'JOURNAL- NUM'!H30</f>
        <v>Conti</v>
      </c>
      <c r="E547" s="77" t="s">
        <v>125</v>
      </c>
      <c r="F547" s="927"/>
      <c r="G547" s="32" t="s">
        <v>65</v>
      </c>
    </row>
    <row r="548">
      <c r="A548" s="922" t="str">
        <f>'JOURNAL- NUM'!$C31</f>
        <v>Fri 16 - Jan | 09:45 | Long | 1</v>
      </c>
      <c r="B548" s="923" t="s">
        <v>29</v>
      </c>
      <c r="C548" s="924" t="str">
        <f t="shared" si="140"/>
        <v>#REF!</v>
      </c>
      <c r="D548" s="925" t="str">
        <f>'JOURNAL- NUM'!H31</f>
        <v>Conti</v>
      </c>
      <c r="E548" s="77" t="s">
        <v>125</v>
      </c>
      <c r="F548" s="926" t="s">
        <v>5066</v>
      </c>
      <c r="G548" s="47" t="s">
        <v>66</v>
      </c>
    </row>
    <row r="549">
      <c r="A549" s="922" t="str">
        <f>'JOURNAL- NUM'!$C32</f>
        <v>Mon 19 - Jan | 09:45 | Long | 1</v>
      </c>
      <c r="B549" s="923" t="s">
        <v>32</v>
      </c>
      <c r="C549" s="924" t="str">
        <f t="shared" si="140"/>
        <v>#REF!</v>
      </c>
      <c r="D549" s="925" t="str">
        <f>'JOURNAL- NUM'!H32</f>
        <v>Reversal</v>
      </c>
      <c r="E549" s="77" t="s">
        <v>125</v>
      </c>
      <c r="F549" s="927"/>
      <c r="G549" s="32"/>
    </row>
    <row r="550">
      <c r="A550" s="922" t="str">
        <f>'JOURNAL- NUM'!$C33</f>
        <v>Mon 19 - Jan | 10:29 | Short | 2</v>
      </c>
      <c r="B550" s="923" t="s">
        <v>32</v>
      </c>
      <c r="C550" s="924" t="str">
        <f t="shared" si="140"/>
        <v>#REF!</v>
      </c>
      <c r="D550" s="925" t="str">
        <f>'JOURNAL- NUM'!H33</f>
        <v>Conti</v>
      </c>
      <c r="E550" s="77" t="s">
        <v>125</v>
      </c>
      <c r="F550" s="927"/>
      <c r="G550" s="32" t="s">
        <v>65</v>
      </c>
    </row>
    <row r="551">
      <c r="A551" s="922" t="str">
        <f>'JOURNAL- NUM'!$C34</f>
        <v>Mon 19 - Jan | 10:59 | Long | 3</v>
      </c>
      <c r="B551" s="923" t="s">
        <v>32</v>
      </c>
      <c r="C551" s="924" t="str">
        <f t="shared" si="140"/>
        <v>#REF!</v>
      </c>
      <c r="D551" s="925" t="str">
        <f>'JOURNAL- NUM'!H34</f>
        <v>Conti</v>
      </c>
      <c r="E551" s="77" t="s">
        <v>5064</v>
      </c>
      <c r="F551" s="927"/>
      <c r="G551" s="32" t="s">
        <v>65</v>
      </c>
    </row>
    <row r="552">
      <c r="A552" s="922" t="str">
        <f>'JOURNAL- NUM'!$C35</f>
        <v>Mon 19 - Jan | 11:55 | Long | 4</v>
      </c>
      <c r="B552" s="923" t="s">
        <v>32</v>
      </c>
      <c r="C552" s="924" t="str">
        <f t="shared" si="140"/>
        <v>#REF!</v>
      </c>
      <c r="D552" s="925" t="str">
        <f>'JOURNAL- NUM'!H35</f>
        <v>Conti</v>
      </c>
      <c r="E552" s="77" t="s">
        <v>5051</v>
      </c>
      <c r="F552" s="927"/>
      <c r="G552" s="32" t="s">
        <v>65</v>
      </c>
    </row>
    <row r="553">
      <c r="A553" s="922" t="str">
        <f>'JOURNAL- NUM'!$C36</f>
        <v>Tue 20 - Jan | 10:17 | Short | 1</v>
      </c>
      <c r="B553" s="923" t="s">
        <v>32</v>
      </c>
      <c r="C553" s="924" t="str">
        <f t="shared" si="140"/>
        <v>#REF!</v>
      </c>
      <c r="D553" s="925" t="str">
        <f>'JOURNAL- NUM'!H36</f>
        <v>Conti</v>
      </c>
      <c r="E553" s="77" t="s">
        <v>5051</v>
      </c>
      <c r="F553" s="931" t="s">
        <v>5067</v>
      </c>
      <c r="G553" s="48" t="s">
        <v>70</v>
      </c>
    </row>
    <row r="554">
      <c r="A554" s="922" t="str">
        <f>'JOURNAL- NUM'!$C37</f>
        <v>Tue 20 - Jan | 10:53 | Short | 2</v>
      </c>
      <c r="B554" s="923" t="s">
        <v>32</v>
      </c>
      <c r="C554" s="924" t="str">
        <f t="shared" si="140"/>
        <v>#REF!</v>
      </c>
      <c r="D554" s="925" t="str">
        <f>'JOURNAL- NUM'!H37</f>
        <v>Conti</v>
      </c>
      <c r="E554" s="77" t="s">
        <v>125</v>
      </c>
      <c r="F554" s="932" t="s">
        <v>5068</v>
      </c>
      <c r="G554" s="933" t="s">
        <v>65</v>
      </c>
    </row>
    <row r="555">
      <c r="A555" s="922" t="str">
        <f>'JOURNAL- NUM'!$C38</f>
        <v>Wed 21 - Jan | 11:27 | Short | 1</v>
      </c>
      <c r="B555" s="934"/>
      <c r="C555" s="1"/>
      <c r="D555" s="13"/>
      <c r="E555" s="1"/>
      <c r="F555" s="935"/>
      <c r="G555" s="936"/>
    </row>
    <row r="556">
      <c r="A556" s="937"/>
      <c r="B556" s="938"/>
      <c r="C556" s="1"/>
      <c r="D556" s="13"/>
      <c r="E556" s="1"/>
      <c r="F556" s="935"/>
      <c r="G556" s="936"/>
    </row>
  </sheetData>
  <conditionalFormatting sqref="B387:B398 F387:I398">
    <cfRule type="cellIs" dxfId="8" priority="1" operator="lessThanOrEqual">
      <formula>-1</formula>
    </cfRule>
  </conditionalFormatting>
  <conditionalFormatting sqref="D387:D398">
    <cfRule type="cellIs" dxfId="0" priority="2" operator="greaterThanOrEqual">
      <formula>4</formula>
    </cfRule>
  </conditionalFormatting>
  <conditionalFormatting sqref="D387:D398">
    <cfRule type="cellIs" dxfId="1" priority="3" operator="lessThanOrEqual">
      <formula>3</formula>
    </cfRule>
  </conditionalFormatting>
  <conditionalFormatting sqref="E211:AS211 AT211:AU212 AV211:BQ211">
    <cfRule type="cellIs" dxfId="9" priority="4" operator="greaterThanOrEqual">
      <formula>3</formula>
    </cfRule>
  </conditionalFormatting>
  <conditionalFormatting sqref="E211:AS211 AT211:AU212 AV211:BQ211">
    <cfRule type="cellIs" dxfId="0" priority="5" operator="lessThanOrEqual">
      <formula>-5</formula>
    </cfRule>
  </conditionalFormatting>
  <conditionalFormatting sqref="AY217:AY219 AX218:AX219 E219:AW237 AZ219:BD237 BN219:BQ237 AX221:AY237 BE221:BM237 B387:B398 F387:I398">
    <cfRule type="cellIs" dxfId="1" priority="6" operator="greaterThanOrEqual">
      <formula>1</formula>
    </cfRule>
  </conditionalFormatting>
  <conditionalFormatting sqref="AY217:AY219 AX218:AX219 E219:AW237 AZ219:BD237 BN219:BQ237 AX221:AY237 BE221:BM237">
    <cfRule type="cellIs" dxfId="0" priority="7" operator="lessThanOrEqual">
      <formula>-1</formula>
    </cfRule>
  </conditionalFormatting>
  <conditionalFormatting sqref="D183 E183:I204 D185:D189 D191:D204">
    <cfRule type="cellIs" dxfId="1" priority="8" operator="greaterThanOrEqual">
      <formula>1</formula>
    </cfRule>
  </conditionalFormatting>
  <conditionalFormatting sqref="D183 E183:I204 D185:D189 D191:D204">
    <cfRule type="cellIs" dxfId="0" priority="9" operator="lessThan">
      <formula>-1</formula>
    </cfRule>
  </conditionalFormatting>
  <conditionalFormatting sqref="Q1:Q26 S1:S7 Q28">
    <cfRule type="containsText" dxfId="10" priority="10" operator="containsText" text="call">
      <formula>NOT(ISERROR(SEARCH(("call"),(Q1))))</formula>
    </cfRule>
  </conditionalFormatting>
  <conditionalFormatting sqref="P1:P24 M26:N26 P26 R26 P28">
    <cfRule type="cellIs" dxfId="11" priority="11" operator="lessThanOrEqual">
      <formula>-30</formula>
    </cfRule>
  </conditionalFormatting>
  <conditionalFormatting sqref="Q1:Q7 S1:S7 U1:U7 V1:V22 L101 N101:Q101 U101 Y101 AA101:AC101 AP101:BQ101">
    <cfRule type="containsText" dxfId="12" priority="12" operator="containsText" text="sell">
      <formula>NOT(ISERROR(SEARCH(("sell"),(Q1))))</formula>
    </cfRule>
  </conditionalFormatting>
  <dataValidations>
    <dataValidation type="custom" allowBlank="1" showDropDown="1" sqref="X8:X28 AH102:AH164">
      <formula1>OR(TIMEVALUE(TEXT(X8, "hh:mm:ss"))=X8, AND(ISNUMBER(X8), LEFT(CELL("format", X8))="D"))</formula1>
    </dataValidation>
    <dataValidation type="list" allowBlank="1" showErrorMessage="1" sqref="B519:B554">
      <formula1>"Loss,Gain"</formula1>
    </dataValidation>
    <dataValidation type="custom" allowBlank="1" showDropDown="1" sqref="A8:A28 B102:B164">
      <formula1>OR(NOT(ISERROR(DATEVALUE(A8))), AND(ISNUMBER(A8), LEFT(CELL("format", A8))="D"))</formula1>
    </dataValidation>
    <dataValidation type="custom" allowBlank="1" showDropDown="1" sqref="P8:Q28 Y8:Y28 AC8:AC28 AF8:AG28 H33:H45 B52:B91 I102:I164 Q102:Q164 U102:W164 AF102:AG164 AI102:AK164 AN102:AO164 N211:N247">
      <formula1>AND(ISNUMBER(B8),(NOT(OR(NOT(ISERROR(DATEVALUE(B8))), AND(ISNUMBER(B8), LEFT(CELL("format", B8))="D")))))</formula1>
    </dataValidation>
    <dataValidation allowBlank="1" showDropDown="1" sqref="B8:C28 E8:E28 C102:D164 F102:F164 G490:G509"/>
  </dataValidations>
  <hyperlinks>
    <hyperlink r:id="rId2" location="gid=0" ref="C2"/>
    <hyperlink r:id="rId3" location="gid=1523876364" ref="B3"/>
    <hyperlink r:id="rId4" location="gid=519005993" ref="B4"/>
    <hyperlink r:id="rId5" ref="S8"/>
    <hyperlink r:id="rId6" ref="S9"/>
    <hyperlink r:id="rId7" ref="S10"/>
    <hyperlink r:id="rId8" ref="S11"/>
    <hyperlink r:id="rId9" ref="S12"/>
    <hyperlink r:id="rId10" ref="S13"/>
    <hyperlink r:id="rId11" ref="S14"/>
    <hyperlink r:id="rId12" ref="S15"/>
    <hyperlink r:id="rId13" ref="S16"/>
    <hyperlink r:id="rId14" ref="S17"/>
    <hyperlink r:id="rId15" ref="S18"/>
    <hyperlink r:id="rId16" ref="S19"/>
    <hyperlink r:id="rId17" ref="S20"/>
    <hyperlink r:id="rId18" ref="S21"/>
    <hyperlink r:id="rId19" ref="S22"/>
    <hyperlink r:id="rId20" ref="I33"/>
    <hyperlink r:id="rId21" ref="I34"/>
    <hyperlink r:id="rId22" ref="I35"/>
    <hyperlink r:id="rId23" ref="I36"/>
    <hyperlink r:id="rId24" ref="I37"/>
    <hyperlink r:id="rId25" ref="I38"/>
    <hyperlink r:id="rId26" ref="I39"/>
    <hyperlink r:id="rId27" ref="I40"/>
    <hyperlink r:id="rId28" ref="I41"/>
    <hyperlink r:id="rId29" ref="I42"/>
    <hyperlink r:id="rId30" ref="I43"/>
    <hyperlink r:id="rId31" ref="P103"/>
    <hyperlink r:id="rId32" ref="R103"/>
    <hyperlink r:id="rId33" ref="M105"/>
    <hyperlink r:id="rId34" ref="N105"/>
    <hyperlink r:id="rId35" ref="O105"/>
    <hyperlink r:id="rId36" ref="P105"/>
    <hyperlink r:id="rId37" ref="R105"/>
    <hyperlink r:id="rId38" ref="N107"/>
    <hyperlink r:id="rId39" ref="O107"/>
    <hyperlink r:id="rId40" ref="M109"/>
    <hyperlink r:id="rId41" ref="N109"/>
    <hyperlink r:id="rId42" ref="O109"/>
    <hyperlink r:id="rId43" ref="P109"/>
    <hyperlink r:id="rId44" ref="R109"/>
    <hyperlink r:id="rId45" ref="N111"/>
    <hyperlink r:id="rId46" ref="O111"/>
    <hyperlink r:id="rId47" ref="P111"/>
    <hyperlink r:id="rId48" ref="M113"/>
    <hyperlink r:id="rId49" ref="N113"/>
    <hyperlink r:id="rId50" ref="O113"/>
    <hyperlink r:id="rId51" ref="P113"/>
    <hyperlink r:id="rId52" ref="M115"/>
    <hyperlink r:id="rId53" ref="N115"/>
    <hyperlink r:id="rId54" ref="O115"/>
    <hyperlink r:id="rId55" ref="M117"/>
    <hyperlink r:id="rId56" ref="N117"/>
    <hyperlink r:id="rId57" ref="O117"/>
    <hyperlink r:id="rId58" ref="M119"/>
    <hyperlink r:id="rId59" ref="M123"/>
    <hyperlink r:id="rId60" ref="N123"/>
    <hyperlink r:id="rId61" ref="O123"/>
    <hyperlink r:id="rId62" ref="P123"/>
    <hyperlink r:id="rId63" ref="R123"/>
    <hyperlink r:id="rId64" ref="M127"/>
    <hyperlink r:id="rId65" ref="N127"/>
    <hyperlink r:id="rId66" ref="O127"/>
    <hyperlink r:id="rId67" ref="P127"/>
    <hyperlink r:id="rId68" ref="M131"/>
    <hyperlink r:id="rId69" ref="N131"/>
    <hyperlink r:id="rId70" ref="O131"/>
    <hyperlink r:id="rId71" ref="M135"/>
    <hyperlink r:id="rId72" ref="M139"/>
    <hyperlink r:id="rId73" ref="N139"/>
    <hyperlink r:id="rId74" ref="O139"/>
    <hyperlink r:id="rId75" ref="M143"/>
    <hyperlink r:id="rId76" ref="M147"/>
    <hyperlink r:id="rId77" ref="O147"/>
    <hyperlink r:id="rId78" ref="T173"/>
    <hyperlink r:id="rId79" ref="U173"/>
    <hyperlink r:id="rId80" ref="U174"/>
    <hyperlink r:id="rId81" ref="M190"/>
    <hyperlink r:id="rId82" ref="N190"/>
    <hyperlink r:id="rId83" ref="O190"/>
    <hyperlink r:id="rId84" ref="P190"/>
    <hyperlink r:id="rId85" ref="G214"/>
    <hyperlink r:id="rId86" ref="H214"/>
    <hyperlink r:id="rId87" ref="I214"/>
    <hyperlink r:id="rId88" ref="J214"/>
    <hyperlink r:id="rId89" ref="K214"/>
    <hyperlink r:id="rId90" ref="L214"/>
    <hyperlink r:id="rId91" ref="P214"/>
    <hyperlink r:id="rId92" ref="Q214"/>
    <hyperlink r:id="rId93" ref="R214"/>
    <hyperlink r:id="rId94" ref="S214"/>
    <hyperlink r:id="rId95" ref="T214"/>
    <hyperlink r:id="rId96" ref="U214"/>
    <hyperlink r:id="rId97" ref="V214"/>
    <hyperlink r:id="rId98" ref="W214"/>
    <hyperlink r:id="rId99" ref="Y214"/>
    <hyperlink r:id="rId100" ref="AD214"/>
    <hyperlink r:id="rId101" ref="AE214"/>
    <hyperlink r:id="rId102" ref="AF214"/>
    <hyperlink r:id="rId103" ref="AG214"/>
    <hyperlink r:id="rId104" ref="AH214"/>
    <hyperlink r:id="rId105" ref="AI214"/>
    <hyperlink r:id="rId106" ref="AM214"/>
    <hyperlink r:id="rId107" ref="AN214"/>
    <hyperlink r:id="rId108" ref="AO214"/>
    <hyperlink r:id="rId109" ref="AP214"/>
    <hyperlink r:id="rId110" ref="AQ214"/>
    <hyperlink r:id="rId111" ref="AR214"/>
    <hyperlink r:id="rId112" ref="AS214"/>
    <hyperlink r:id="rId113" ref="G215"/>
    <hyperlink r:id="rId114" ref="H215"/>
    <hyperlink r:id="rId115" ref="I215"/>
    <hyperlink r:id="rId116" ref="K215"/>
    <hyperlink r:id="rId117" ref="L215"/>
    <hyperlink r:id="rId118" ref="P215"/>
    <hyperlink r:id="rId119" ref="Q215"/>
    <hyperlink r:id="rId120" ref="S215"/>
    <hyperlink r:id="rId121" ref="T215"/>
    <hyperlink r:id="rId122" ref="W215"/>
    <hyperlink r:id="rId123" ref="R283"/>
    <hyperlink r:id="rId124" ref="R284"/>
    <hyperlink r:id="rId125" ref="R326"/>
    <hyperlink r:id="rId126" ref="R336"/>
    <hyperlink r:id="rId127" ref="S336"/>
    <hyperlink r:id="rId128" ref="T336"/>
    <hyperlink r:id="rId129" ref="R337"/>
    <hyperlink r:id="rId130" ref="S337"/>
    <hyperlink r:id="rId131" ref="T337"/>
    <hyperlink r:id="rId132" ref="U337"/>
    <hyperlink r:id="rId133" ref="R338"/>
    <hyperlink r:id="rId134" ref="S338"/>
    <hyperlink r:id="rId135" ref="T338"/>
    <hyperlink r:id="rId136" ref="U338"/>
    <hyperlink r:id="rId137" ref="R356"/>
    <hyperlink r:id="rId138" ref="S356"/>
    <hyperlink r:id="rId139" ref="T356"/>
    <hyperlink r:id="rId140" ref="U356"/>
    <hyperlink r:id="rId141" ref="G388"/>
    <hyperlink r:id="rId142" ref="H388"/>
    <hyperlink r:id="rId143" ref="G389"/>
    <hyperlink r:id="rId144" ref="H389"/>
    <hyperlink r:id="rId145" ref="G390"/>
    <hyperlink r:id="rId146" ref="H390"/>
    <hyperlink r:id="rId147" ref="G391"/>
    <hyperlink r:id="rId148" ref="H391"/>
    <hyperlink r:id="rId149" ref="G392"/>
    <hyperlink r:id="rId150" ref="H392"/>
    <hyperlink r:id="rId151" ref="G397"/>
    <hyperlink r:id="rId152" ref="L434"/>
    <hyperlink r:id="rId153" ref="L435"/>
    <hyperlink r:id="rId154" ref="L436"/>
    <hyperlink r:id="rId155" ref="L437"/>
    <hyperlink r:id="rId156" ref="L438"/>
    <hyperlink r:id="rId157" ref="L439"/>
    <hyperlink r:id="rId158" ref="L440"/>
    <hyperlink r:id="rId159" ref="L441"/>
    <hyperlink r:id="rId160" ref="L442"/>
    <hyperlink r:id="rId161" ref="L443"/>
    <hyperlink r:id="rId162" ref="L444"/>
    <hyperlink r:id="rId163" ref="L445"/>
    <hyperlink r:id="rId164" ref="L446"/>
    <hyperlink r:id="rId165" ref="L447"/>
    <hyperlink r:id="rId166" ref="L448"/>
    <hyperlink r:id="rId167" ref="L449"/>
    <hyperlink r:id="rId168" ref="T449"/>
    <hyperlink r:id="rId169" ref="L450"/>
    <hyperlink r:id="rId170" ref="T450"/>
    <hyperlink r:id="rId171" ref="L451"/>
    <hyperlink r:id="rId172" ref="T451"/>
    <hyperlink r:id="rId173" ref="L452"/>
    <hyperlink r:id="rId174" ref="T452"/>
    <hyperlink r:id="rId175" ref="L453"/>
    <hyperlink r:id="rId176" ref="T453"/>
    <hyperlink r:id="rId177" ref="L454"/>
    <hyperlink r:id="rId178" ref="T454"/>
    <hyperlink r:id="rId179" ref="L455"/>
    <hyperlink r:id="rId180" ref="T455"/>
    <hyperlink r:id="rId181" ref="L456"/>
    <hyperlink r:id="rId182" ref="T456"/>
    <hyperlink r:id="rId183" ref="L457"/>
    <hyperlink r:id="rId184" ref="T457"/>
    <hyperlink r:id="rId185" ref="L458"/>
    <hyperlink r:id="rId186" ref="T458"/>
    <hyperlink r:id="rId187" ref="L459"/>
    <hyperlink r:id="rId188" ref="T459"/>
    <hyperlink r:id="rId189" ref="L460"/>
    <hyperlink r:id="rId190" ref="T460"/>
    <hyperlink r:id="rId191" ref="L461"/>
    <hyperlink r:id="rId192" ref="T461"/>
    <hyperlink r:id="rId193" ref="L462"/>
    <hyperlink r:id="rId194" ref="T462"/>
    <hyperlink r:id="rId195" ref="L463"/>
    <hyperlink r:id="rId196" ref="T463"/>
    <hyperlink r:id="rId197" ref="L464"/>
    <hyperlink r:id="rId198" ref="T464"/>
    <hyperlink r:id="rId199" ref="L465"/>
    <hyperlink r:id="rId200" ref="L466"/>
    <hyperlink r:id="rId201" ref="L467"/>
    <hyperlink r:id="rId202" ref="L468"/>
    <hyperlink r:id="rId203" ref="L469"/>
    <hyperlink r:id="rId204" ref="L470"/>
    <hyperlink r:id="rId205" ref="L473"/>
    <hyperlink r:id="rId206" ref="G524"/>
    <hyperlink r:id="rId207" ref="G531"/>
    <hyperlink r:id="rId208" ref="G533"/>
    <hyperlink r:id="rId209" ref="G534"/>
    <hyperlink r:id="rId210" ref="G537"/>
    <hyperlink r:id="rId211" ref="G540"/>
    <hyperlink r:id="rId212" ref="G542"/>
    <hyperlink r:id="rId213" ref="G546"/>
    <hyperlink r:id="rId214" ref="G548"/>
    <hyperlink r:id="rId215" ref="G553"/>
  </hyperlinks>
  <drawing r:id="rId216"/>
  <legacyDrawing r:id="rId217"/>
  <tableParts count="15">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38"/>
    <col customWidth="1" min="2" max="2" width="19.25"/>
    <col customWidth="1" min="4" max="5" width="18.0"/>
  </cols>
  <sheetData>
    <row r="1" ht="30.75" customHeight="1">
      <c r="A1" s="939" t="s">
        <v>5069</v>
      </c>
      <c r="B1" s="939" t="s">
        <v>5070</v>
      </c>
      <c r="C1" s="939"/>
      <c r="D1" s="939"/>
      <c r="E1" s="939" t="s">
        <v>5071</v>
      </c>
    </row>
    <row r="2">
      <c r="A2" s="125" t="s">
        <v>5072</v>
      </c>
      <c r="B2" s="940" t="s">
        <v>5073</v>
      </c>
      <c r="C2" s="125" t="s">
        <v>5069</v>
      </c>
      <c r="D2" s="125" t="s">
        <v>5074</v>
      </c>
      <c r="E2" s="941" t="s">
        <v>5075</v>
      </c>
    </row>
    <row r="3">
      <c r="A3" s="125" t="s">
        <v>5076</v>
      </c>
      <c r="B3" s="940" t="s">
        <v>5077</v>
      </c>
      <c r="C3" s="125" t="s">
        <v>5069</v>
      </c>
      <c r="D3" s="125" t="s">
        <v>5074</v>
      </c>
      <c r="E3" s="941" t="s">
        <v>5075</v>
      </c>
    </row>
    <row r="4">
      <c r="A4" s="125" t="s">
        <v>5078</v>
      </c>
      <c r="B4" s="940" t="s">
        <v>5079</v>
      </c>
      <c r="C4" s="125" t="s">
        <v>5069</v>
      </c>
      <c r="D4" s="125" t="s">
        <v>5074</v>
      </c>
      <c r="E4" s="941" t="s">
        <v>5075</v>
      </c>
    </row>
    <row r="5">
      <c r="A5" s="125"/>
      <c r="B5" s="941"/>
      <c r="C5" s="125"/>
      <c r="D5" s="125"/>
      <c r="E5" s="941"/>
    </row>
    <row r="6">
      <c r="A6" s="125" t="s">
        <v>5080</v>
      </c>
      <c r="B6" s="940" t="s">
        <v>5081</v>
      </c>
      <c r="C6" s="125" t="s">
        <v>5069</v>
      </c>
      <c r="D6" s="125" t="s">
        <v>5082</v>
      </c>
      <c r="E6" s="941" t="s">
        <v>5083</v>
      </c>
    </row>
    <row r="7">
      <c r="A7" s="125" t="s">
        <v>5084</v>
      </c>
      <c r="B7" s="940" t="s">
        <v>5085</v>
      </c>
      <c r="C7" s="125" t="s">
        <v>5069</v>
      </c>
      <c r="D7" s="125" t="s">
        <v>5082</v>
      </c>
      <c r="E7" s="941" t="s">
        <v>5086</v>
      </c>
    </row>
    <row r="8">
      <c r="A8" s="125" t="s">
        <v>5087</v>
      </c>
      <c r="B8" s="940" t="s">
        <v>5088</v>
      </c>
      <c r="C8" s="125" t="s">
        <v>5069</v>
      </c>
      <c r="D8" s="125" t="s">
        <v>5082</v>
      </c>
      <c r="E8" s="941" t="s">
        <v>5089</v>
      </c>
    </row>
    <row r="9">
      <c r="A9" s="125" t="s">
        <v>5090</v>
      </c>
      <c r="B9" s="940" t="s">
        <v>5091</v>
      </c>
      <c r="C9" s="125" t="s">
        <v>5069</v>
      </c>
      <c r="D9" s="125" t="s">
        <v>5082</v>
      </c>
      <c r="E9" s="941" t="s">
        <v>5089</v>
      </c>
    </row>
    <row r="10">
      <c r="A10" s="125" t="s">
        <v>5092</v>
      </c>
      <c r="B10" s="940" t="s">
        <v>5093</v>
      </c>
      <c r="C10" s="125" t="s">
        <v>5069</v>
      </c>
      <c r="D10" s="125" t="s">
        <v>5082</v>
      </c>
      <c r="E10" s="941" t="s">
        <v>5089</v>
      </c>
    </row>
    <row r="11">
      <c r="A11" s="125" t="s">
        <v>5094</v>
      </c>
      <c r="B11" s="940" t="s">
        <v>5095</v>
      </c>
      <c r="C11" s="125" t="s">
        <v>5069</v>
      </c>
      <c r="D11" s="125" t="s">
        <v>5082</v>
      </c>
      <c r="E11" s="941" t="s">
        <v>5089</v>
      </c>
    </row>
    <row r="12">
      <c r="A12" s="125" t="s">
        <v>5096</v>
      </c>
      <c r="B12" s="940" t="s">
        <v>5097</v>
      </c>
      <c r="C12" s="125" t="s">
        <v>5069</v>
      </c>
      <c r="D12" s="125" t="s">
        <v>5082</v>
      </c>
      <c r="E12" s="941" t="s">
        <v>5098</v>
      </c>
    </row>
    <row r="13">
      <c r="A13" s="125" t="s">
        <v>5099</v>
      </c>
      <c r="B13" s="940" t="s">
        <v>5100</v>
      </c>
      <c r="C13" s="125" t="s">
        <v>5069</v>
      </c>
      <c r="D13" s="125" t="s">
        <v>5082</v>
      </c>
      <c r="E13" s="125"/>
    </row>
    <row r="14">
      <c r="A14" s="125" t="s">
        <v>5101</v>
      </c>
      <c r="B14" s="942" t="s">
        <v>5102</v>
      </c>
      <c r="C14" s="125" t="s">
        <v>5069</v>
      </c>
      <c r="D14" s="125" t="s">
        <v>5082</v>
      </c>
      <c r="E14" s="125"/>
    </row>
    <row r="15">
      <c r="A15" s="125"/>
      <c r="B15" s="941"/>
      <c r="C15" s="125"/>
      <c r="D15" s="125"/>
      <c r="E15" s="125"/>
    </row>
    <row r="16">
      <c r="A16" s="125" t="s">
        <v>5103</v>
      </c>
      <c r="B16" s="940" t="s">
        <v>5104</v>
      </c>
      <c r="C16" s="125" t="s">
        <v>5069</v>
      </c>
      <c r="D16" s="125" t="s">
        <v>5105</v>
      </c>
      <c r="E16" s="125"/>
    </row>
    <row r="17">
      <c r="A17" s="125" t="s">
        <v>5106</v>
      </c>
      <c r="B17" s="940" t="s">
        <v>5107</v>
      </c>
      <c r="C17" s="125" t="s">
        <v>5069</v>
      </c>
      <c r="D17" s="125" t="s">
        <v>5105</v>
      </c>
      <c r="E17" s="125"/>
    </row>
    <row r="18">
      <c r="A18" s="125" t="s">
        <v>5108</v>
      </c>
      <c r="B18" s="940" t="s">
        <v>5109</v>
      </c>
      <c r="C18" s="125" t="s">
        <v>5069</v>
      </c>
      <c r="D18" s="125" t="s">
        <v>5105</v>
      </c>
      <c r="E18" s="125"/>
    </row>
    <row r="19">
      <c r="A19" s="125" t="s">
        <v>5110</v>
      </c>
      <c r="B19" s="940" t="s">
        <v>5111</v>
      </c>
      <c r="C19" s="125" t="s">
        <v>5069</v>
      </c>
      <c r="D19" s="125" t="s">
        <v>5105</v>
      </c>
      <c r="E19" s="125"/>
    </row>
    <row r="20">
      <c r="A20" s="125" t="s">
        <v>5112</v>
      </c>
      <c r="B20" s="940" t="s">
        <v>5113</v>
      </c>
      <c r="C20" s="125" t="s">
        <v>5069</v>
      </c>
      <c r="D20" s="125" t="s">
        <v>5105</v>
      </c>
      <c r="E20" s="125"/>
    </row>
    <row r="21">
      <c r="A21" s="125"/>
      <c r="B21" s="941"/>
      <c r="D21" s="125"/>
      <c r="E21" s="125"/>
    </row>
    <row r="22">
      <c r="A22" s="125" t="s">
        <v>5114</v>
      </c>
      <c r="B22" s="940" t="s">
        <v>5115</v>
      </c>
      <c r="C22" s="943" t="s">
        <v>5116</v>
      </c>
      <c r="D22" s="125"/>
      <c r="E22" s="125"/>
    </row>
    <row r="23">
      <c r="A23" s="125" t="s">
        <v>5117</v>
      </c>
      <c r="B23" s="940" t="s">
        <v>5118</v>
      </c>
      <c r="C23" s="943" t="s">
        <v>5116</v>
      </c>
      <c r="D23" s="125"/>
      <c r="E23" s="125"/>
    </row>
    <row r="24">
      <c r="A24" s="125" t="s">
        <v>5119</v>
      </c>
      <c r="B24" s="940" t="s">
        <v>5120</v>
      </c>
      <c r="C24" s="943" t="s">
        <v>5116</v>
      </c>
      <c r="D24" s="125"/>
      <c r="E24" s="125"/>
    </row>
    <row r="25">
      <c r="A25" s="125"/>
      <c r="B25" s="125"/>
      <c r="C25" s="125"/>
      <c r="D25" s="125"/>
      <c r="E25" s="125"/>
    </row>
    <row r="26">
      <c r="A26" s="125" t="s">
        <v>5121</v>
      </c>
      <c r="B26" s="940" t="s">
        <v>5122</v>
      </c>
      <c r="C26" s="943" t="s">
        <v>5123</v>
      </c>
      <c r="D26" s="125"/>
      <c r="E26" s="125"/>
    </row>
    <row r="27">
      <c r="A27" s="125" t="s">
        <v>5124</v>
      </c>
      <c r="B27" s="940" t="s">
        <v>5125</v>
      </c>
      <c r="C27" s="943" t="s">
        <v>5123</v>
      </c>
      <c r="D27" s="125"/>
      <c r="E27" s="125"/>
    </row>
    <row r="28">
      <c r="A28" s="125" t="s">
        <v>5126</v>
      </c>
      <c r="B28" s="940" t="s">
        <v>5127</v>
      </c>
      <c r="C28" s="943" t="s">
        <v>5123</v>
      </c>
      <c r="D28" s="125"/>
      <c r="E28" s="125"/>
    </row>
    <row r="29">
      <c r="A29" s="125" t="s">
        <v>5128</v>
      </c>
      <c r="B29" s="940" t="s">
        <v>5129</v>
      </c>
      <c r="C29" s="943" t="s">
        <v>5123</v>
      </c>
      <c r="D29" s="125"/>
      <c r="E29" s="125"/>
    </row>
    <row r="30">
      <c r="A30" s="125" t="s">
        <v>5130</v>
      </c>
      <c r="B30" s="940" t="s">
        <v>5131</v>
      </c>
      <c r="C30" s="943" t="s">
        <v>5123</v>
      </c>
      <c r="D30" s="125"/>
      <c r="E30" s="125"/>
    </row>
    <row r="31">
      <c r="A31" s="125" t="s">
        <v>5132</v>
      </c>
      <c r="B31" s="940" t="s">
        <v>5133</v>
      </c>
      <c r="C31" s="943" t="s">
        <v>5123</v>
      </c>
      <c r="D31" s="125"/>
      <c r="E31" s="125"/>
    </row>
    <row r="32">
      <c r="A32" s="125" t="s">
        <v>5134</v>
      </c>
      <c r="B32" s="940" t="s">
        <v>5135</v>
      </c>
      <c r="C32" s="943" t="s">
        <v>5123</v>
      </c>
      <c r="D32" s="125"/>
      <c r="E32" s="125"/>
    </row>
    <row r="33">
      <c r="A33" s="125" t="s">
        <v>5136</v>
      </c>
      <c r="B33" s="940" t="s">
        <v>5137</v>
      </c>
      <c r="C33" s="943" t="s">
        <v>5123</v>
      </c>
      <c r="D33" s="125"/>
      <c r="E33" s="125"/>
    </row>
    <row r="34">
      <c r="A34" s="125" t="s">
        <v>5138</v>
      </c>
      <c r="B34" s="940" t="s">
        <v>5139</v>
      </c>
      <c r="C34" s="943" t="s">
        <v>5123</v>
      </c>
      <c r="D34" s="125"/>
      <c r="E34" s="125"/>
    </row>
    <row r="35">
      <c r="A35" s="125" t="s">
        <v>5140</v>
      </c>
      <c r="B35" s="940" t="s">
        <v>5141</v>
      </c>
      <c r="C35" s="943" t="s">
        <v>5123</v>
      </c>
      <c r="D35" s="125"/>
      <c r="E35" s="125"/>
    </row>
    <row r="36">
      <c r="A36" s="125"/>
      <c r="B36" s="125"/>
      <c r="C36" s="125"/>
      <c r="D36" s="125"/>
      <c r="E36" s="125"/>
    </row>
    <row r="37">
      <c r="A37" s="125" t="s">
        <v>5142</v>
      </c>
      <c r="B37" s="940" t="s">
        <v>5143</v>
      </c>
      <c r="C37" s="941" t="s">
        <v>5144</v>
      </c>
      <c r="D37" s="125"/>
      <c r="E37" s="125"/>
    </row>
    <row r="38">
      <c r="A38" s="125" t="s">
        <v>5145</v>
      </c>
      <c r="B38" s="940" t="s">
        <v>5146</v>
      </c>
      <c r="C38" s="941" t="s">
        <v>5144</v>
      </c>
      <c r="D38" s="944"/>
      <c r="E38" s="944"/>
    </row>
    <row r="39">
      <c r="A39" s="125"/>
      <c r="B39" s="125"/>
      <c r="C39" s="125"/>
      <c r="D39" s="125"/>
      <c r="E39" s="125"/>
    </row>
    <row r="40">
      <c r="A40" s="125"/>
      <c r="B40" s="125"/>
      <c r="C40" s="125"/>
      <c r="D40" s="125"/>
      <c r="E40" s="125"/>
    </row>
    <row r="41">
      <c r="A41" s="125"/>
      <c r="B41" s="125"/>
      <c r="C41" s="125"/>
      <c r="D41" s="125"/>
      <c r="E41" s="125"/>
    </row>
    <row r="42">
      <c r="A42" s="125"/>
      <c r="B42" s="125"/>
      <c r="C42" s="125"/>
      <c r="D42" s="125"/>
      <c r="E42" s="125"/>
    </row>
    <row r="43">
      <c r="A43" s="125"/>
      <c r="B43" s="125"/>
      <c r="C43" s="125"/>
      <c r="D43" s="125"/>
      <c r="E43" s="125"/>
    </row>
    <row r="44">
      <c r="A44" s="125"/>
      <c r="B44" s="125"/>
      <c r="C44" s="125"/>
      <c r="D44" s="125"/>
      <c r="E44" s="125"/>
    </row>
    <row r="45">
      <c r="A45" s="125"/>
      <c r="B45" s="125"/>
      <c r="C45" s="125"/>
      <c r="D45" s="125"/>
      <c r="E45" s="125"/>
    </row>
    <row r="46">
      <c r="A46" s="125"/>
      <c r="B46" s="125"/>
      <c r="C46" s="125"/>
      <c r="D46" s="125"/>
      <c r="E46" s="125"/>
    </row>
    <row r="47">
      <c r="A47" s="125"/>
      <c r="B47" s="125"/>
      <c r="C47" s="125"/>
      <c r="D47" s="125"/>
      <c r="E47" s="125"/>
    </row>
    <row r="48">
      <c r="A48" s="125"/>
      <c r="B48" s="125"/>
      <c r="C48" s="125"/>
      <c r="D48" s="125"/>
      <c r="E48" s="125"/>
    </row>
    <row r="49">
      <c r="A49" s="125"/>
      <c r="B49" s="125"/>
      <c r="C49" s="125"/>
      <c r="D49" s="125"/>
      <c r="E49" s="125"/>
    </row>
    <row r="50">
      <c r="A50" s="125"/>
      <c r="B50" s="125"/>
      <c r="C50" s="125"/>
      <c r="D50" s="125"/>
      <c r="E50" s="125"/>
    </row>
    <row r="51">
      <c r="A51" s="125"/>
      <c r="B51" s="125"/>
      <c r="C51" s="125"/>
      <c r="D51" s="125"/>
      <c r="E51" s="125"/>
    </row>
    <row r="52">
      <c r="A52" s="125"/>
      <c r="B52" s="125"/>
      <c r="C52" s="125"/>
      <c r="D52" s="125"/>
      <c r="E52" s="125"/>
    </row>
    <row r="53">
      <c r="A53" s="125"/>
      <c r="B53" s="125"/>
      <c r="C53" s="125"/>
      <c r="D53" s="125"/>
      <c r="E53" s="125"/>
    </row>
    <row r="54">
      <c r="A54" s="125"/>
      <c r="B54" s="125"/>
      <c r="C54" s="125"/>
      <c r="D54" s="125"/>
      <c r="E54" s="125"/>
    </row>
    <row r="55">
      <c r="A55" s="125"/>
      <c r="B55" s="125"/>
      <c r="C55" s="125"/>
      <c r="D55" s="125"/>
      <c r="E55" s="125"/>
    </row>
    <row r="56">
      <c r="A56" s="125"/>
      <c r="B56" s="125"/>
      <c r="C56" s="125"/>
      <c r="D56" s="125"/>
      <c r="E56" s="125"/>
    </row>
    <row r="57">
      <c r="A57" s="125"/>
      <c r="B57" s="125"/>
      <c r="C57" s="125"/>
      <c r="D57" s="125"/>
      <c r="E57" s="125"/>
    </row>
    <row r="58">
      <c r="A58" s="125"/>
      <c r="B58" s="125"/>
      <c r="C58" s="125"/>
      <c r="D58" s="125"/>
      <c r="E58" s="125"/>
    </row>
    <row r="59">
      <c r="A59" s="125"/>
      <c r="B59" s="125"/>
      <c r="C59" s="125"/>
      <c r="D59" s="125"/>
      <c r="E59" s="125"/>
    </row>
    <row r="60">
      <c r="A60" s="125"/>
      <c r="B60" s="125"/>
      <c r="C60" s="125"/>
      <c r="D60" s="125"/>
      <c r="E60" s="125"/>
    </row>
    <row r="61">
      <c r="A61" s="125"/>
      <c r="B61" s="125"/>
      <c r="C61" s="125"/>
      <c r="D61" s="125"/>
      <c r="E61" s="125"/>
    </row>
    <row r="62">
      <c r="A62" s="125"/>
      <c r="B62" s="125"/>
      <c r="C62" s="125"/>
      <c r="D62" s="125"/>
      <c r="E62" s="125"/>
    </row>
    <row r="63">
      <c r="A63" s="125"/>
      <c r="B63" s="125"/>
      <c r="C63" s="125"/>
      <c r="D63" s="125"/>
      <c r="E63" s="125"/>
    </row>
    <row r="64">
      <c r="A64" s="125"/>
      <c r="B64" s="125"/>
      <c r="C64" s="125"/>
      <c r="D64" s="125"/>
      <c r="E64" s="125"/>
    </row>
    <row r="65">
      <c r="A65" s="125"/>
      <c r="B65" s="125"/>
      <c r="C65" s="125"/>
      <c r="D65" s="125"/>
      <c r="E65" s="125"/>
    </row>
    <row r="66">
      <c r="A66" s="125"/>
      <c r="B66" s="125"/>
      <c r="C66" s="125"/>
      <c r="D66" s="125"/>
      <c r="E66" s="125"/>
    </row>
    <row r="67">
      <c r="A67" s="125"/>
      <c r="B67" s="125"/>
      <c r="C67" s="125"/>
      <c r="D67" s="125"/>
      <c r="E67" s="125"/>
    </row>
    <row r="68">
      <c r="A68" s="125"/>
      <c r="B68" s="125"/>
      <c r="C68" s="125"/>
      <c r="D68" s="125"/>
      <c r="E68" s="125"/>
    </row>
    <row r="69">
      <c r="A69" s="125"/>
      <c r="B69" s="125"/>
      <c r="C69" s="125"/>
      <c r="D69" s="125"/>
      <c r="E69" s="125"/>
    </row>
    <row r="70">
      <c r="A70" s="125"/>
      <c r="B70" s="125"/>
      <c r="C70" s="125"/>
      <c r="D70" s="125"/>
      <c r="E70" s="125"/>
    </row>
    <row r="71">
      <c r="A71" s="125"/>
      <c r="B71" s="125"/>
      <c r="C71" s="125"/>
      <c r="D71" s="125"/>
      <c r="E71" s="125"/>
    </row>
    <row r="72">
      <c r="A72" s="125"/>
      <c r="B72" s="125"/>
      <c r="C72" s="125"/>
      <c r="D72" s="125"/>
      <c r="E72" s="125"/>
    </row>
    <row r="73">
      <c r="A73" s="125"/>
      <c r="B73" s="125"/>
      <c r="C73" s="125"/>
      <c r="D73" s="125"/>
      <c r="E73" s="125"/>
    </row>
    <row r="74">
      <c r="A74" s="125"/>
      <c r="B74" s="125"/>
      <c r="C74" s="125"/>
      <c r="D74" s="125"/>
      <c r="E74" s="125"/>
    </row>
    <row r="75">
      <c r="A75" s="125"/>
      <c r="B75" s="125"/>
      <c r="C75" s="125"/>
      <c r="D75" s="125"/>
      <c r="E75" s="125"/>
    </row>
    <row r="76">
      <c r="A76" s="125"/>
      <c r="B76" s="125"/>
      <c r="C76" s="125"/>
      <c r="D76" s="125"/>
      <c r="E76" s="125"/>
    </row>
    <row r="77">
      <c r="A77" s="125"/>
      <c r="B77" s="125"/>
      <c r="C77" s="125"/>
      <c r="D77" s="125"/>
      <c r="E77" s="125"/>
    </row>
    <row r="78">
      <c r="A78" s="125"/>
      <c r="B78" s="125"/>
      <c r="C78" s="125"/>
      <c r="D78" s="125"/>
      <c r="E78" s="125"/>
    </row>
    <row r="79">
      <c r="A79" s="125"/>
      <c r="B79" s="125"/>
      <c r="C79" s="125"/>
      <c r="D79" s="125"/>
      <c r="E79" s="125"/>
    </row>
    <row r="80">
      <c r="A80" s="125"/>
      <c r="B80" s="125"/>
      <c r="C80" s="125"/>
      <c r="D80" s="125"/>
      <c r="E80" s="125"/>
    </row>
    <row r="81">
      <c r="A81" s="125"/>
      <c r="B81" s="125"/>
      <c r="C81" s="125"/>
      <c r="D81" s="125"/>
      <c r="E81" s="125"/>
    </row>
    <row r="82">
      <c r="A82" s="125"/>
      <c r="B82" s="125"/>
      <c r="C82" s="125"/>
      <c r="D82" s="125"/>
      <c r="E82" s="125"/>
    </row>
    <row r="83">
      <c r="A83" s="125"/>
      <c r="B83" s="125"/>
      <c r="C83" s="125"/>
      <c r="D83" s="125"/>
      <c r="E83" s="125"/>
    </row>
    <row r="84">
      <c r="A84" s="125"/>
      <c r="B84" s="125"/>
      <c r="C84" s="125"/>
      <c r="D84" s="125"/>
      <c r="E84" s="125"/>
    </row>
    <row r="85">
      <c r="A85" s="125"/>
      <c r="B85" s="125"/>
      <c r="C85" s="125"/>
      <c r="D85" s="125"/>
      <c r="E85" s="125"/>
    </row>
    <row r="86">
      <c r="A86" s="125"/>
      <c r="B86" s="125"/>
      <c r="C86" s="125"/>
      <c r="D86" s="125"/>
      <c r="E86" s="125"/>
    </row>
    <row r="87">
      <c r="A87" s="125"/>
      <c r="B87" s="125"/>
      <c r="C87" s="125"/>
      <c r="D87" s="125"/>
      <c r="E87" s="125"/>
    </row>
    <row r="88">
      <c r="A88" s="125"/>
      <c r="B88" s="125"/>
      <c r="C88" s="125"/>
      <c r="D88" s="125"/>
      <c r="E88" s="125"/>
    </row>
    <row r="89">
      <c r="A89" s="125"/>
      <c r="B89" s="125"/>
      <c r="C89" s="125"/>
      <c r="D89" s="125"/>
      <c r="E89" s="125"/>
    </row>
    <row r="90">
      <c r="A90" s="125"/>
      <c r="B90" s="125"/>
      <c r="C90" s="125"/>
      <c r="D90" s="125"/>
      <c r="E90" s="125"/>
    </row>
    <row r="91">
      <c r="A91" s="125"/>
      <c r="B91" s="125"/>
      <c r="C91" s="125"/>
      <c r="D91" s="125"/>
      <c r="E91" s="125"/>
    </row>
    <row r="92">
      <c r="A92" s="125"/>
      <c r="B92" s="125"/>
      <c r="C92" s="125"/>
      <c r="D92" s="125"/>
      <c r="E92" s="125"/>
    </row>
    <row r="93">
      <c r="A93" s="125"/>
      <c r="B93" s="125"/>
      <c r="C93" s="125"/>
      <c r="D93" s="125"/>
      <c r="E93" s="125"/>
    </row>
    <row r="94">
      <c r="A94" s="125"/>
      <c r="B94" s="125"/>
      <c r="C94" s="125"/>
      <c r="D94" s="125"/>
      <c r="E94" s="125"/>
    </row>
    <row r="95">
      <c r="A95" s="125"/>
      <c r="B95" s="125"/>
      <c r="C95" s="125"/>
      <c r="D95" s="125"/>
      <c r="E95" s="125"/>
    </row>
    <row r="96">
      <c r="A96" s="125"/>
      <c r="B96" s="125"/>
      <c r="C96" s="125"/>
      <c r="D96" s="125"/>
      <c r="E96" s="125"/>
    </row>
    <row r="97">
      <c r="A97" s="125"/>
      <c r="B97" s="125"/>
      <c r="C97" s="125"/>
      <c r="D97" s="125"/>
      <c r="E97" s="125"/>
    </row>
    <row r="98">
      <c r="A98" s="125"/>
      <c r="B98" s="125"/>
      <c r="C98" s="125"/>
      <c r="D98" s="125"/>
      <c r="E98" s="125"/>
    </row>
    <row r="99">
      <c r="A99" s="125"/>
      <c r="B99" s="125"/>
      <c r="C99" s="125"/>
      <c r="D99" s="125"/>
      <c r="E99" s="125"/>
    </row>
    <row r="100">
      <c r="A100" s="125"/>
      <c r="B100" s="125"/>
      <c r="C100" s="125"/>
      <c r="D100" s="125"/>
      <c r="E100" s="125"/>
    </row>
    <row r="101">
      <c r="A101" s="125"/>
      <c r="B101" s="125"/>
      <c r="C101" s="125"/>
      <c r="D101" s="125"/>
      <c r="E101" s="125"/>
    </row>
    <row r="102">
      <c r="A102" s="125"/>
      <c r="B102" s="125"/>
      <c r="C102" s="125"/>
      <c r="D102" s="125"/>
      <c r="E102" s="125"/>
    </row>
    <row r="103">
      <c r="A103" s="125"/>
      <c r="B103" s="125"/>
      <c r="C103" s="125"/>
      <c r="D103" s="125"/>
      <c r="E103" s="125"/>
    </row>
    <row r="104">
      <c r="A104" s="125"/>
      <c r="B104" s="125"/>
      <c r="C104" s="125"/>
      <c r="D104" s="125"/>
      <c r="E104" s="125"/>
    </row>
    <row r="105">
      <c r="A105" s="125"/>
      <c r="B105" s="125"/>
      <c r="C105" s="125"/>
      <c r="D105" s="125"/>
      <c r="E105" s="125"/>
    </row>
    <row r="106">
      <c r="A106" s="125"/>
      <c r="B106" s="125"/>
      <c r="C106" s="125"/>
      <c r="D106" s="125"/>
      <c r="E106" s="125"/>
    </row>
    <row r="107">
      <c r="A107" s="125"/>
      <c r="B107" s="125"/>
      <c r="C107" s="125"/>
      <c r="D107" s="125"/>
      <c r="E107" s="125"/>
    </row>
    <row r="108">
      <c r="A108" s="125"/>
      <c r="B108" s="125"/>
      <c r="C108" s="125"/>
      <c r="D108" s="125"/>
      <c r="E108" s="125"/>
    </row>
    <row r="109">
      <c r="A109" s="125"/>
      <c r="B109" s="125"/>
      <c r="C109" s="125"/>
      <c r="D109" s="125"/>
      <c r="E109" s="125"/>
    </row>
    <row r="110">
      <c r="A110" s="125"/>
      <c r="B110" s="125"/>
      <c r="C110" s="125"/>
      <c r="D110" s="125"/>
      <c r="E110" s="125"/>
    </row>
    <row r="111">
      <c r="A111" s="125"/>
      <c r="B111" s="125"/>
      <c r="C111" s="125"/>
      <c r="D111" s="125"/>
      <c r="E111" s="125"/>
    </row>
    <row r="112">
      <c r="A112" s="125"/>
      <c r="B112" s="125"/>
      <c r="C112" s="125"/>
      <c r="D112" s="125"/>
      <c r="E112" s="125"/>
    </row>
    <row r="113">
      <c r="A113" s="125"/>
      <c r="B113" s="125"/>
      <c r="C113" s="125"/>
      <c r="D113" s="125"/>
      <c r="E113" s="125"/>
    </row>
    <row r="114">
      <c r="A114" s="125"/>
      <c r="B114" s="125"/>
      <c r="C114" s="125"/>
      <c r="D114" s="125"/>
      <c r="E114" s="125"/>
    </row>
    <row r="115">
      <c r="A115" s="125"/>
      <c r="B115" s="125"/>
      <c r="C115" s="125"/>
      <c r="D115" s="125"/>
      <c r="E115" s="125"/>
    </row>
    <row r="116">
      <c r="A116" s="125"/>
      <c r="B116" s="125"/>
      <c r="C116" s="125"/>
      <c r="D116" s="125"/>
      <c r="E116" s="125"/>
    </row>
    <row r="117">
      <c r="A117" s="125"/>
      <c r="B117" s="125"/>
      <c r="C117" s="125"/>
      <c r="D117" s="125"/>
      <c r="E117" s="125"/>
    </row>
    <row r="118">
      <c r="A118" s="125"/>
      <c r="B118" s="125"/>
      <c r="C118" s="125"/>
      <c r="D118" s="125"/>
      <c r="E118" s="125"/>
    </row>
    <row r="119">
      <c r="A119" s="125"/>
      <c r="B119" s="125"/>
      <c r="C119" s="125"/>
      <c r="D119" s="125"/>
      <c r="E119" s="125"/>
    </row>
    <row r="120">
      <c r="A120" s="125"/>
      <c r="B120" s="125"/>
      <c r="C120" s="125"/>
      <c r="D120" s="125"/>
      <c r="E120" s="125"/>
    </row>
    <row r="121">
      <c r="A121" s="125"/>
      <c r="B121" s="125"/>
      <c r="C121" s="125"/>
      <c r="D121" s="125"/>
      <c r="E121" s="125"/>
    </row>
    <row r="122">
      <c r="A122" s="125"/>
      <c r="B122" s="125"/>
      <c r="C122" s="125"/>
      <c r="D122" s="125"/>
      <c r="E122" s="125"/>
    </row>
    <row r="123">
      <c r="A123" s="125"/>
      <c r="B123" s="125"/>
      <c r="C123" s="125"/>
      <c r="D123" s="125"/>
      <c r="E123" s="125"/>
    </row>
    <row r="124">
      <c r="A124" s="125"/>
      <c r="B124" s="125"/>
      <c r="C124" s="125"/>
      <c r="D124" s="125"/>
      <c r="E124" s="125"/>
    </row>
    <row r="125">
      <c r="A125" s="125"/>
      <c r="B125" s="125"/>
      <c r="C125" s="125"/>
      <c r="D125" s="125"/>
      <c r="E125" s="125"/>
    </row>
    <row r="126">
      <c r="A126" s="125"/>
      <c r="B126" s="125"/>
      <c r="C126" s="125"/>
      <c r="D126" s="125"/>
      <c r="E126" s="125"/>
    </row>
    <row r="127">
      <c r="A127" s="125"/>
      <c r="B127" s="125"/>
      <c r="C127" s="125"/>
      <c r="D127" s="125"/>
      <c r="E127" s="125"/>
    </row>
    <row r="128">
      <c r="A128" s="125"/>
      <c r="B128" s="125"/>
      <c r="C128" s="125"/>
      <c r="D128" s="125"/>
      <c r="E128" s="125"/>
    </row>
    <row r="129">
      <c r="A129" s="125"/>
      <c r="B129" s="125"/>
      <c r="C129" s="125"/>
      <c r="D129" s="125"/>
      <c r="E129" s="125"/>
    </row>
    <row r="130">
      <c r="A130" s="125"/>
      <c r="B130" s="125"/>
      <c r="C130" s="125"/>
      <c r="D130" s="125"/>
      <c r="E130" s="125"/>
    </row>
    <row r="131">
      <c r="A131" s="125"/>
      <c r="B131" s="125"/>
      <c r="C131" s="125"/>
      <c r="D131" s="125"/>
      <c r="E131" s="125"/>
    </row>
    <row r="132">
      <c r="A132" s="125"/>
      <c r="B132" s="125"/>
      <c r="C132" s="125"/>
      <c r="D132" s="125"/>
      <c r="E132" s="125"/>
    </row>
    <row r="133">
      <c r="A133" s="125"/>
      <c r="B133" s="125"/>
      <c r="C133" s="125"/>
      <c r="D133" s="125"/>
      <c r="E133" s="125"/>
    </row>
    <row r="134">
      <c r="A134" s="125"/>
      <c r="B134" s="125"/>
      <c r="C134" s="125"/>
      <c r="D134" s="125"/>
      <c r="E134" s="125"/>
    </row>
    <row r="135">
      <c r="A135" s="125"/>
      <c r="B135" s="125"/>
      <c r="C135" s="125"/>
      <c r="D135" s="125"/>
      <c r="E135" s="125"/>
    </row>
    <row r="136">
      <c r="A136" s="125"/>
      <c r="B136" s="125"/>
      <c r="C136" s="125"/>
      <c r="D136" s="125"/>
      <c r="E136" s="125"/>
    </row>
    <row r="137">
      <c r="A137" s="125"/>
      <c r="B137" s="125"/>
      <c r="C137" s="125"/>
      <c r="D137" s="125"/>
      <c r="E137" s="125"/>
    </row>
    <row r="138">
      <c r="A138" s="125"/>
      <c r="B138" s="125"/>
      <c r="C138" s="125"/>
      <c r="D138" s="125"/>
      <c r="E138" s="125"/>
    </row>
    <row r="139">
      <c r="A139" s="125"/>
      <c r="B139" s="125"/>
      <c r="C139" s="125"/>
      <c r="D139" s="125"/>
      <c r="E139" s="125"/>
    </row>
    <row r="140">
      <c r="A140" s="125"/>
      <c r="B140" s="125"/>
      <c r="C140" s="125"/>
      <c r="D140" s="125"/>
      <c r="E140" s="125"/>
    </row>
    <row r="141">
      <c r="A141" s="125"/>
      <c r="B141" s="125"/>
      <c r="C141" s="125"/>
      <c r="D141" s="125"/>
      <c r="E141" s="125"/>
    </row>
    <row r="142">
      <c r="A142" s="125"/>
      <c r="B142" s="125"/>
      <c r="C142" s="125"/>
      <c r="D142" s="125"/>
      <c r="E142" s="125"/>
    </row>
    <row r="143">
      <c r="A143" s="125"/>
      <c r="B143" s="125"/>
      <c r="C143" s="125"/>
      <c r="D143" s="125"/>
      <c r="E143" s="125"/>
    </row>
    <row r="144">
      <c r="A144" s="125"/>
      <c r="B144" s="125"/>
      <c r="C144" s="125"/>
      <c r="D144" s="125"/>
      <c r="E144" s="125"/>
    </row>
    <row r="145">
      <c r="A145" s="125"/>
      <c r="B145" s="125"/>
      <c r="C145" s="125"/>
      <c r="D145" s="125"/>
      <c r="E145" s="125"/>
    </row>
    <row r="146">
      <c r="A146" s="125"/>
      <c r="B146" s="125"/>
      <c r="C146" s="125"/>
      <c r="D146" s="125"/>
      <c r="E146" s="125"/>
    </row>
    <row r="147">
      <c r="A147" s="125"/>
      <c r="B147" s="125"/>
      <c r="C147" s="125"/>
      <c r="D147" s="125"/>
      <c r="E147" s="125"/>
    </row>
    <row r="148">
      <c r="A148" s="125"/>
      <c r="B148" s="125"/>
      <c r="C148" s="125"/>
      <c r="D148" s="125"/>
      <c r="E148" s="125"/>
    </row>
    <row r="149">
      <c r="A149" s="125"/>
      <c r="B149" s="125"/>
      <c r="C149" s="125"/>
      <c r="D149" s="125"/>
      <c r="E149" s="125"/>
    </row>
    <row r="150">
      <c r="A150" s="125"/>
      <c r="B150" s="125"/>
      <c r="C150" s="125"/>
      <c r="D150" s="125"/>
      <c r="E150" s="125"/>
    </row>
    <row r="151">
      <c r="A151" s="125"/>
      <c r="B151" s="125"/>
      <c r="C151" s="125"/>
      <c r="D151" s="125"/>
      <c r="E151" s="125"/>
    </row>
    <row r="152">
      <c r="A152" s="125"/>
      <c r="B152" s="125"/>
      <c r="C152" s="125"/>
      <c r="D152" s="125"/>
      <c r="E152" s="125"/>
    </row>
    <row r="153">
      <c r="A153" s="125"/>
      <c r="B153" s="125"/>
      <c r="C153" s="125"/>
      <c r="D153" s="125"/>
      <c r="E153" s="125"/>
    </row>
    <row r="154">
      <c r="A154" s="125"/>
      <c r="B154" s="125"/>
      <c r="C154" s="125"/>
      <c r="D154" s="125"/>
      <c r="E154" s="125"/>
    </row>
    <row r="155">
      <c r="A155" s="125"/>
      <c r="B155" s="125"/>
      <c r="C155" s="125"/>
      <c r="D155" s="125"/>
      <c r="E155" s="125"/>
    </row>
    <row r="156">
      <c r="A156" s="125"/>
      <c r="B156" s="125"/>
      <c r="C156" s="125"/>
      <c r="D156" s="125"/>
      <c r="E156" s="125"/>
    </row>
    <row r="157">
      <c r="A157" s="125"/>
      <c r="B157" s="125"/>
      <c r="C157" s="125"/>
      <c r="D157" s="125"/>
      <c r="E157" s="125"/>
    </row>
    <row r="158">
      <c r="A158" s="125"/>
      <c r="B158" s="125"/>
      <c r="C158" s="125"/>
      <c r="D158" s="125"/>
      <c r="E158" s="125"/>
    </row>
    <row r="159">
      <c r="A159" s="125"/>
      <c r="B159" s="125"/>
      <c r="C159" s="125"/>
      <c r="D159" s="125"/>
      <c r="E159" s="125"/>
    </row>
    <row r="160">
      <c r="A160" s="125"/>
      <c r="B160" s="125"/>
      <c r="C160" s="125"/>
      <c r="D160" s="125"/>
      <c r="E160" s="125"/>
    </row>
    <row r="161">
      <c r="A161" s="125"/>
      <c r="B161" s="125"/>
      <c r="C161" s="125"/>
      <c r="D161" s="125"/>
      <c r="E161" s="125"/>
    </row>
    <row r="162">
      <c r="A162" s="125"/>
      <c r="B162" s="125"/>
      <c r="C162" s="125"/>
      <c r="D162" s="125"/>
      <c r="E162" s="125"/>
    </row>
    <row r="163">
      <c r="A163" s="125"/>
      <c r="B163" s="125"/>
      <c r="C163" s="125"/>
      <c r="D163" s="125"/>
      <c r="E163" s="125"/>
    </row>
    <row r="164">
      <c r="A164" s="125"/>
      <c r="B164" s="125"/>
      <c r="C164" s="125"/>
      <c r="D164" s="125"/>
      <c r="E164" s="125"/>
    </row>
    <row r="165">
      <c r="A165" s="125"/>
      <c r="B165" s="125"/>
      <c r="C165" s="125"/>
      <c r="D165" s="125"/>
      <c r="E165" s="125"/>
    </row>
    <row r="166">
      <c r="A166" s="125"/>
      <c r="B166" s="125"/>
      <c r="C166" s="125"/>
      <c r="D166" s="125"/>
      <c r="E166" s="125"/>
    </row>
    <row r="167">
      <c r="A167" s="125"/>
      <c r="B167" s="125"/>
      <c r="C167" s="125"/>
      <c r="D167" s="125"/>
      <c r="E167" s="125"/>
    </row>
    <row r="168">
      <c r="A168" s="125"/>
      <c r="B168" s="125"/>
      <c r="C168" s="125"/>
      <c r="D168" s="125"/>
      <c r="E168" s="125"/>
    </row>
    <row r="169">
      <c r="A169" s="125"/>
      <c r="B169" s="125"/>
      <c r="C169" s="125"/>
      <c r="D169" s="125"/>
      <c r="E169" s="125"/>
    </row>
    <row r="170">
      <c r="A170" s="125"/>
      <c r="B170" s="125"/>
      <c r="C170" s="125"/>
      <c r="D170" s="125"/>
      <c r="E170" s="125"/>
    </row>
    <row r="171">
      <c r="A171" s="125"/>
      <c r="B171" s="125"/>
      <c r="C171" s="125"/>
      <c r="D171" s="125"/>
      <c r="E171" s="125"/>
    </row>
    <row r="172">
      <c r="A172" s="125"/>
      <c r="B172" s="125"/>
      <c r="C172" s="125"/>
      <c r="D172" s="125"/>
      <c r="E172" s="125"/>
    </row>
    <row r="173">
      <c r="A173" s="125"/>
      <c r="B173" s="125"/>
      <c r="C173" s="125"/>
      <c r="D173" s="125"/>
      <c r="E173" s="125"/>
    </row>
    <row r="174">
      <c r="A174" s="125"/>
      <c r="B174" s="125"/>
      <c r="C174" s="125"/>
      <c r="D174" s="125"/>
      <c r="E174" s="125"/>
    </row>
    <row r="175">
      <c r="A175" s="125"/>
      <c r="B175" s="125"/>
      <c r="C175" s="125"/>
      <c r="D175" s="125"/>
      <c r="E175" s="125"/>
    </row>
    <row r="176">
      <c r="A176" s="125"/>
      <c r="B176" s="125"/>
      <c r="C176" s="125"/>
      <c r="D176" s="125"/>
      <c r="E176" s="125"/>
    </row>
    <row r="177">
      <c r="A177" s="125"/>
      <c r="B177" s="125"/>
      <c r="C177" s="125"/>
      <c r="D177" s="125"/>
      <c r="E177" s="125"/>
    </row>
    <row r="178">
      <c r="A178" s="125"/>
      <c r="B178" s="125"/>
      <c r="C178" s="125"/>
      <c r="D178" s="125"/>
      <c r="E178" s="125"/>
    </row>
    <row r="179">
      <c r="A179" s="125"/>
      <c r="B179" s="125"/>
      <c r="C179" s="125"/>
      <c r="D179" s="125"/>
      <c r="E179" s="125"/>
    </row>
    <row r="180">
      <c r="A180" s="125"/>
      <c r="B180" s="125"/>
      <c r="C180" s="125"/>
      <c r="D180" s="125"/>
      <c r="E180" s="125"/>
    </row>
    <row r="181">
      <c r="A181" s="125"/>
      <c r="B181" s="125"/>
      <c r="C181" s="125"/>
      <c r="D181" s="125"/>
      <c r="E181" s="125"/>
    </row>
    <row r="182">
      <c r="A182" s="125"/>
      <c r="B182" s="125"/>
      <c r="C182" s="125"/>
      <c r="D182" s="125"/>
      <c r="E182" s="125"/>
    </row>
    <row r="183">
      <c r="A183" s="125"/>
      <c r="B183" s="125"/>
      <c r="C183" s="125"/>
      <c r="D183" s="125"/>
      <c r="E183" s="125"/>
    </row>
    <row r="184">
      <c r="A184" s="125"/>
      <c r="B184" s="125"/>
      <c r="C184" s="125"/>
      <c r="D184" s="125"/>
      <c r="E184" s="125"/>
    </row>
    <row r="185">
      <c r="A185" s="125"/>
      <c r="B185" s="125"/>
      <c r="C185" s="125"/>
      <c r="D185" s="125"/>
      <c r="E185" s="125"/>
    </row>
    <row r="186">
      <c r="A186" s="125"/>
      <c r="B186" s="125"/>
      <c r="C186" s="125"/>
      <c r="D186" s="125"/>
      <c r="E186" s="125"/>
    </row>
    <row r="187">
      <c r="A187" s="125"/>
      <c r="B187" s="125"/>
      <c r="C187" s="125"/>
      <c r="D187" s="125"/>
      <c r="E187" s="125"/>
    </row>
    <row r="188">
      <c r="A188" s="125"/>
      <c r="B188" s="125"/>
      <c r="C188" s="125"/>
      <c r="D188" s="125"/>
      <c r="E188" s="125"/>
    </row>
    <row r="189">
      <c r="A189" s="125"/>
      <c r="B189" s="125"/>
      <c r="C189" s="125"/>
      <c r="D189" s="125"/>
      <c r="E189" s="125"/>
    </row>
    <row r="190">
      <c r="A190" s="125"/>
      <c r="B190" s="125"/>
      <c r="C190" s="125"/>
      <c r="D190" s="125"/>
      <c r="E190" s="125"/>
    </row>
    <row r="191">
      <c r="A191" s="125"/>
      <c r="B191" s="125"/>
      <c r="C191" s="125"/>
      <c r="D191" s="125"/>
      <c r="E191" s="125"/>
    </row>
    <row r="192">
      <c r="A192" s="125"/>
      <c r="B192" s="125"/>
      <c r="C192" s="125"/>
      <c r="D192" s="125"/>
      <c r="E192" s="125"/>
    </row>
    <row r="193">
      <c r="A193" s="125"/>
      <c r="B193" s="125"/>
      <c r="C193" s="125"/>
      <c r="D193" s="125"/>
      <c r="E193" s="125"/>
    </row>
    <row r="194">
      <c r="A194" s="125"/>
      <c r="B194" s="125"/>
      <c r="C194" s="125"/>
      <c r="D194" s="125"/>
      <c r="E194" s="125"/>
    </row>
    <row r="195">
      <c r="A195" s="125"/>
      <c r="B195" s="125"/>
      <c r="C195" s="125"/>
      <c r="D195" s="125"/>
      <c r="E195" s="125"/>
    </row>
    <row r="196">
      <c r="A196" s="125"/>
      <c r="B196" s="125"/>
      <c r="C196" s="125"/>
      <c r="D196" s="125"/>
      <c r="E196" s="125"/>
    </row>
    <row r="197">
      <c r="A197" s="125"/>
      <c r="B197" s="125"/>
      <c r="C197" s="125"/>
      <c r="D197" s="125"/>
      <c r="E197" s="125"/>
    </row>
    <row r="198">
      <c r="A198" s="125"/>
      <c r="B198" s="125"/>
      <c r="C198" s="125"/>
      <c r="D198" s="125"/>
      <c r="E198" s="125"/>
    </row>
    <row r="199">
      <c r="A199" s="125"/>
      <c r="B199" s="125"/>
      <c r="C199" s="125"/>
      <c r="D199" s="125"/>
      <c r="E199" s="125"/>
    </row>
    <row r="200">
      <c r="A200" s="125"/>
      <c r="B200" s="125"/>
      <c r="C200" s="125"/>
      <c r="D200" s="125"/>
      <c r="E200" s="125"/>
    </row>
    <row r="201">
      <c r="A201" s="125"/>
      <c r="B201" s="125"/>
      <c r="C201" s="125"/>
      <c r="D201" s="125"/>
      <c r="E201" s="125"/>
    </row>
    <row r="202">
      <c r="A202" s="125"/>
      <c r="B202" s="125"/>
      <c r="C202" s="125"/>
      <c r="D202" s="125"/>
      <c r="E202" s="125"/>
    </row>
    <row r="203">
      <c r="A203" s="125"/>
      <c r="B203" s="125"/>
      <c r="C203" s="125"/>
      <c r="D203" s="125"/>
      <c r="E203" s="125"/>
    </row>
    <row r="204">
      <c r="A204" s="125"/>
      <c r="B204" s="125"/>
      <c r="C204" s="125"/>
      <c r="D204" s="125"/>
      <c r="E204" s="125"/>
    </row>
    <row r="205">
      <c r="A205" s="125"/>
      <c r="B205" s="125"/>
      <c r="C205" s="125"/>
      <c r="D205" s="125"/>
      <c r="E205" s="125"/>
    </row>
    <row r="206">
      <c r="A206" s="125"/>
      <c r="B206" s="125"/>
      <c r="C206" s="125"/>
      <c r="D206" s="125"/>
      <c r="E206" s="125"/>
    </row>
    <row r="207">
      <c r="A207" s="125"/>
      <c r="B207" s="125"/>
      <c r="C207" s="125"/>
      <c r="D207" s="125"/>
      <c r="E207" s="125"/>
    </row>
    <row r="208">
      <c r="A208" s="125"/>
      <c r="B208" s="125"/>
      <c r="C208" s="125"/>
      <c r="D208" s="125"/>
      <c r="E208" s="125"/>
    </row>
    <row r="209">
      <c r="A209" s="125"/>
      <c r="B209" s="125"/>
      <c r="C209" s="125"/>
      <c r="D209" s="125"/>
      <c r="E209" s="125"/>
    </row>
    <row r="210">
      <c r="A210" s="125"/>
      <c r="B210" s="125"/>
      <c r="C210" s="125"/>
      <c r="D210" s="125"/>
      <c r="E210" s="125"/>
    </row>
    <row r="211">
      <c r="A211" s="125"/>
      <c r="B211" s="125"/>
      <c r="C211" s="125"/>
      <c r="D211" s="125"/>
      <c r="E211" s="125"/>
    </row>
    <row r="212">
      <c r="A212" s="125"/>
      <c r="B212" s="125"/>
      <c r="C212" s="125"/>
      <c r="D212" s="125"/>
      <c r="E212" s="125"/>
    </row>
    <row r="213">
      <c r="A213" s="125"/>
      <c r="B213" s="125"/>
      <c r="C213" s="125"/>
      <c r="D213" s="125"/>
      <c r="E213" s="125"/>
    </row>
    <row r="214">
      <c r="A214" s="125"/>
      <c r="B214" s="125"/>
      <c r="C214" s="125"/>
      <c r="D214" s="125"/>
      <c r="E214" s="125"/>
    </row>
    <row r="215">
      <c r="A215" s="125"/>
      <c r="B215" s="125"/>
      <c r="C215" s="125"/>
      <c r="D215" s="125"/>
      <c r="E215" s="125"/>
    </row>
    <row r="216">
      <c r="A216" s="125"/>
      <c r="B216" s="125"/>
      <c r="C216" s="125"/>
      <c r="D216" s="125"/>
      <c r="E216" s="125"/>
    </row>
    <row r="217">
      <c r="A217" s="125"/>
      <c r="B217" s="125"/>
      <c r="C217" s="125"/>
      <c r="D217" s="125"/>
      <c r="E217" s="125"/>
    </row>
    <row r="218">
      <c r="A218" s="125"/>
      <c r="B218" s="125"/>
      <c r="C218" s="125"/>
      <c r="D218" s="125"/>
      <c r="E218" s="125"/>
    </row>
    <row r="219">
      <c r="A219" s="125"/>
      <c r="B219" s="125"/>
      <c r="C219" s="125"/>
      <c r="D219" s="125"/>
      <c r="E219" s="125"/>
    </row>
    <row r="220">
      <c r="A220" s="125"/>
      <c r="B220" s="125"/>
      <c r="C220" s="125"/>
      <c r="D220" s="125"/>
      <c r="E220" s="125"/>
    </row>
    <row r="221">
      <c r="A221" s="125"/>
      <c r="B221" s="125"/>
      <c r="C221" s="125"/>
      <c r="D221" s="125"/>
      <c r="E221" s="125"/>
    </row>
    <row r="222">
      <c r="A222" s="125"/>
      <c r="B222" s="125"/>
      <c r="C222" s="125"/>
      <c r="D222" s="125"/>
      <c r="E222" s="125"/>
    </row>
    <row r="223">
      <c r="A223" s="125"/>
      <c r="B223" s="125"/>
      <c r="C223" s="125"/>
      <c r="D223" s="125"/>
      <c r="E223" s="125"/>
    </row>
    <row r="224">
      <c r="A224" s="125"/>
      <c r="B224" s="125"/>
      <c r="C224" s="125"/>
      <c r="D224" s="125"/>
      <c r="E224" s="125"/>
    </row>
    <row r="225">
      <c r="A225" s="125"/>
      <c r="B225" s="125"/>
      <c r="C225" s="125"/>
      <c r="D225" s="125"/>
      <c r="E225" s="125"/>
    </row>
    <row r="226">
      <c r="A226" s="125"/>
      <c r="B226" s="125"/>
      <c r="C226" s="125"/>
      <c r="D226" s="125"/>
      <c r="E226" s="125"/>
    </row>
    <row r="227">
      <c r="A227" s="125"/>
      <c r="B227" s="125"/>
      <c r="C227" s="125"/>
      <c r="D227" s="125"/>
      <c r="E227" s="125"/>
    </row>
    <row r="228">
      <c r="A228" s="125"/>
      <c r="B228" s="125"/>
      <c r="C228" s="125"/>
      <c r="D228" s="125"/>
      <c r="E228" s="125"/>
    </row>
    <row r="229">
      <c r="A229" s="125"/>
      <c r="B229" s="125"/>
      <c r="C229" s="125"/>
      <c r="D229" s="125"/>
      <c r="E229" s="125"/>
    </row>
    <row r="230">
      <c r="A230" s="125"/>
      <c r="B230" s="125"/>
      <c r="C230" s="125"/>
      <c r="D230" s="125"/>
      <c r="E230" s="125"/>
    </row>
    <row r="231">
      <c r="A231" s="125"/>
      <c r="B231" s="125"/>
      <c r="C231" s="125"/>
      <c r="D231" s="125"/>
      <c r="E231" s="125"/>
    </row>
    <row r="232">
      <c r="A232" s="125"/>
      <c r="B232" s="125"/>
      <c r="C232" s="125"/>
      <c r="D232" s="125"/>
      <c r="E232" s="125"/>
    </row>
    <row r="233">
      <c r="A233" s="125"/>
      <c r="B233" s="125"/>
      <c r="C233" s="125"/>
      <c r="D233" s="125"/>
      <c r="E233" s="125"/>
    </row>
    <row r="234">
      <c r="A234" s="125"/>
      <c r="B234" s="125"/>
      <c r="C234" s="125"/>
      <c r="D234" s="125"/>
      <c r="E234" s="125"/>
    </row>
    <row r="235">
      <c r="A235" s="125"/>
      <c r="B235" s="125"/>
      <c r="C235" s="125"/>
      <c r="D235" s="125"/>
      <c r="E235" s="125"/>
    </row>
    <row r="236">
      <c r="A236" s="125"/>
      <c r="B236" s="125"/>
      <c r="C236" s="125"/>
      <c r="D236" s="125"/>
      <c r="E236" s="125"/>
    </row>
    <row r="237">
      <c r="A237" s="125"/>
      <c r="B237" s="125"/>
      <c r="C237" s="125"/>
      <c r="D237" s="125"/>
      <c r="E237" s="125"/>
    </row>
    <row r="238">
      <c r="A238" s="125"/>
      <c r="B238" s="125"/>
      <c r="C238" s="125"/>
      <c r="D238" s="125"/>
      <c r="E238" s="125"/>
    </row>
    <row r="239">
      <c r="A239" s="125"/>
      <c r="B239" s="125"/>
      <c r="C239" s="125"/>
      <c r="D239" s="125"/>
      <c r="E239" s="125"/>
    </row>
    <row r="240">
      <c r="A240" s="125"/>
      <c r="B240" s="125"/>
      <c r="C240" s="125"/>
      <c r="D240" s="125"/>
      <c r="E240" s="125"/>
    </row>
    <row r="241">
      <c r="A241" s="125"/>
      <c r="B241" s="125"/>
      <c r="C241" s="125"/>
      <c r="D241" s="125"/>
      <c r="E241" s="125"/>
    </row>
    <row r="242">
      <c r="A242" s="125"/>
      <c r="B242" s="125"/>
      <c r="C242" s="125"/>
      <c r="D242" s="125"/>
      <c r="E242" s="125"/>
    </row>
    <row r="243">
      <c r="A243" s="125"/>
      <c r="B243" s="125"/>
      <c r="C243" s="125"/>
      <c r="D243" s="125"/>
      <c r="E243" s="125"/>
    </row>
    <row r="244">
      <c r="A244" s="125"/>
      <c r="B244" s="125"/>
      <c r="C244" s="125"/>
      <c r="D244" s="125"/>
      <c r="E244" s="125"/>
    </row>
    <row r="245">
      <c r="A245" s="125"/>
      <c r="B245" s="125"/>
      <c r="C245" s="125"/>
      <c r="D245" s="125"/>
      <c r="E245" s="125"/>
    </row>
    <row r="246">
      <c r="A246" s="125"/>
      <c r="B246" s="125"/>
      <c r="C246" s="125"/>
      <c r="D246" s="125"/>
      <c r="E246" s="125"/>
    </row>
    <row r="247">
      <c r="A247" s="125"/>
      <c r="B247" s="125"/>
      <c r="C247" s="125"/>
      <c r="D247" s="125"/>
      <c r="E247" s="125"/>
    </row>
    <row r="248">
      <c r="A248" s="125"/>
      <c r="B248" s="125"/>
      <c r="C248" s="125"/>
      <c r="D248" s="125"/>
      <c r="E248" s="125"/>
    </row>
    <row r="249">
      <c r="A249" s="125"/>
      <c r="B249" s="125"/>
      <c r="C249" s="125"/>
      <c r="D249" s="125"/>
      <c r="E249" s="125"/>
    </row>
    <row r="250">
      <c r="A250" s="125"/>
      <c r="B250" s="125"/>
      <c r="C250" s="125"/>
      <c r="D250" s="125"/>
      <c r="E250" s="125"/>
    </row>
    <row r="251">
      <c r="A251" s="125"/>
      <c r="B251" s="125"/>
      <c r="C251" s="125"/>
      <c r="D251" s="125"/>
      <c r="E251" s="125"/>
    </row>
    <row r="252">
      <c r="A252" s="125"/>
      <c r="B252" s="125"/>
      <c r="C252" s="125"/>
      <c r="D252" s="125"/>
      <c r="E252" s="125"/>
    </row>
    <row r="253">
      <c r="A253" s="125"/>
      <c r="B253" s="125"/>
      <c r="C253" s="125"/>
      <c r="D253" s="125"/>
      <c r="E253" s="125"/>
    </row>
    <row r="254">
      <c r="A254" s="125"/>
      <c r="B254" s="125"/>
      <c r="C254" s="125"/>
      <c r="D254" s="125"/>
      <c r="E254" s="125"/>
    </row>
    <row r="255">
      <c r="A255" s="125"/>
      <c r="B255" s="125"/>
      <c r="C255" s="125"/>
      <c r="D255" s="125"/>
      <c r="E255" s="125"/>
    </row>
    <row r="256">
      <c r="A256" s="125"/>
      <c r="B256" s="125"/>
      <c r="C256" s="125"/>
      <c r="D256" s="125"/>
      <c r="E256" s="125"/>
    </row>
    <row r="257">
      <c r="A257" s="125"/>
      <c r="B257" s="125"/>
      <c r="C257" s="125"/>
      <c r="D257" s="125"/>
      <c r="E257" s="125"/>
    </row>
    <row r="258">
      <c r="A258" s="125"/>
      <c r="B258" s="125"/>
      <c r="C258" s="125"/>
      <c r="D258" s="125"/>
      <c r="E258" s="125"/>
    </row>
    <row r="259">
      <c r="A259" s="125"/>
      <c r="B259" s="125"/>
      <c r="C259" s="125"/>
      <c r="D259" s="125"/>
      <c r="E259" s="125"/>
    </row>
    <row r="260">
      <c r="A260" s="125"/>
      <c r="B260" s="125"/>
      <c r="C260" s="125"/>
      <c r="D260" s="125"/>
      <c r="E260" s="125"/>
    </row>
    <row r="261">
      <c r="A261" s="125"/>
      <c r="B261" s="125"/>
      <c r="C261" s="125"/>
      <c r="D261" s="125"/>
      <c r="E261" s="125"/>
    </row>
    <row r="262">
      <c r="A262" s="125"/>
      <c r="B262" s="125"/>
      <c r="C262" s="125"/>
      <c r="D262" s="125"/>
      <c r="E262" s="125"/>
    </row>
    <row r="263">
      <c r="A263" s="125"/>
      <c r="B263" s="125"/>
      <c r="C263" s="125"/>
      <c r="D263" s="125"/>
      <c r="E263" s="125"/>
    </row>
    <row r="264">
      <c r="A264" s="125"/>
      <c r="B264" s="125"/>
      <c r="C264" s="125"/>
      <c r="D264" s="125"/>
      <c r="E264" s="125"/>
    </row>
    <row r="265">
      <c r="A265" s="125"/>
      <c r="B265" s="125"/>
      <c r="C265" s="125"/>
      <c r="D265" s="125"/>
      <c r="E265" s="125"/>
    </row>
    <row r="266">
      <c r="A266" s="125"/>
      <c r="B266" s="125"/>
      <c r="C266" s="125"/>
      <c r="D266" s="125"/>
      <c r="E266" s="125"/>
    </row>
    <row r="267">
      <c r="A267" s="125"/>
      <c r="B267" s="125"/>
      <c r="C267" s="125"/>
      <c r="D267" s="125"/>
      <c r="E267" s="125"/>
    </row>
    <row r="268">
      <c r="A268" s="125"/>
      <c r="B268" s="125"/>
      <c r="C268" s="125"/>
      <c r="D268" s="125"/>
      <c r="E268" s="125"/>
    </row>
    <row r="269">
      <c r="A269" s="125"/>
      <c r="B269" s="125"/>
      <c r="C269" s="125"/>
      <c r="D269" s="125"/>
      <c r="E269" s="125"/>
    </row>
    <row r="270">
      <c r="A270" s="125"/>
      <c r="B270" s="125"/>
      <c r="C270" s="125"/>
      <c r="D270" s="125"/>
      <c r="E270" s="125"/>
    </row>
    <row r="271">
      <c r="A271" s="125"/>
      <c r="B271" s="125"/>
      <c r="C271" s="125"/>
      <c r="D271" s="125"/>
      <c r="E271" s="125"/>
    </row>
    <row r="272">
      <c r="A272" s="125"/>
      <c r="B272" s="125"/>
      <c r="C272" s="125"/>
      <c r="D272" s="125"/>
      <c r="E272" s="125"/>
    </row>
    <row r="273">
      <c r="A273" s="125"/>
      <c r="B273" s="125"/>
      <c r="C273" s="125"/>
      <c r="D273" s="125"/>
      <c r="E273" s="125"/>
    </row>
    <row r="274">
      <c r="A274" s="125"/>
      <c r="B274" s="125"/>
      <c r="C274" s="125"/>
      <c r="D274" s="125"/>
      <c r="E274" s="125"/>
    </row>
    <row r="275">
      <c r="A275" s="125"/>
      <c r="B275" s="125"/>
      <c r="C275" s="125"/>
      <c r="D275" s="125"/>
      <c r="E275" s="125"/>
    </row>
    <row r="276">
      <c r="A276" s="125"/>
      <c r="B276" s="125"/>
      <c r="C276" s="125"/>
      <c r="D276" s="125"/>
      <c r="E276" s="125"/>
    </row>
    <row r="277">
      <c r="A277" s="125"/>
      <c r="B277" s="125"/>
      <c r="C277" s="125"/>
      <c r="D277" s="125"/>
      <c r="E277" s="125"/>
    </row>
    <row r="278">
      <c r="A278" s="125"/>
      <c r="B278" s="125"/>
      <c r="C278" s="125"/>
      <c r="D278" s="125"/>
      <c r="E278" s="125"/>
    </row>
    <row r="279">
      <c r="A279" s="125"/>
      <c r="B279" s="125"/>
      <c r="C279" s="125"/>
      <c r="D279" s="125"/>
      <c r="E279" s="125"/>
    </row>
    <row r="280">
      <c r="A280" s="125"/>
      <c r="B280" s="125"/>
      <c r="C280" s="125"/>
      <c r="D280" s="125"/>
      <c r="E280" s="125"/>
    </row>
    <row r="281">
      <c r="A281" s="125"/>
      <c r="B281" s="125"/>
      <c r="C281" s="125"/>
      <c r="D281" s="125"/>
      <c r="E281" s="125"/>
    </row>
    <row r="282">
      <c r="A282" s="125"/>
      <c r="B282" s="125"/>
      <c r="C282" s="125"/>
      <c r="D282" s="125"/>
      <c r="E282" s="125"/>
    </row>
    <row r="283">
      <c r="A283" s="125"/>
      <c r="B283" s="125"/>
      <c r="C283" s="125"/>
      <c r="D283" s="125"/>
      <c r="E283" s="125"/>
    </row>
    <row r="284">
      <c r="A284" s="125"/>
      <c r="B284" s="125"/>
      <c r="C284" s="125"/>
      <c r="D284" s="125"/>
      <c r="E284" s="125"/>
    </row>
    <row r="285">
      <c r="A285" s="125"/>
      <c r="B285" s="125"/>
      <c r="C285" s="125"/>
      <c r="D285" s="125"/>
      <c r="E285" s="125"/>
    </row>
    <row r="286">
      <c r="A286" s="125"/>
      <c r="B286" s="125"/>
      <c r="C286" s="125"/>
      <c r="D286" s="125"/>
      <c r="E286" s="125"/>
    </row>
    <row r="287">
      <c r="A287" s="125"/>
      <c r="B287" s="125"/>
      <c r="C287" s="125"/>
      <c r="D287" s="125"/>
      <c r="E287" s="125"/>
    </row>
    <row r="288">
      <c r="A288" s="125"/>
      <c r="B288" s="125"/>
      <c r="C288" s="125"/>
      <c r="D288" s="125"/>
      <c r="E288" s="125"/>
    </row>
    <row r="289">
      <c r="A289" s="125"/>
      <c r="B289" s="125"/>
      <c r="C289" s="125"/>
      <c r="D289" s="125"/>
      <c r="E289" s="125"/>
    </row>
    <row r="290">
      <c r="A290" s="125"/>
      <c r="B290" s="125"/>
      <c r="C290" s="125"/>
      <c r="D290" s="125"/>
      <c r="E290" s="125"/>
    </row>
    <row r="291">
      <c r="A291" s="125"/>
      <c r="B291" s="125"/>
      <c r="C291" s="125"/>
      <c r="D291" s="125"/>
      <c r="E291" s="125"/>
    </row>
    <row r="292">
      <c r="A292" s="125"/>
      <c r="B292" s="125"/>
      <c r="C292" s="125"/>
      <c r="D292" s="125"/>
      <c r="E292" s="125"/>
    </row>
    <row r="293">
      <c r="A293" s="125"/>
      <c r="B293" s="125"/>
      <c r="C293" s="125"/>
      <c r="D293" s="125"/>
      <c r="E293" s="125"/>
    </row>
    <row r="294">
      <c r="A294" s="125"/>
      <c r="B294" s="125"/>
      <c r="C294" s="125"/>
      <c r="D294" s="125"/>
      <c r="E294" s="125"/>
    </row>
    <row r="295">
      <c r="A295" s="125"/>
      <c r="B295" s="125"/>
      <c r="C295" s="125"/>
      <c r="D295" s="125"/>
      <c r="E295" s="125"/>
    </row>
    <row r="296">
      <c r="A296" s="125"/>
      <c r="B296" s="125"/>
      <c r="C296" s="125"/>
      <c r="D296" s="125"/>
      <c r="E296" s="125"/>
    </row>
    <row r="297">
      <c r="A297" s="125"/>
      <c r="B297" s="125"/>
      <c r="C297" s="125"/>
      <c r="D297" s="125"/>
      <c r="E297" s="125"/>
    </row>
    <row r="298">
      <c r="A298" s="125"/>
      <c r="B298" s="125"/>
      <c r="C298" s="125"/>
      <c r="D298" s="125"/>
      <c r="E298" s="125"/>
    </row>
    <row r="299">
      <c r="A299" s="125"/>
      <c r="B299" s="125"/>
      <c r="C299" s="125"/>
      <c r="D299" s="125"/>
      <c r="E299" s="125"/>
    </row>
    <row r="300">
      <c r="A300" s="125"/>
      <c r="B300" s="125"/>
      <c r="C300" s="125"/>
      <c r="D300" s="125"/>
      <c r="E300" s="125"/>
    </row>
    <row r="301">
      <c r="A301" s="125"/>
      <c r="B301" s="125"/>
      <c r="C301" s="125"/>
      <c r="D301" s="125"/>
      <c r="E301" s="125"/>
    </row>
    <row r="302">
      <c r="A302" s="125"/>
      <c r="B302" s="125"/>
      <c r="C302" s="125"/>
      <c r="D302" s="125"/>
      <c r="E302" s="125"/>
    </row>
    <row r="303">
      <c r="A303" s="125"/>
      <c r="B303" s="125"/>
      <c r="C303" s="125"/>
      <c r="D303" s="125"/>
      <c r="E303" s="125"/>
    </row>
    <row r="304">
      <c r="A304" s="125"/>
      <c r="B304" s="125"/>
      <c r="C304" s="125"/>
      <c r="D304" s="125"/>
      <c r="E304" s="125"/>
    </row>
    <row r="305">
      <c r="A305" s="125"/>
      <c r="B305" s="125"/>
      <c r="C305" s="125"/>
      <c r="D305" s="125"/>
      <c r="E305" s="125"/>
    </row>
    <row r="306">
      <c r="A306" s="125"/>
      <c r="B306" s="125"/>
      <c r="C306" s="125"/>
      <c r="D306" s="125"/>
      <c r="E306" s="125"/>
    </row>
    <row r="307">
      <c r="A307" s="125"/>
      <c r="B307" s="125"/>
      <c r="C307" s="125"/>
      <c r="D307" s="125"/>
      <c r="E307" s="125"/>
    </row>
    <row r="308">
      <c r="A308" s="125"/>
      <c r="B308" s="125"/>
      <c r="C308" s="125"/>
      <c r="D308" s="125"/>
      <c r="E308" s="125"/>
    </row>
    <row r="309">
      <c r="A309" s="125"/>
      <c r="B309" s="125"/>
      <c r="C309" s="125"/>
      <c r="D309" s="125"/>
      <c r="E309" s="125"/>
    </row>
    <row r="310">
      <c r="A310" s="125"/>
      <c r="B310" s="125"/>
      <c r="C310" s="125"/>
      <c r="D310" s="125"/>
      <c r="E310" s="125"/>
    </row>
    <row r="311">
      <c r="A311" s="125"/>
      <c r="B311" s="125"/>
      <c r="C311" s="125"/>
      <c r="D311" s="125"/>
      <c r="E311" s="125"/>
    </row>
    <row r="312">
      <c r="A312" s="125"/>
      <c r="B312" s="125"/>
      <c r="C312" s="125"/>
      <c r="D312" s="125"/>
      <c r="E312" s="125"/>
    </row>
    <row r="313">
      <c r="A313" s="125"/>
      <c r="B313" s="125"/>
      <c r="C313" s="125"/>
      <c r="D313" s="125"/>
      <c r="E313" s="125"/>
    </row>
    <row r="314">
      <c r="A314" s="125"/>
      <c r="B314" s="125"/>
      <c r="C314" s="125"/>
      <c r="D314" s="125"/>
      <c r="E314" s="125"/>
    </row>
    <row r="315">
      <c r="A315" s="125"/>
      <c r="B315" s="125"/>
      <c r="C315" s="125"/>
      <c r="D315" s="125"/>
      <c r="E315" s="125"/>
    </row>
    <row r="316">
      <c r="A316" s="125"/>
      <c r="B316" s="125"/>
      <c r="C316" s="125"/>
      <c r="D316" s="125"/>
      <c r="E316" s="125"/>
    </row>
    <row r="317">
      <c r="A317" s="125"/>
      <c r="B317" s="125"/>
      <c r="C317" s="125"/>
      <c r="D317" s="125"/>
      <c r="E317" s="125"/>
    </row>
    <row r="318">
      <c r="A318" s="125"/>
      <c r="B318" s="125"/>
      <c r="C318" s="125"/>
      <c r="D318" s="125"/>
      <c r="E318" s="125"/>
    </row>
    <row r="319">
      <c r="A319" s="125"/>
      <c r="B319" s="125"/>
      <c r="C319" s="125"/>
      <c r="D319" s="125"/>
      <c r="E319" s="125"/>
    </row>
    <row r="320">
      <c r="A320" s="125"/>
      <c r="B320" s="125"/>
      <c r="C320" s="125"/>
      <c r="D320" s="125"/>
      <c r="E320" s="125"/>
    </row>
    <row r="321">
      <c r="A321" s="125"/>
      <c r="B321" s="125"/>
      <c r="C321" s="125"/>
      <c r="D321" s="125"/>
      <c r="E321" s="125"/>
    </row>
    <row r="322">
      <c r="A322" s="125"/>
      <c r="B322" s="125"/>
      <c r="C322" s="125"/>
      <c r="D322" s="125"/>
      <c r="E322" s="125"/>
    </row>
    <row r="323">
      <c r="A323" s="125"/>
      <c r="B323" s="125"/>
      <c r="C323" s="125"/>
      <c r="D323" s="125"/>
      <c r="E323" s="125"/>
    </row>
    <row r="324">
      <c r="A324" s="125"/>
      <c r="B324" s="125"/>
      <c r="C324" s="125"/>
      <c r="D324" s="125"/>
      <c r="E324" s="125"/>
    </row>
    <row r="325">
      <c r="A325" s="125"/>
      <c r="B325" s="125"/>
      <c r="C325" s="125"/>
      <c r="D325" s="125"/>
      <c r="E325" s="125"/>
    </row>
    <row r="326">
      <c r="A326" s="125"/>
      <c r="B326" s="125"/>
      <c r="C326" s="125"/>
      <c r="D326" s="125"/>
      <c r="E326" s="125"/>
    </row>
    <row r="327">
      <c r="A327" s="125"/>
      <c r="B327" s="125"/>
      <c r="C327" s="125"/>
      <c r="D327" s="125"/>
      <c r="E327" s="125"/>
    </row>
    <row r="328">
      <c r="A328" s="125"/>
      <c r="B328" s="125"/>
      <c r="C328" s="125"/>
      <c r="D328" s="125"/>
      <c r="E328" s="125"/>
    </row>
    <row r="329">
      <c r="A329" s="125"/>
      <c r="B329" s="125"/>
      <c r="C329" s="125"/>
      <c r="D329" s="125"/>
      <c r="E329" s="125"/>
    </row>
    <row r="330">
      <c r="A330" s="125"/>
      <c r="B330" s="125"/>
      <c r="C330" s="125"/>
      <c r="D330" s="125"/>
      <c r="E330" s="125"/>
    </row>
    <row r="331">
      <c r="A331" s="125"/>
      <c r="B331" s="125"/>
      <c r="C331" s="125"/>
      <c r="D331" s="125"/>
      <c r="E331" s="125"/>
    </row>
    <row r="332">
      <c r="A332" s="125"/>
      <c r="B332" s="125"/>
      <c r="C332" s="125"/>
      <c r="D332" s="125"/>
      <c r="E332" s="125"/>
    </row>
    <row r="333">
      <c r="A333" s="125"/>
      <c r="B333" s="125"/>
      <c r="C333" s="125"/>
      <c r="D333" s="125"/>
      <c r="E333" s="125"/>
    </row>
    <row r="334">
      <c r="A334" s="125"/>
      <c r="B334" s="125"/>
      <c r="C334" s="125"/>
      <c r="D334" s="125"/>
      <c r="E334" s="125"/>
    </row>
    <row r="335">
      <c r="A335" s="125"/>
      <c r="B335" s="125"/>
      <c r="C335" s="125"/>
      <c r="D335" s="125"/>
      <c r="E335" s="125"/>
    </row>
    <row r="336">
      <c r="A336" s="125"/>
      <c r="B336" s="125"/>
      <c r="C336" s="125"/>
      <c r="D336" s="125"/>
      <c r="E336" s="125"/>
    </row>
    <row r="337">
      <c r="A337" s="125"/>
      <c r="B337" s="125"/>
      <c r="C337" s="125"/>
      <c r="D337" s="125"/>
      <c r="E337" s="125"/>
    </row>
    <row r="338">
      <c r="A338" s="125"/>
      <c r="B338" s="125"/>
      <c r="C338" s="125"/>
      <c r="D338" s="125"/>
      <c r="E338" s="125"/>
    </row>
    <row r="339">
      <c r="A339" s="125"/>
      <c r="B339" s="125"/>
      <c r="C339" s="125"/>
      <c r="D339" s="125"/>
      <c r="E339" s="125"/>
    </row>
    <row r="340">
      <c r="A340" s="125"/>
      <c r="B340" s="125"/>
      <c r="C340" s="125"/>
      <c r="D340" s="125"/>
      <c r="E340" s="125"/>
    </row>
    <row r="341">
      <c r="A341" s="125"/>
      <c r="B341" s="125"/>
      <c r="C341" s="125"/>
      <c r="D341" s="125"/>
      <c r="E341" s="125"/>
    </row>
    <row r="342">
      <c r="A342" s="125"/>
      <c r="B342" s="125"/>
      <c r="C342" s="125"/>
      <c r="D342" s="125"/>
      <c r="E342" s="125"/>
    </row>
    <row r="343">
      <c r="A343" s="125"/>
      <c r="B343" s="125"/>
      <c r="C343" s="125"/>
      <c r="D343" s="125"/>
      <c r="E343" s="125"/>
    </row>
    <row r="344">
      <c r="A344" s="125"/>
      <c r="B344" s="125"/>
      <c r="C344" s="125"/>
      <c r="D344" s="125"/>
      <c r="E344" s="125"/>
    </row>
    <row r="345">
      <c r="A345" s="125"/>
      <c r="B345" s="125"/>
      <c r="C345" s="125"/>
      <c r="D345" s="125"/>
      <c r="E345" s="125"/>
    </row>
    <row r="346">
      <c r="A346" s="125"/>
      <c r="B346" s="125"/>
      <c r="C346" s="125"/>
      <c r="D346" s="125"/>
      <c r="E346" s="125"/>
    </row>
    <row r="347">
      <c r="A347" s="125"/>
      <c r="B347" s="125"/>
      <c r="C347" s="125"/>
      <c r="D347" s="125"/>
      <c r="E347" s="125"/>
    </row>
    <row r="348">
      <c r="A348" s="125"/>
      <c r="B348" s="125"/>
      <c r="C348" s="125"/>
      <c r="D348" s="125"/>
      <c r="E348" s="125"/>
    </row>
    <row r="349">
      <c r="A349" s="125"/>
      <c r="B349" s="125"/>
      <c r="C349" s="125"/>
      <c r="D349" s="125"/>
      <c r="E349" s="125"/>
    </row>
    <row r="350">
      <c r="A350" s="125"/>
      <c r="B350" s="125"/>
      <c r="C350" s="125"/>
      <c r="D350" s="125"/>
      <c r="E350" s="125"/>
    </row>
    <row r="351">
      <c r="A351" s="125"/>
      <c r="B351" s="125"/>
      <c r="C351" s="125"/>
      <c r="D351" s="125"/>
      <c r="E351" s="125"/>
    </row>
    <row r="352">
      <c r="A352" s="125"/>
      <c r="B352" s="125"/>
      <c r="C352" s="125"/>
      <c r="D352" s="125"/>
      <c r="E352" s="125"/>
    </row>
    <row r="353">
      <c r="A353" s="125"/>
      <c r="B353" s="125"/>
      <c r="C353" s="125"/>
      <c r="D353" s="125"/>
      <c r="E353" s="125"/>
    </row>
    <row r="354">
      <c r="A354" s="125"/>
      <c r="B354" s="125"/>
      <c r="C354" s="125"/>
      <c r="D354" s="125"/>
      <c r="E354" s="125"/>
    </row>
    <row r="355">
      <c r="A355" s="125"/>
      <c r="B355" s="125"/>
      <c r="C355" s="125"/>
      <c r="D355" s="125"/>
      <c r="E355" s="125"/>
    </row>
    <row r="356">
      <c r="A356" s="125"/>
      <c r="B356" s="125"/>
      <c r="C356" s="125"/>
      <c r="D356" s="125"/>
      <c r="E356" s="125"/>
    </row>
    <row r="357">
      <c r="A357" s="125"/>
      <c r="B357" s="125"/>
      <c r="C357" s="125"/>
      <c r="D357" s="125"/>
      <c r="E357" s="125"/>
    </row>
    <row r="358">
      <c r="A358" s="125"/>
      <c r="B358" s="125"/>
      <c r="C358" s="125"/>
      <c r="D358" s="125"/>
      <c r="E358" s="125"/>
    </row>
    <row r="359">
      <c r="A359" s="125"/>
      <c r="B359" s="125"/>
      <c r="C359" s="125"/>
      <c r="D359" s="125"/>
      <c r="E359" s="125"/>
    </row>
    <row r="360">
      <c r="A360" s="125"/>
      <c r="B360" s="125"/>
      <c r="C360" s="125"/>
      <c r="D360" s="125"/>
      <c r="E360" s="125"/>
    </row>
    <row r="361">
      <c r="A361" s="125"/>
      <c r="B361" s="125"/>
      <c r="C361" s="125"/>
      <c r="D361" s="125"/>
      <c r="E361" s="125"/>
    </row>
    <row r="362">
      <c r="A362" s="125"/>
      <c r="B362" s="125"/>
      <c r="C362" s="125"/>
      <c r="D362" s="125"/>
      <c r="E362" s="125"/>
    </row>
    <row r="363">
      <c r="A363" s="125"/>
      <c r="B363" s="125"/>
      <c r="C363" s="125"/>
      <c r="D363" s="125"/>
      <c r="E363" s="125"/>
    </row>
    <row r="364">
      <c r="A364" s="125"/>
      <c r="B364" s="125"/>
      <c r="C364" s="125"/>
      <c r="D364" s="125"/>
      <c r="E364" s="125"/>
    </row>
    <row r="365">
      <c r="A365" s="125"/>
      <c r="B365" s="125"/>
      <c r="C365" s="125"/>
      <c r="D365" s="125"/>
      <c r="E365" s="125"/>
    </row>
    <row r="366">
      <c r="A366" s="125"/>
      <c r="B366" s="125"/>
      <c r="C366" s="125"/>
      <c r="D366" s="125"/>
      <c r="E366" s="125"/>
    </row>
    <row r="367">
      <c r="A367" s="125"/>
      <c r="B367" s="125"/>
      <c r="C367" s="125"/>
      <c r="D367" s="125"/>
      <c r="E367" s="125"/>
    </row>
    <row r="368">
      <c r="A368" s="125"/>
      <c r="B368" s="125"/>
      <c r="C368" s="125"/>
      <c r="D368" s="125"/>
      <c r="E368" s="125"/>
    </row>
    <row r="369">
      <c r="A369" s="125"/>
      <c r="B369" s="125"/>
      <c r="C369" s="125"/>
      <c r="D369" s="125"/>
      <c r="E369" s="125"/>
    </row>
    <row r="370">
      <c r="A370" s="125"/>
      <c r="B370" s="125"/>
      <c r="C370" s="125"/>
      <c r="D370" s="125"/>
      <c r="E370" s="125"/>
    </row>
    <row r="371">
      <c r="A371" s="125"/>
      <c r="B371" s="125"/>
      <c r="C371" s="125"/>
      <c r="D371" s="125"/>
      <c r="E371" s="125"/>
    </row>
    <row r="372">
      <c r="A372" s="125"/>
      <c r="B372" s="125"/>
      <c r="C372" s="125"/>
      <c r="D372" s="125"/>
      <c r="E372" s="125"/>
    </row>
    <row r="373">
      <c r="A373" s="125"/>
      <c r="B373" s="125"/>
      <c r="C373" s="125"/>
      <c r="D373" s="125"/>
      <c r="E373" s="125"/>
    </row>
    <row r="374">
      <c r="A374" s="125"/>
      <c r="B374" s="125"/>
      <c r="C374" s="125"/>
      <c r="D374" s="125"/>
      <c r="E374" s="125"/>
    </row>
    <row r="375">
      <c r="A375" s="125"/>
      <c r="B375" s="125"/>
      <c r="C375" s="125"/>
      <c r="D375" s="125"/>
      <c r="E375" s="125"/>
    </row>
    <row r="376">
      <c r="A376" s="125"/>
      <c r="B376" s="125"/>
      <c r="C376" s="125"/>
      <c r="D376" s="125"/>
      <c r="E376" s="125"/>
    </row>
    <row r="377">
      <c r="A377" s="125"/>
      <c r="B377" s="125"/>
      <c r="C377" s="125"/>
      <c r="D377" s="125"/>
      <c r="E377" s="125"/>
    </row>
    <row r="378">
      <c r="A378" s="125"/>
      <c r="B378" s="125"/>
      <c r="C378" s="125"/>
      <c r="D378" s="125"/>
      <c r="E378" s="125"/>
    </row>
    <row r="379">
      <c r="A379" s="125"/>
      <c r="B379" s="125"/>
      <c r="C379" s="125"/>
      <c r="D379" s="125"/>
      <c r="E379" s="125"/>
    </row>
    <row r="380">
      <c r="A380" s="125"/>
      <c r="B380" s="125"/>
      <c r="C380" s="125"/>
      <c r="D380" s="125"/>
      <c r="E380" s="125"/>
    </row>
    <row r="381">
      <c r="A381" s="125"/>
      <c r="B381" s="125"/>
      <c r="C381" s="125"/>
      <c r="D381" s="125"/>
      <c r="E381" s="125"/>
    </row>
    <row r="382">
      <c r="A382" s="125"/>
      <c r="B382" s="125"/>
      <c r="C382" s="125"/>
      <c r="D382" s="125"/>
      <c r="E382" s="125"/>
    </row>
    <row r="383">
      <c r="A383" s="125"/>
      <c r="B383" s="125"/>
      <c r="C383" s="125"/>
      <c r="D383" s="125"/>
      <c r="E383" s="125"/>
    </row>
    <row r="384">
      <c r="A384" s="125"/>
      <c r="B384" s="125"/>
      <c r="C384" s="125"/>
      <c r="D384" s="125"/>
      <c r="E384" s="125"/>
    </row>
    <row r="385">
      <c r="A385" s="125"/>
      <c r="B385" s="125"/>
      <c r="C385" s="125"/>
      <c r="D385" s="125"/>
      <c r="E385" s="125"/>
    </row>
    <row r="386">
      <c r="A386" s="125"/>
      <c r="B386" s="125"/>
      <c r="C386" s="125"/>
      <c r="D386" s="125"/>
      <c r="E386" s="125"/>
    </row>
    <row r="387">
      <c r="A387" s="125"/>
      <c r="B387" s="125"/>
      <c r="C387" s="125"/>
      <c r="D387" s="125"/>
      <c r="E387" s="125"/>
    </row>
    <row r="388">
      <c r="A388" s="125"/>
      <c r="B388" s="125"/>
      <c r="C388" s="125"/>
      <c r="D388" s="125"/>
      <c r="E388" s="125"/>
    </row>
    <row r="389">
      <c r="A389" s="125"/>
      <c r="B389" s="125"/>
      <c r="C389" s="125"/>
      <c r="D389" s="125"/>
      <c r="E389" s="125"/>
    </row>
    <row r="390">
      <c r="A390" s="125"/>
      <c r="B390" s="125"/>
      <c r="C390" s="125"/>
      <c r="D390" s="125"/>
      <c r="E390" s="125"/>
    </row>
    <row r="391">
      <c r="A391" s="125"/>
      <c r="B391" s="125"/>
      <c r="C391" s="125"/>
      <c r="D391" s="125"/>
      <c r="E391" s="125"/>
    </row>
    <row r="392">
      <c r="A392" s="125"/>
      <c r="B392" s="125"/>
      <c r="C392" s="125"/>
      <c r="D392" s="125"/>
      <c r="E392" s="125"/>
    </row>
    <row r="393">
      <c r="A393" s="125"/>
      <c r="B393" s="125"/>
      <c r="C393" s="125"/>
      <c r="D393" s="125"/>
      <c r="E393" s="125"/>
    </row>
    <row r="394">
      <c r="A394" s="125"/>
      <c r="B394" s="125"/>
      <c r="C394" s="125"/>
      <c r="D394" s="125"/>
      <c r="E394" s="125"/>
    </row>
    <row r="395">
      <c r="A395" s="125"/>
      <c r="B395" s="125"/>
      <c r="C395" s="125"/>
      <c r="D395" s="125"/>
      <c r="E395" s="125"/>
    </row>
    <row r="396">
      <c r="A396" s="125"/>
      <c r="B396" s="125"/>
      <c r="C396" s="125"/>
      <c r="D396" s="125"/>
      <c r="E396" s="125"/>
    </row>
    <row r="397">
      <c r="A397" s="125"/>
      <c r="B397" s="125"/>
      <c r="C397" s="125"/>
      <c r="D397" s="125"/>
      <c r="E397" s="125"/>
    </row>
    <row r="398">
      <c r="A398" s="125"/>
      <c r="B398" s="125"/>
      <c r="C398" s="125"/>
      <c r="D398" s="125"/>
      <c r="E398" s="125"/>
    </row>
    <row r="399">
      <c r="A399" s="125"/>
      <c r="B399" s="125"/>
      <c r="C399" s="125"/>
      <c r="D399" s="125"/>
      <c r="E399" s="125"/>
    </row>
    <row r="400">
      <c r="A400" s="125"/>
      <c r="B400" s="125"/>
      <c r="C400" s="125"/>
      <c r="D400" s="125"/>
      <c r="E400" s="125"/>
    </row>
    <row r="401">
      <c r="A401" s="125"/>
      <c r="B401" s="125"/>
      <c r="C401" s="125"/>
      <c r="D401" s="125"/>
      <c r="E401" s="125"/>
    </row>
    <row r="402">
      <c r="A402" s="125"/>
      <c r="B402" s="125"/>
      <c r="C402" s="125"/>
      <c r="D402" s="125"/>
      <c r="E402" s="125"/>
    </row>
    <row r="403">
      <c r="A403" s="125"/>
      <c r="B403" s="125"/>
      <c r="C403" s="125"/>
      <c r="D403" s="125"/>
      <c r="E403" s="125"/>
    </row>
    <row r="404">
      <c r="A404" s="125"/>
      <c r="B404" s="125"/>
      <c r="C404" s="125"/>
      <c r="D404" s="125"/>
      <c r="E404" s="125"/>
    </row>
    <row r="405">
      <c r="A405" s="125"/>
      <c r="B405" s="125"/>
      <c r="C405" s="125"/>
      <c r="D405" s="125"/>
      <c r="E405" s="125"/>
    </row>
    <row r="406">
      <c r="A406" s="125"/>
      <c r="B406" s="125"/>
      <c r="C406" s="125"/>
      <c r="D406" s="125"/>
      <c r="E406" s="125"/>
    </row>
    <row r="407">
      <c r="A407" s="125"/>
      <c r="B407" s="125"/>
      <c r="C407" s="125"/>
      <c r="D407" s="125"/>
      <c r="E407" s="125"/>
    </row>
    <row r="408">
      <c r="A408" s="125"/>
      <c r="B408" s="125"/>
      <c r="C408" s="125"/>
      <c r="D408" s="125"/>
      <c r="E408" s="125"/>
    </row>
    <row r="409">
      <c r="A409" s="125"/>
      <c r="B409" s="125"/>
      <c r="C409" s="125"/>
      <c r="D409" s="125"/>
      <c r="E409" s="125"/>
    </row>
    <row r="410">
      <c r="A410" s="125"/>
      <c r="B410" s="125"/>
      <c r="C410" s="125"/>
      <c r="D410" s="125"/>
      <c r="E410" s="125"/>
    </row>
    <row r="411">
      <c r="A411" s="125"/>
      <c r="B411" s="125"/>
      <c r="C411" s="125"/>
      <c r="D411" s="125"/>
      <c r="E411" s="125"/>
    </row>
    <row r="412">
      <c r="A412" s="125"/>
      <c r="B412" s="125"/>
      <c r="C412" s="125"/>
      <c r="D412" s="125"/>
      <c r="E412" s="125"/>
    </row>
    <row r="413">
      <c r="A413" s="125"/>
      <c r="B413" s="125"/>
      <c r="C413" s="125"/>
      <c r="D413" s="125"/>
      <c r="E413" s="125"/>
    </row>
    <row r="414">
      <c r="A414" s="125"/>
      <c r="B414" s="125"/>
      <c r="C414" s="125"/>
      <c r="D414" s="125"/>
      <c r="E414" s="125"/>
    </row>
    <row r="415">
      <c r="A415" s="125"/>
      <c r="B415" s="125"/>
      <c r="C415" s="125"/>
      <c r="D415" s="125"/>
      <c r="E415" s="125"/>
    </row>
    <row r="416">
      <c r="A416" s="125"/>
      <c r="B416" s="125"/>
      <c r="C416" s="125"/>
      <c r="D416" s="125"/>
      <c r="E416" s="125"/>
    </row>
    <row r="417">
      <c r="A417" s="125"/>
      <c r="B417" s="125"/>
      <c r="C417" s="125"/>
      <c r="D417" s="125"/>
      <c r="E417" s="125"/>
    </row>
    <row r="418">
      <c r="A418" s="125"/>
      <c r="B418" s="125"/>
      <c r="C418" s="125"/>
      <c r="D418" s="125"/>
      <c r="E418" s="125"/>
    </row>
    <row r="419">
      <c r="A419" s="125"/>
      <c r="B419" s="125"/>
      <c r="C419" s="125"/>
      <c r="D419" s="125"/>
      <c r="E419" s="125"/>
    </row>
    <row r="420">
      <c r="A420" s="125"/>
      <c r="B420" s="125"/>
      <c r="C420" s="125"/>
      <c r="D420" s="125"/>
      <c r="E420" s="125"/>
    </row>
    <row r="421">
      <c r="A421" s="125"/>
      <c r="B421" s="125"/>
      <c r="C421" s="125"/>
      <c r="D421" s="125"/>
      <c r="E421" s="125"/>
    </row>
    <row r="422">
      <c r="A422" s="125"/>
      <c r="B422" s="125"/>
      <c r="C422" s="125"/>
      <c r="D422" s="125"/>
      <c r="E422" s="125"/>
    </row>
    <row r="423">
      <c r="A423" s="125"/>
      <c r="B423" s="125"/>
      <c r="C423" s="125"/>
      <c r="D423" s="125"/>
      <c r="E423" s="125"/>
    </row>
    <row r="424">
      <c r="A424" s="125"/>
      <c r="B424" s="125"/>
      <c r="C424" s="125"/>
      <c r="D424" s="125"/>
      <c r="E424" s="125"/>
    </row>
    <row r="425">
      <c r="A425" s="125"/>
      <c r="B425" s="125"/>
      <c r="C425" s="125"/>
      <c r="D425" s="125"/>
      <c r="E425" s="125"/>
    </row>
    <row r="426">
      <c r="A426" s="125"/>
      <c r="B426" s="125"/>
      <c r="C426" s="125"/>
      <c r="D426" s="125"/>
      <c r="E426" s="125"/>
    </row>
    <row r="427">
      <c r="A427" s="125"/>
      <c r="B427" s="125"/>
      <c r="C427" s="125"/>
      <c r="D427" s="125"/>
      <c r="E427" s="125"/>
    </row>
    <row r="428">
      <c r="A428" s="125"/>
      <c r="B428" s="125"/>
      <c r="C428" s="125"/>
      <c r="D428" s="125"/>
      <c r="E428" s="125"/>
    </row>
    <row r="429">
      <c r="A429" s="125"/>
      <c r="B429" s="125"/>
      <c r="C429" s="125"/>
      <c r="D429" s="125"/>
      <c r="E429" s="125"/>
    </row>
    <row r="430">
      <c r="A430" s="125"/>
      <c r="B430" s="125"/>
      <c r="C430" s="125"/>
      <c r="D430" s="125"/>
      <c r="E430" s="125"/>
    </row>
    <row r="431">
      <c r="A431" s="125"/>
      <c r="B431" s="125"/>
      <c r="C431" s="125"/>
      <c r="D431" s="125"/>
      <c r="E431" s="125"/>
    </row>
    <row r="432">
      <c r="A432" s="125"/>
      <c r="B432" s="125"/>
      <c r="C432" s="125"/>
      <c r="D432" s="125"/>
      <c r="E432" s="125"/>
    </row>
    <row r="433">
      <c r="A433" s="125"/>
      <c r="B433" s="125"/>
      <c r="C433" s="125"/>
      <c r="D433" s="125"/>
      <c r="E433" s="125"/>
    </row>
    <row r="434">
      <c r="A434" s="125"/>
      <c r="B434" s="125"/>
      <c r="C434" s="125"/>
      <c r="D434" s="125"/>
      <c r="E434" s="125"/>
    </row>
    <row r="435">
      <c r="A435" s="125"/>
      <c r="B435" s="125"/>
      <c r="C435" s="125"/>
      <c r="D435" s="125"/>
      <c r="E435" s="125"/>
    </row>
    <row r="436">
      <c r="A436" s="125"/>
      <c r="B436" s="125"/>
      <c r="C436" s="125"/>
      <c r="D436" s="125"/>
      <c r="E436" s="125"/>
    </row>
    <row r="437">
      <c r="A437" s="125"/>
      <c r="B437" s="125"/>
      <c r="C437" s="125"/>
      <c r="D437" s="125"/>
      <c r="E437" s="125"/>
    </row>
    <row r="438">
      <c r="A438" s="125"/>
      <c r="B438" s="125"/>
      <c r="C438" s="125"/>
      <c r="D438" s="125"/>
      <c r="E438" s="125"/>
    </row>
    <row r="439">
      <c r="A439" s="125"/>
      <c r="B439" s="125"/>
      <c r="C439" s="125"/>
      <c r="D439" s="125"/>
      <c r="E439" s="125"/>
    </row>
    <row r="440">
      <c r="A440" s="125"/>
      <c r="B440" s="125"/>
      <c r="C440" s="125"/>
      <c r="D440" s="125"/>
      <c r="E440" s="125"/>
    </row>
    <row r="441">
      <c r="A441" s="125"/>
      <c r="B441" s="125"/>
      <c r="C441" s="125"/>
      <c r="D441" s="125"/>
      <c r="E441" s="125"/>
    </row>
    <row r="442">
      <c r="A442" s="125"/>
      <c r="B442" s="125"/>
      <c r="C442" s="125"/>
      <c r="D442" s="125"/>
      <c r="E442" s="125"/>
    </row>
    <row r="443">
      <c r="A443" s="125"/>
      <c r="B443" s="125"/>
      <c r="C443" s="125"/>
      <c r="D443" s="125"/>
      <c r="E443" s="125"/>
    </row>
    <row r="444">
      <c r="A444" s="125"/>
      <c r="B444" s="125"/>
      <c r="C444" s="125"/>
      <c r="D444" s="125"/>
      <c r="E444" s="125"/>
    </row>
    <row r="445">
      <c r="A445" s="125"/>
      <c r="B445" s="125"/>
      <c r="C445" s="125"/>
      <c r="D445" s="125"/>
      <c r="E445" s="125"/>
    </row>
    <row r="446">
      <c r="A446" s="125"/>
      <c r="B446" s="125"/>
      <c r="C446" s="125"/>
      <c r="D446" s="125"/>
      <c r="E446" s="125"/>
    </row>
    <row r="447">
      <c r="A447" s="125"/>
      <c r="B447" s="125"/>
      <c r="C447" s="125"/>
      <c r="D447" s="125"/>
      <c r="E447" s="125"/>
    </row>
    <row r="448">
      <c r="A448" s="125"/>
      <c r="B448" s="125"/>
      <c r="C448" s="125"/>
      <c r="D448" s="125"/>
      <c r="E448" s="125"/>
    </row>
    <row r="449">
      <c r="A449" s="125"/>
      <c r="B449" s="125"/>
      <c r="C449" s="125"/>
      <c r="D449" s="125"/>
      <c r="E449" s="125"/>
    </row>
    <row r="450">
      <c r="A450" s="125"/>
      <c r="B450" s="125"/>
      <c r="C450" s="125"/>
      <c r="D450" s="125"/>
      <c r="E450" s="125"/>
    </row>
    <row r="451">
      <c r="A451" s="125"/>
      <c r="B451" s="125"/>
      <c r="C451" s="125"/>
      <c r="D451" s="125"/>
      <c r="E451" s="125"/>
    </row>
    <row r="452">
      <c r="A452" s="125"/>
      <c r="B452" s="125"/>
      <c r="C452" s="125"/>
      <c r="D452" s="125"/>
      <c r="E452" s="125"/>
    </row>
    <row r="453">
      <c r="A453" s="125"/>
      <c r="B453" s="125"/>
      <c r="C453" s="125"/>
      <c r="D453" s="125"/>
      <c r="E453" s="125"/>
    </row>
    <row r="454">
      <c r="A454" s="125"/>
      <c r="B454" s="125"/>
      <c r="C454" s="125"/>
      <c r="D454" s="125"/>
      <c r="E454" s="125"/>
    </row>
    <row r="455">
      <c r="A455" s="125"/>
      <c r="B455" s="125"/>
      <c r="C455" s="125"/>
      <c r="D455" s="125"/>
      <c r="E455" s="125"/>
    </row>
    <row r="456">
      <c r="A456" s="125"/>
      <c r="B456" s="125"/>
      <c r="C456" s="125"/>
      <c r="D456" s="125"/>
      <c r="E456" s="125"/>
    </row>
    <row r="457">
      <c r="A457" s="125"/>
      <c r="B457" s="125"/>
      <c r="C457" s="125"/>
      <c r="D457" s="125"/>
      <c r="E457" s="125"/>
    </row>
    <row r="458">
      <c r="A458" s="125"/>
      <c r="B458" s="125"/>
      <c r="C458" s="125"/>
      <c r="D458" s="125"/>
      <c r="E458" s="125"/>
    </row>
    <row r="459">
      <c r="A459" s="125"/>
      <c r="B459" s="125"/>
      <c r="C459" s="125"/>
      <c r="D459" s="125"/>
      <c r="E459" s="125"/>
    </row>
    <row r="460">
      <c r="A460" s="125"/>
      <c r="B460" s="125"/>
      <c r="C460" s="125"/>
      <c r="D460" s="125"/>
      <c r="E460" s="125"/>
    </row>
    <row r="461">
      <c r="A461" s="125"/>
      <c r="B461" s="125"/>
      <c r="C461" s="125"/>
      <c r="D461" s="125"/>
      <c r="E461" s="125"/>
    </row>
    <row r="462">
      <c r="A462" s="125"/>
      <c r="B462" s="125"/>
      <c r="C462" s="125"/>
      <c r="D462" s="125"/>
      <c r="E462" s="125"/>
    </row>
    <row r="463">
      <c r="A463" s="125"/>
      <c r="B463" s="125"/>
      <c r="C463" s="125"/>
      <c r="D463" s="125"/>
      <c r="E463" s="125"/>
    </row>
    <row r="464">
      <c r="A464" s="125"/>
      <c r="B464" s="125"/>
      <c r="C464" s="125"/>
      <c r="D464" s="125"/>
      <c r="E464" s="125"/>
    </row>
    <row r="465">
      <c r="A465" s="125"/>
      <c r="B465" s="125"/>
      <c r="C465" s="125"/>
      <c r="D465" s="125"/>
      <c r="E465" s="125"/>
    </row>
    <row r="466">
      <c r="A466" s="125"/>
      <c r="B466" s="125"/>
      <c r="C466" s="125"/>
      <c r="D466" s="125"/>
      <c r="E466" s="125"/>
    </row>
    <row r="467">
      <c r="A467" s="125"/>
      <c r="B467" s="125"/>
      <c r="C467" s="125"/>
      <c r="D467" s="125"/>
      <c r="E467" s="125"/>
    </row>
    <row r="468">
      <c r="A468" s="125"/>
      <c r="B468" s="125"/>
      <c r="C468" s="125"/>
      <c r="D468" s="125"/>
      <c r="E468" s="125"/>
    </row>
    <row r="469">
      <c r="A469" s="125"/>
      <c r="B469" s="125"/>
      <c r="C469" s="125"/>
      <c r="D469" s="125"/>
      <c r="E469" s="125"/>
    </row>
    <row r="470">
      <c r="A470" s="125"/>
      <c r="B470" s="125"/>
      <c r="C470" s="125"/>
      <c r="D470" s="125"/>
      <c r="E470" s="125"/>
    </row>
    <row r="471">
      <c r="A471" s="125"/>
      <c r="B471" s="125"/>
      <c r="C471" s="125"/>
      <c r="D471" s="125"/>
      <c r="E471" s="125"/>
    </row>
    <row r="472">
      <c r="A472" s="125"/>
      <c r="B472" s="125"/>
      <c r="C472" s="125"/>
      <c r="D472" s="125"/>
      <c r="E472" s="125"/>
    </row>
    <row r="473">
      <c r="A473" s="125"/>
      <c r="B473" s="125"/>
      <c r="C473" s="125"/>
      <c r="D473" s="125"/>
      <c r="E473" s="125"/>
    </row>
    <row r="474">
      <c r="A474" s="125"/>
      <c r="B474" s="125"/>
      <c r="C474" s="125"/>
      <c r="D474" s="125"/>
      <c r="E474" s="125"/>
    </row>
    <row r="475">
      <c r="A475" s="125"/>
      <c r="B475" s="125"/>
      <c r="C475" s="125"/>
      <c r="D475" s="125"/>
      <c r="E475" s="125"/>
    </row>
    <row r="476">
      <c r="A476" s="125"/>
      <c r="B476" s="125"/>
      <c r="C476" s="125"/>
      <c r="D476" s="125"/>
      <c r="E476" s="125"/>
    </row>
    <row r="477">
      <c r="A477" s="125"/>
      <c r="B477" s="125"/>
      <c r="C477" s="125"/>
      <c r="D477" s="125"/>
      <c r="E477" s="125"/>
    </row>
    <row r="478">
      <c r="A478" s="125"/>
      <c r="B478" s="125"/>
      <c r="C478" s="125"/>
      <c r="D478" s="125"/>
      <c r="E478" s="125"/>
    </row>
    <row r="479">
      <c r="A479" s="125"/>
      <c r="B479" s="125"/>
      <c r="C479" s="125"/>
      <c r="D479" s="125"/>
      <c r="E479" s="125"/>
    </row>
    <row r="480">
      <c r="A480" s="125"/>
      <c r="B480" s="125"/>
      <c r="C480" s="125"/>
      <c r="D480" s="125"/>
      <c r="E480" s="125"/>
    </row>
    <row r="481">
      <c r="A481" s="125"/>
      <c r="B481" s="125"/>
      <c r="C481" s="125"/>
      <c r="D481" s="125"/>
      <c r="E481" s="125"/>
    </row>
    <row r="482">
      <c r="A482" s="125"/>
      <c r="B482" s="125"/>
      <c r="C482" s="125"/>
      <c r="D482" s="125"/>
      <c r="E482" s="125"/>
    </row>
    <row r="483">
      <c r="A483" s="125"/>
      <c r="B483" s="125"/>
      <c r="C483" s="125"/>
      <c r="D483" s="125"/>
      <c r="E483" s="125"/>
    </row>
    <row r="484">
      <c r="A484" s="125"/>
      <c r="B484" s="125"/>
      <c r="C484" s="125"/>
      <c r="D484" s="125"/>
      <c r="E484" s="125"/>
    </row>
    <row r="485">
      <c r="A485" s="125"/>
      <c r="B485" s="125"/>
      <c r="C485" s="125"/>
      <c r="D485" s="125"/>
      <c r="E485" s="125"/>
    </row>
    <row r="486">
      <c r="A486" s="125"/>
      <c r="B486" s="125"/>
      <c r="C486" s="125"/>
      <c r="D486" s="125"/>
      <c r="E486" s="125"/>
    </row>
    <row r="487">
      <c r="A487" s="125"/>
      <c r="B487" s="125"/>
      <c r="C487" s="125"/>
      <c r="D487" s="125"/>
      <c r="E487" s="125"/>
    </row>
    <row r="488">
      <c r="A488" s="125"/>
      <c r="B488" s="125"/>
      <c r="C488" s="125"/>
      <c r="D488" s="125"/>
      <c r="E488" s="125"/>
    </row>
    <row r="489">
      <c r="A489" s="125"/>
      <c r="B489" s="125"/>
      <c r="C489" s="125"/>
      <c r="D489" s="125"/>
      <c r="E489" s="125"/>
    </row>
    <row r="490">
      <c r="A490" s="125"/>
      <c r="B490" s="125"/>
      <c r="C490" s="125"/>
      <c r="D490" s="125"/>
      <c r="E490" s="125"/>
    </row>
    <row r="491">
      <c r="A491" s="125"/>
      <c r="B491" s="125"/>
      <c r="C491" s="125"/>
      <c r="D491" s="125"/>
      <c r="E491" s="125"/>
    </row>
    <row r="492">
      <c r="A492" s="125"/>
      <c r="B492" s="125"/>
      <c r="C492" s="125"/>
      <c r="D492" s="125"/>
      <c r="E492" s="125"/>
    </row>
    <row r="493">
      <c r="A493" s="125"/>
      <c r="B493" s="125"/>
      <c r="C493" s="125"/>
      <c r="D493" s="125"/>
      <c r="E493" s="125"/>
    </row>
    <row r="494">
      <c r="A494" s="125"/>
      <c r="B494" s="125"/>
      <c r="C494" s="125"/>
      <c r="D494" s="125"/>
      <c r="E494" s="125"/>
    </row>
    <row r="495">
      <c r="A495" s="125"/>
      <c r="B495" s="125"/>
      <c r="C495" s="125"/>
      <c r="D495" s="125"/>
      <c r="E495" s="125"/>
    </row>
    <row r="496">
      <c r="A496" s="125"/>
      <c r="B496" s="125"/>
      <c r="C496" s="125"/>
      <c r="D496" s="125"/>
      <c r="E496" s="125"/>
    </row>
    <row r="497">
      <c r="A497" s="125"/>
      <c r="B497" s="125"/>
      <c r="C497" s="125"/>
      <c r="D497" s="125"/>
      <c r="E497" s="125"/>
    </row>
    <row r="498">
      <c r="A498" s="125"/>
      <c r="B498" s="125"/>
      <c r="C498" s="125"/>
      <c r="D498" s="125"/>
      <c r="E498" s="125"/>
    </row>
    <row r="499">
      <c r="A499" s="125"/>
      <c r="B499" s="125"/>
      <c r="C499" s="125"/>
      <c r="D499" s="125"/>
      <c r="E499" s="125"/>
    </row>
    <row r="500">
      <c r="A500" s="125"/>
      <c r="B500" s="125"/>
      <c r="C500" s="125"/>
      <c r="D500" s="125"/>
      <c r="E500" s="125"/>
    </row>
    <row r="501">
      <c r="A501" s="125"/>
      <c r="B501" s="125"/>
      <c r="C501" s="125"/>
      <c r="D501" s="125"/>
      <c r="E501" s="125"/>
    </row>
    <row r="502">
      <c r="A502" s="125"/>
      <c r="B502" s="125"/>
      <c r="C502" s="125"/>
      <c r="D502" s="125"/>
      <c r="E502" s="125"/>
    </row>
    <row r="503">
      <c r="A503" s="125"/>
      <c r="B503" s="125"/>
      <c r="C503" s="125"/>
      <c r="D503" s="125"/>
      <c r="E503" s="125"/>
    </row>
    <row r="504">
      <c r="A504" s="125"/>
      <c r="B504" s="125"/>
      <c r="C504" s="125"/>
      <c r="D504" s="125"/>
      <c r="E504" s="125"/>
    </row>
    <row r="505">
      <c r="A505" s="125"/>
      <c r="B505" s="125"/>
      <c r="C505" s="125"/>
      <c r="D505" s="125"/>
      <c r="E505" s="125"/>
    </row>
    <row r="506">
      <c r="A506" s="125"/>
      <c r="B506" s="125"/>
      <c r="C506" s="125"/>
      <c r="D506" s="125"/>
      <c r="E506" s="125"/>
    </row>
    <row r="507">
      <c r="A507" s="125"/>
      <c r="B507" s="125"/>
      <c r="C507" s="125"/>
      <c r="D507" s="125"/>
      <c r="E507" s="125"/>
    </row>
    <row r="508">
      <c r="A508" s="125"/>
      <c r="B508" s="125"/>
      <c r="C508" s="125"/>
      <c r="D508" s="125"/>
      <c r="E508" s="125"/>
    </row>
    <row r="509">
      <c r="A509" s="125"/>
      <c r="B509" s="125"/>
      <c r="C509" s="125"/>
      <c r="D509" s="125"/>
      <c r="E509" s="125"/>
    </row>
    <row r="510">
      <c r="A510" s="125"/>
      <c r="B510" s="125"/>
      <c r="C510" s="125"/>
      <c r="D510" s="125"/>
      <c r="E510" s="125"/>
    </row>
    <row r="511">
      <c r="A511" s="125"/>
      <c r="B511" s="125"/>
      <c r="C511" s="125"/>
      <c r="D511" s="125"/>
      <c r="E511" s="125"/>
    </row>
    <row r="512">
      <c r="A512" s="125"/>
      <c r="B512" s="125"/>
      <c r="C512" s="125"/>
      <c r="D512" s="125"/>
      <c r="E512" s="125"/>
    </row>
    <row r="513">
      <c r="A513" s="125"/>
      <c r="B513" s="125"/>
      <c r="C513" s="125"/>
      <c r="D513" s="125"/>
      <c r="E513" s="125"/>
    </row>
    <row r="514">
      <c r="A514" s="125"/>
      <c r="B514" s="125"/>
      <c r="C514" s="125"/>
      <c r="D514" s="125"/>
      <c r="E514" s="125"/>
    </row>
    <row r="515">
      <c r="A515" s="125"/>
      <c r="B515" s="125"/>
      <c r="C515" s="125"/>
      <c r="D515" s="125"/>
      <c r="E515" s="125"/>
    </row>
    <row r="516">
      <c r="A516" s="125"/>
      <c r="B516" s="125"/>
      <c r="C516" s="125"/>
      <c r="D516" s="125"/>
      <c r="E516" s="125"/>
    </row>
    <row r="517">
      <c r="A517" s="125"/>
      <c r="B517" s="125"/>
      <c r="C517" s="125"/>
      <c r="D517" s="125"/>
      <c r="E517" s="125"/>
    </row>
    <row r="518">
      <c r="A518" s="125"/>
      <c r="B518" s="125"/>
      <c r="C518" s="125"/>
      <c r="D518" s="125"/>
      <c r="E518" s="125"/>
    </row>
    <row r="519">
      <c r="A519" s="125"/>
      <c r="B519" s="125"/>
      <c r="C519" s="125"/>
      <c r="D519" s="125"/>
      <c r="E519" s="125"/>
    </row>
    <row r="520">
      <c r="A520" s="125"/>
      <c r="B520" s="125"/>
      <c r="C520" s="125"/>
      <c r="D520" s="125"/>
      <c r="E520" s="125"/>
    </row>
    <row r="521">
      <c r="A521" s="125"/>
      <c r="B521" s="125"/>
      <c r="C521" s="125"/>
      <c r="D521" s="125"/>
      <c r="E521" s="125"/>
    </row>
    <row r="522">
      <c r="A522" s="125"/>
      <c r="B522" s="125"/>
      <c r="C522" s="125"/>
      <c r="D522" s="125"/>
      <c r="E522" s="125"/>
    </row>
    <row r="523">
      <c r="A523" s="125"/>
      <c r="B523" s="125"/>
      <c r="C523" s="125"/>
      <c r="D523" s="125"/>
      <c r="E523" s="125"/>
    </row>
    <row r="524">
      <c r="A524" s="125"/>
      <c r="B524" s="125"/>
      <c r="C524" s="125"/>
      <c r="D524" s="125"/>
      <c r="E524" s="125"/>
    </row>
    <row r="525">
      <c r="A525" s="125"/>
      <c r="B525" s="125"/>
      <c r="C525" s="125"/>
      <c r="D525" s="125"/>
      <c r="E525" s="125"/>
    </row>
    <row r="526">
      <c r="A526" s="125"/>
      <c r="B526" s="125"/>
      <c r="C526" s="125"/>
      <c r="D526" s="125"/>
      <c r="E526" s="125"/>
    </row>
    <row r="527">
      <c r="A527" s="125"/>
      <c r="B527" s="125"/>
      <c r="C527" s="125"/>
      <c r="D527" s="125"/>
      <c r="E527" s="125"/>
    </row>
    <row r="528">
      <c r="A528" s="125"/>
      <c r="B528" s="125"/>
      <c r="C528" s="125"/>
      <c r="D528" s="125"/>
      <c r="E528" s="125"/>
    </row>
    <row r="529">
      <c r="A529" s="125"/>
      <c r="B529" s="125"/>
      <c r="C529" s="125"/>
      <c r="D529" s="125"/>
      <c r="E529" s="125"/>
    </row>
    <row r="530">
      <c r="A530" s="125"/>
      <c r="B530" s="125"/>
      <c r="C530" s="125"/>
      <c r="D530" s="125"/>
      <c r="E530" s="125"/>
    </row>
    <row r="531">
      <c r="A531" s="125"/>
      <c r="B531" s="125"/>
      <c r="C531" s="125"/>
      <c r="D531" s="125"/>
      <c r="E531" s="125"/>
    </row>
    <row r="532">
      <c r="A532" s="125"/>
      <c r="B532" s="125"/>
      <c r="C532" s="125"/>
      <c r="D532" s="125"/>
      <c r="E532" s="125"/>
    </row>
    <row r="533">
      <c r="A533" s="125"/>
      <c r="B533" s="125"/>
      <c r="C533" s="125"/>
      <c r="D533" s="125"/>
      <c r="E533" s="125"/>
    </row>
    <row r="534">
      <c r="A534" s="125"/>
      <c r="B534" s="125"/>
      <c r="C534" s="125"/>
      <c r="D534" s="125"/>
      <c r="E534" s="125"/>
    </row>
    <row r="535">
      <c r="A535" s="125"/>
      <c r="B535" s="125"/>
      <c r="C535" s="125"/>
      <c r="D535" s="125"/>
      <c r="E535" s="125"/>
    </row>
    <row r="536">
      <c r="A536" s="125"/>
      <c r="B536" s="125"/>
      <c r="C536" s="125"/>
      <c r="D536" s="125"/>
      <c r="E536" s="125"/>
    </row>
    <row r="537">
      <c r="A537" s="125"/>
      <c r="B537" s="125"/>
      <c r="C537" s="125"/>
      <c r="D537" s="125"/>
      <c r="E537" s="125"/>
    </row>
    <row r="538">
      <c r="A538" s="125"/>
      <c r="B538" s="125"/>
      <c r="C538" s="125"/>
      <c r="D538" s="125"/>
      <c r="E538" s="125"/>
    </row>
    <row r="539">
      <c r="A539" s="125"/>
      <c r="B539" s="125"/>
      <c r="C539" s="125"/>
      <c r="D539" s="125"/>
      <c r="E539" s="125"/>
    </row>
    <row r="540">
      <c r="A540" s="125"/>
      <c r="B540" s="125"/>
      <c r="C540" s="125"/>
      <c r="D540" s="125"/>
      <c r="E540" s="125"/>
    </row>
    <row r="541">
      <c r="A541" s="125"/>
      <c r="B541" s="125"/>
      <c r="C541" s="125"/>
      <c r="D541" s="125"/>
      <c r="E541" s="125"/>
    </row>
    <row r="542">
      <c r="A542" s="125"/>
      <c r="B542" s="125"/>
      <c r="C542" s="125"/>
      <c r="D542" s="125"/>
      <c r="E542" s="125"/>
    </row>
    <row r="543">
      <c r="A543" s="125"/>
      <c r="B543" s="125"/>
      <c r="C543" s="125"/>
      <c r="D543" s="125"/>
      <c r="E543" s="125"/>
    </row>
    <row r="544">
      <c r="A544" s="125"/>
      <c r="B544" s="125"/>
      <c r="C544" s="125"/>
      <c r="D544" s="125"/>
      <c r="E544" s="125"/>
    </row>
    <row r="545">
      <c r="A545" s="125"/>
      <c r="B545" s="125"/>
      <c r="C545" s="125"/>
      <c r="D545" s="125"/>
      <c r="E545" s="125"/>
    </row>
    <row r="546">
      <c r="A546" s="125"/>
      <c r="B546" s="125"/>
      <c r="C546" s="125"/>
      <c r="D546" s="125"/>
      <c r="E546" s="125"/>
    </row>
    <row r="547">
      <c r="A547" s="125"/>
      <c r="B547" s="125"/>
      <c r="C547" s="125"/>
      <c r="D547" s="125"/>
      <c r="E547" s="125"/>
    </row>
    <row r="548">
      <c r="A548" s="125"/>
      <c r="B548" s="125"/>
      <c r="C548" s="125"/>
      <c r="D548" s="125"/>
      <c r="E548" s="125"/>
    </row>
    <row r="549">
      <c r="A549" s="125"/>
      <c r="B549" s="125"/>
      <c r="C549" s="125"/>
      <c r="D549" s="125"/>
      <c r="E549" s="125"/>
    </row>
    <row r="550">
      <c r="A550" s="125"/>
      <c r="B550" s="125"/>
      <c r="C550" s="125"/>
      <c r="D550" s="125"/>
      <c r="E550" s="125"/>
    </row>
    <row r="551">
      <c r="A551" s="125"/>
      <c r="B551" s="125"/>
      <c r="C551" s="125"/>
      <c r="D551" s="125"/>
      <c r="E551" s="125"/>
    </row>
    <row r="552">
      <c r="A552" s="125"/>
      <c r="B552" s="125"/>
      <c r="C552" s="125"/>
      <c r="D552" s="125"/>
      <c r="E552" s="125"/>
    </row>
    <row r="553">
      <c r="A553" s="125"/>
      <c r="B553" s="125"/>
      <c r="C553" s="125"/>
      <c r="D553" s="125"/>
      <c r="E553" s="125"/>
    </row>
    <row r="554">
      <c r="A554" s="125"/>
      <c r="B554" s="125"/>
      <c r="C554" s="125"/>
      <c r="D554" s="125"/>
      <c r="E554" s="125"/>
    </row>
    <row r="555">
      <c r="A555" s="125"/>
      <c r="B555" s="125"/>
      <c r="C555" s="125"/>
      <c r="D555" s="125"/>
      <c r="E555" s="125"/>
    </row>
    <row r="556">
      <c r="A556" s="125"/>
      <c r="B556" s="125"/>
      <c r="C556" s="125"/>
      <c r="D556" s="125"/>
      <c r="E556" s="125"/>
    </row>
    <row r="557">
      <c r="A557" s="125"/>
      <c r="B557" s="125"/>
      <c r="C557" s="125"/>
      <c r="D557" s="125"/>
      <c r="E557" s="125"/>
    </row>
    <row r="558">
      <c r="A558" s="125"/>
      <c r="B558" s="125"/>
      <c r="C558" s="125"/>
      <c r="D558" s="125"/>
      <c r="E558" s="125"/>
    </row>
    <row r="559">
      <c r="A559" s="125"/>
      <c r="B559" s="125"/>
      <c r="C559" s="125"/>
      <c r="D559" s="125"/>
      <c r="E559" s="125"/>
    </row>
    <row r="560">
      <c r="A560" s="125"/>
      <c r="B560" s="125"/>
      <c r="C560" s="125"/>
      <c r="D560" s="125"/>
      <c r="E560" s="125"/>
    </row>
    <row r="561">
      <c r="A561" s="125"/>
      <c r="B561" s="125"/>
      <c r="C561" s="125"/>
      <c r="D561" s="125"/>
      <c r="E561" s="125"/>
    </row>
    <row r="562">
      <c r="A562" s="125"/>
      <c r="B562" s="125"/>
      <c r="C562" s="125"/>
      <c r="D562" s="125"/>
      <c r="E562" s="125"/>
    </row>
    <row r="563">
      <c r="A563" s="125"/>
      <c r="B563" s="125"/>
      <c r="C563" s="125"/>
      <c r="D563" s="125"/>
      <c r="E563" s="125"/>
    </row>
    <row r="564">
      <c r="A564" s="125"/>
      <c r="B564" s="125"/>
      <c r="C564" s="125"/>
      <c r="D564" s="125"/>
      <c r="E564" s="125"/>
    </row>
    <row r="565">
      <c r="A565" s="125"/>
      <c r="B565" s="125"/>
      <c r="C565" s="125"/>
      <c r="D565" s="125"/>
      <c r="E565" s="125"/>
    </row>
    <row r="566">
      <c r="A566" s="125"/>
      <c r="B566" s="125"/>
      <c r="C566" s="125"/>
      <c r="D566" s="125"/>
      <c r="E566" s="125"/>
    </row>
    <row r="567">
      <c r="A567" s="125"/>
      <c r="B567" s="125"/>
      <c r="C567" s="125"/>
      <c r="D567" s="125"/>
      <c r="E567" s="125"/>
    </row>
    <row r="568">
      <c r="A568" s="125"/>
      <c r="B568" s="125"/>
      <c r="C568" s="125"/>
      <c r="D568" s="125"/>
      <c r="E568" s="125"/>
    </row>
    <row r="569">
      <c r="A569" s="125"/>
      <c r="B569" s="125"/>
      <c r="C569" s="125"/>
      <c r="D569" s="125"/>
      <c r="E569" s="125"/>
    </row>
    <row r="570">
      <c r="A570" s="125"/>
      <c r="B570" s="125"/>
      <c r="C570" s="125"/>
      <c r="D570" s="125"/>
      <c r="E570" s="125"/>
    </row>
    <row r="571">
      <c r="A571" s="125"/>
      <c r="B571" s="125"/>
      <c r="C571" s="125"/>
      <c r="D571" s="125"/>
      <c r="E571" s="125"/>
    </row>
    <row r="572">
      <c r="A572" s="125"/>
      <c r="B572" s="125"/>
      <c r="C572" s="125"/>
      <c r="D572" s="125"/>
      <c r="E572" s="125"/>
    </row>
    <row r="573">
      <c r="A573" s="125"/>
      <c r="B573" s="125"/>
      <c r="C573" s="125"/>
      <c r="D573" s="125"/>
      <c r="E573" s="125"/>
    </row>
    <row r="574">
      <c r="A574" s="125"/>
      <c r="B574" s="125"/>
      <c r="C574" s="125"/>
      <c r="D574" s="125"/>
      <c r="E574" s="125"/>
    </row>
    <row r="575">
      <c r="A575" s="125"/>
      <c r="B575" s="125"/>
      <c r="C575" s="125"/>
      <c r="D575" s="125"/>
      <c r="E575" s="125"/>
    </row>
    <row r="576">
      <c r="A576" s="125"/>
      <c r="B576" s="125"/>
      <c r="C576" s="125"/>
      <c r="D576" s="125"/>
      <c r="E576" s="125"/>
    </row>
    <row r="577">
      <c r="A577" s="125"/>
      <c r="B577" s="125"/>
      <c r="C577" s="125"/>
      <c r="D577" s="125"/>
      <c r="E577" s="125"/>
    </row>
    <row r="578">
      <c r="A578" s="125"/>
      <c r="B578" s="125"/>
      <c r="C578" s="125"/>
      <c r="D578" s="125"/>
      <c r="E578" s="125"/>
    </row>
    <row r="579">
      <c r="A579" s="125"/>
      <c r="B579" s="125"/>
      <c r="C579" s="125"/>
      <c r="D579" s="125"/>
      <c r="E579" s="125"/>
    </row>
    <row r="580">
      <c r="A580" s="125"/>
      <c r="B580" s="125"/>
      <c r="C580" s="125"/>
      <c r="D580" s="125"/>
      <c r="E580" s="125"/>
    </row>
    <row r="581">
      <c r="A581" s="125"/>
      <c r="B581" s="125"/>
      <c r="C581" s="125"/>
      <c r="D581" s="125"/>
      <c r="E581" s="125"/>
    </row>
    <row r="582">
      <c r="A582" s="125"/>
      <c r="B582" s="125"/>
      <c r="C582" s="125"/>
      <c r="D582" s="125"/>
      <c r="E582" s="125"/>
    </row>
    <row r="583">
      <c r="A583" s="125"/>
      <c r="B583" s="125"/>
      <c r="C583" s="125"/>
      <c r="D583" s="125"/>
      <c r="E583" s="125"/>
    </row>
    <row r="584">
      <c r="A584" s="125"/>
      <c r="B584" s="125"/>
      <c r="C584" s="125"/>
      <c r="D584" s="125"/>
      <c r="E584" s="125"/>
    </row>
    <row r="585">
      <c r="A585" s="125"/>
      <c r="B585" s="125"/>
      <c r="C585" s="125"/>
      <c r="D585" s="125"/>
      <c r="E585" s="125"/>
    </row>
    <row r="586">
      <c r="A586" s="125"/>
      <c r="B586" s="125"/>
      <c r="C586" s="125"/>
      <c r="D586" s="125"/>
      <c r="E586" s="125"/>
    </row>
    <row r="587">
      <c r="A587" s="125"/>
      <c r="B587" s="125"/>
      <c r="C587" s="125"/>
      <c r="D587" s="125"/>
      <c r="E587" s="125"/>
    </row>
    <row r="588">
      <c r="A588" s="125"/>
      <c r="B588" s="125"/>
      <c r="C588" s="125"/>
      <c r="D588" s="125"/>
      <c r="E588" s="125"/>
    </row>
    <row r="589">
      <c r="A589" s="125"/>
      <c r="B589" s="125"/>
      <c r="C589" s="125"/>
      <c r="D589" s="125"/>
      <c r="E589" s="125"/>
    </row>
    <row r="590">
      <c r="A590" s="125"/>
      <c r="B590" s="125"/>
      <c r="C590" s="125"/>
      <c r="D590" s="125"/>
      <c r="E590" s="125"/>
    </row>
    <row r="591">
      <c r="A591" s="125"/>
      <c r="B591" s="125"/>
      <c r="C591" s="125"/>
      <c r="D591" s="125"/>
      <c r="E591" s="125"/>
    </row>
    <row r="592">
      <c r="A592" s="125"/>
      <c r="B592" s="125"/>
      <c r="C592" s="125"/>
      <c r="D592" s="125"/>
      <c r="E592" s="125"/>
    </row>
    <row r="593">
      <c r="A593" s="125"/>
      <c r="B593" s="125"/>
      <c r="C593" s="125"/>
      <c r="D593" s="125"/>
      <c r="E593" s="125"/>
    </row>
    <row r="594">
      <c r="A594" s="125"/>
      <c r="B594" s="125"/>
      <c r="C594" s="125"/>
      <c r="D594" s="125"/>
      <c r="E594" s="125"/>
    </row>
    <row r="595">
      <c r="A595" s="125"/>
      <c r="B595" s="125"/>
      <c r="C595" s="125"/>
      <c r="D595" s="125"/>
      <c r="E595" s="125"/>
    </row>
    <row r="596">
      <c r="A596" s="125"/>
      <c r="B596" s="125"/>
      <c r="C596" s="125"/>
      <c r="D596" s="125"/>
      <c r="E596" s="125"/>
    </row>
    <row r="597">
      <c r="A597" s="125"/>
      <c r="B597" s="125"/>
      <c r="C597" s="125"/>
      <c r="D597" s="125"/>
      <c r="E597" s="125"/>
    </row>
    <row r="598">
      <c r="A598" s="125"/>
      <c r="B598" s="125"/>
      <c r="C598" s="125"/>
      <c r="D598" s="125"/>
      <c r="E598" s="125"/>
    </row>
    <row r="599">
      <c r="A599" s="125"/>
      <c r="B599" s="125"/>
      <c r="C599" s="125"/>
      <c r="D599" s="125"/>
      <c r="E599" s="125"/>
    </row>
    <row r="600">
      <c r="A600" s="125"/>
      <c r="B600" s="125"/>
      <c r="C600" s="125"/>
      <c r="D600" s="125"/>
      <c r="E600" s="125"/>
    </row>
    <row r="601">
      <c r="A601" s="125"/>
      <c r="B601" s="125"/>
      <c r="C601" s="125"/>
      <c r="D601" s="125"/>
      <c r="E601" s="125"/>
    </row>
    <row r="602">
      <c r="A602" s="125"/>
      <c r="B602" s="125"/>
      <c r="C602" s="125"/>
      <c r="D602" s="125"/>
      <c r="E602" s="125"/>
    </row>
    <row r="603">
      <c r="A603" s="125"/>
      <c r="B603" s="125"/>
      <c r="C603" s="125"/>
      <c r="D603" s="125"/>
      <c r="E603" s="125"/>
    </row>
    <row r="604">
      <c r="A604" s="125"/>
      <c r="B604" s="125"/>
      <c r="C604" s="125"/>
      <c r="D604" s="125"/>
      <c r="E604" s="125"/>
    </row>
    <row r="605">
      <c r="A605" s="125"/>
      <c r="B605" s="125"/>
      <c r="C605" s="125"/>
      <c r="D605" s="125"/>
      <c r="E605" s="125"/>
    </row>
    <row r="606">
      <c r="A606" s="125"/>
      <c r="B606" s="125"/>
      <c r="C606" s="125"/>
      <c r="D606" s="125"/>
      <c r="E606" s="125"/>
    </row>
    <row r="607">
      <c r="A607" s="125"/>
      <c r="B607" s="125"/>
      <c r="C607" s="125"/>
      <c r="D607" s="125"/>
      <c r="E607" s="125"/>
    </row>
    <row r="608">
      <c r="A608" s="125"/>
      <c r="B608" s="125"/>
      <c r="C608" s="125"/>
      <c r="D608" s="125"/>
      <c r="E608" s="125"/>
    </row>
    <row r="609">
      <c r="A609" s="125"/>
      <c r="B609" s="125"/>
      <c r="C609" s="125"/>
      <c r="D609" s="125"/>
      <c r="E609" s="125"/>
    </row>
    <row r="610">
      <c r="A610" s="125"/>
      <c r="B610" s="125"/>
      <c r="C610" s="125"/>
      <c r="D610" s="125"/>
      <c r="E610" s="125"/>
    </row>
    <row r="611">
      <c r="A611" s="125"/>
      <c r="B611" s="125"/>
      <c r="C611" s="125"/>
      <c r="D611" s="125"/>
      <c r="E611" s="125"/>
    </row>
    <row r="612">
      <c r="A612" s="125"/>
      <c r="B612" s="125"/>
      <c r="C612" s="125"/>
      <c r="D612" s="125"/>
      <c r="E612" s="125"/>
    </row>
    <row r="613">
      <c r="A613" s="125"/>
      <c r="B613" s="125"/>
      <c r="C613" s="125"/>
      <c r="D613" s="125"/>
      <c r="E613" s="125"/>
    </row>
    <row r="614">
      <c r="A614" s="125"/>
      <c r="B614" s="125"/>
      <c r="C614" s="125"/>
      <c r="D614" s="125"/>
      <c r="E614" s="125"/>
    </row>
    <row r="615">
      <c r="A615" s="125"/>
      <c r="B615" s="125"/>
      <c r="C615" s="125"/>
      <c r="D615" s="125"/>
      <c r="E615" s="125"/>
    </row>
    <row r="616">
      <c r="A616" s="125"/>
      <c r="B616" s="125"/>
      <c r="C616" s="125"/>
      <c r="D616" s="125"/>
      <c r="E616" s="125"/>
    </row>
    <row r="617">
      <c r="A617" s="125"/>
      <c r="B617" s="125"/>
      <c r="C617" s="125"/>
      <c r="D617" s="125"/>
      <c r="E617" s="125"/>
    </row>
    <row r="618">
      <c r="A618" s="125"/>
      <c r="B618" s="125"/>
      <c r="C618" s="125"/>
      <c r="D618" s="125"/>
      <c r="E618" s="125"/>
    </row>
    <row r="619">
      <c r="A619" s="125"/>
      <c r="B619" s="125"/>
      <c r="C619" s="125"/>
      <c r="D619" s="125"/>
      <c r="E619" s="125"/>
    </row>
    <row r="620">
      <c r="A620" s="125"/>
      <c r="B620" s="125"/>
      <c r="C620" s="125"/>
      <c r="D620" s="125"/>
      <c r="E620" s="125"/>
    </row>
    <row r="621">
      <c r="A621" s="125"/>
      <c r="B621" s="125"/>
      <c r="C621" s="125"/>
      <c r="D621" s="125"/>
      <c r="E621" s="125"/>
    </row>
    <row r="622">
      <c r="A622" s="125"/>
      <c r="B622" s="125"/>
      <c r="C622" s="125"/>
      <c r="D622" s="125"/>
      <c r="E622" s="125"/>
    </row>
    <row r="623">
      <c r="A623" s="125"/>
      <c r="B623" s="125"/>
      <c r="C623" s="125"/>
      <c r="D623" s="125"/>
      <c r="E623" s="125"/>
    </row>
    <row r="624">
      <c r="A624" s="125"/>
      <c r="B624" s="125"/>
      <c r="C624" s="125"/>
      <c r="D624" s="125"/>
      <c r="E624" s="125"/>
    </row>
    <row r="625">
      <c r="A625" s="125"/>
      <c r="B625" s="125"/>
      <c r="C625" s="125"/>
      <c r="D625" s="125"/>
      <c r="E625" s="125"/>
    </row>
    <row r="626">
      <c r="A626" s="125"/>
      <c r="B626" s="125"/>
      <c r="C626" s="125"/>
      <c r="D626" s="125"/>
      <c r="E626" s="125"/>
    </row>
    <row r="627">
      <c r="A627" s="125"/>
      <c r="B627" s="125"/>
      <c r="C627" s="125"/>
      <c r="D627" s="125"/>
      <c r="E627" s="125"/>
    </row>
    <row r="628">
      <c r="A628" s="125"/>
      <c r="B628" s="125"/>
      <c r="C628" s="125"/>
      <c r="D628" s="125"/>
      <c r="E628" s="125"/>
    </row>
    <row r="629">
      <c r="A629" s="125"/>
      <c r="B629" s="125"/>
      <c r="C629" s="125"/>
      <c r="D629" s="125"/>
      <c r="E629" s="125"/>
    </row>
    <row r="630">
      <c r="A630" s="125"/>
      <c r="B630" s="125"/>
      <c r="C630" s="125"/>
      <c r="D630" s="125"/>
      <c r="E630" s="125"/>
    </row>
    <row r="631">
      <c r="A631" s="125"/>
      <c r="B631" s="125"/>
      <c r="C631" s="125"/>
      <c r="D631" s="125"/>
      <c r="E631" s="125"/>
    </row>
    <row r="632">
      <c r="A632" s="125"/>
      <c r="B632" s="125"/>
      <c r="C632" s="125"/>
      <c r="D632" s="125"/>
      <c r="E632" s="125"/>
    </row>
    <row r="633">
      <c r="A633" s="125"/>
      <c r="B633" s="125"/>
      <c r="C633" s="125"/>
      <c r="D633" s="125"/>
      <c r="E633" s="125"/>
    </row>
    <row r="634">
      <c r="A634" s="125"/>
      <c r="B634" s="125"/>
      <c r="C634" s="125"/>
      <c r="D634" s="125"/>
      <c r="E634" s="125"/>
    </row>
    <row r="635">
      <c r="A635" s="125"/>
      <c r="B635" s="125"/>
      <c r="C635" s="125"/>
      <c r="D635" s="125"/>
      <c r="E635" s="125"/>
    </row>
    <row r="636">
      <c r="A636" s="125"/>
      <c r="B636" s="125"/>
      <c r="C636" s="125"/>
      <c r="D636" s="125"/>
      <c r="E636" s="125"/>
    </row>
    <row r="637">
      <c r="A637" s="125"/>
      <c r="B637" s="125"/>
      <c r="C637" s="125"/>
      <c r="D637" s="125"/>
      <c r="E637" s="125"/>
    </row>
    <row r="638">
      <c r="A638" s="125"/>
      <c r="B638" s="125"/>
      <c r="C638" s="125"/>
      <c r="D638" s="125"/>
      <c r="E638" s="125"/>
    </row>
    <row r="639">
      <c r="A639" s="125"/>
      <c r="B639" s="125"/>
      <c r="C639" s="125"/>
      <c r="D639" s="125"/>
      <c r="E639" s="125"/>
    </row>
    <row r="640">
      <c r="A640" s="125"/>
      <c r="B640" s="125"/>
      <c r="C640" s="125"/>
      <c r="D640" s="125"/>
      <c r="E640" s="125"/>
    </row>
    <row r="641">
      <c r="A641" s="125"/>
      <c r="B641" s="125"/>
      <c r="C641" s="125"/>
      <c r="D641" s="125"/>
      <c r="E641" s="125"/>
    </row>
    <row r="642">
      <c r="A642" s="125"/>
      <c r="B642" s="125"/>
      <c r="C642" s="125"/>
      <c r="D642" s="125"/>
      <c r="E642" s="125"/>
    </row>
    <row r="643">
      <c r="A643" s="125"/>
      <c r="B643" s="125"/>
      <c r="C643" s="125"/>
      <c r="D643" s="125"/>
      <c r="E643" s="125"/>
    </row>
    <row r="644">
      <c r="A644" s="125"/>
      <c r="B644" s="125"/>
      <c r="C644" s="125"/>
      <c r="D644" s="125"/>
      <c r="E644" s="125"/>
    </row>
    <row r="645">
      <c r="A645" s="125"/>
      <c r="B645" s="125"/>
      <c r="C645" s="125"/>
      <c r="D645" s="125"/>
      <c r="E645" s="125"/>
    </row>
    <row r="646">
      <c r="A646" s="125"/>
      <c r="B646" s="125"/>
      <c r="C646" s="125"/>
      <c r="D646" s="125"/>
      <c r="E646" s="125"/>
    </row>
    <row r="647">
      <c r="A647" s="125"/>
      <c r="B647" s="125"/>
      <c r="C647" s="125"/>
      <c r="D647" s="125"/>
      <c r="E647" s="125"/>
    </row>
    <row r="648">
      <c r="A648" s="125"/>
      <c r="B648" s="125"/>
      <c r="C648" s="125"/>
      <c r="D648" s="125"/>
      <c r="E648" s="125"/>
    </row>
    <row r="649">
      <c r="A649" s="125"/>
      <c r="B649" s="125"/>
      <c r="C649" s="125"/>
      <c r="D649" s="125"/>
      <c r="E649" s="125"/>
    </row>
    <row r="650">
      <c r="A650" s="125"/>
      <c r="B650" s="125"/>
      <c r="C650" s="125"/>
      <c r="D650" s="125"/>
      <c r="E650" s="125"/>
    </row>
    <row r="651">
      <c r="A651" s="125"/>
      <c r="B651" s="125"/>
      <c r="C651" s="125"/>
      <c r="D651" s="125"/>
      <c r="E651" s="125"/>
    </row>
    <row r="652">
      <c r="A652" s="125"/>
      <c r="B652" s="125"/>
      <c r="C652" s="125"/>
      <c r="D652" s="125"/>
      <c r="E652" s="125"/>
    </row>
    <row r="653">
      <c r="A653" s="125"/>
      <c r="B653" s="125"/>
      <c r="C653" s="125"/>
      <c r="D653" s="125"/>
      <c r="E653" s="125"/>
    </row>
    <row r="654">
      <c r="A654" s="125"/>
      <c r="B654" s="125"/>
      <c r="C654" s="125"/>
      <c r="D654" s="125"/>
      <c r="E654" s="125"/>
    </row>
    <row r="655">
      <c r="A655" s="125"/>
      <c r="B655" s="125"/>
      <c r="C655" s="125"/>
      <c r="D655" s="125"/>
      <c r="E655" s="125"/>
    </row>
    <row r="656">
      <c r="A656" s="125"/>
      <c r="B656" s="125"/>
      <c r="C656" s="125"/>
      <c r="D656" s="125"/>
      <c r="E656" s="125"/>
    </row>
    <row r="657">
      <c r="A657" s="125"/>
      <c r="B657" s="125"/>
      <c r="C657" s="125"/>
      <c r="D657" s="125"/>
      <c r="E657" s="125"/>
    </row>
    <row r="658">
      <c r="A658" s="125"/>
      <c r="B658" s="125"/>
      <c r="C658" s="125"/>
      <c r="D658" s="125"/>
      <c r="E658" s="125"/>
    </row>
    <row r="659">
      <c r="A659" s="125"/>
      <c r="B659" s="125"/>
      <c r="C659" s="125"/>
      <c r="D659" s="125"/>
      <c r="E659" s="125"/>
    </row>
    <row r="660">
      <c r="A660" s="125"/>
      <c r="B660" s="125"/>
      <c r="C660" s="125"/>
      <c r="D660" s="125"/>
      <c r="E660" s="125"/>
    </row>
    <row r="661">
      <c r="A661" s="125"/>
      <c r="B661" s="125"/>
      <c r="C661" s="125"/>
      <c r="D661" s="125"/>
      <c r="E661" s="125"/>
    </row>
    <row r="662">
      <c r="A662" s="125"/>
      <c r="B662" s="125"/>
      <c r="C662" s="125"/>
      <c r="D662" s="125"/>
      <c r="E662" s="125"/>
    </row>
    <row r="663">
      <c r="A663" s="125"/>
      <c r="B663" s="125"/>
      <c r="C663" s="125"/>
      <c r="D663" s="125"/>
      <c r="E663" s="125"/>
    </row>
    <row r="664">
      <c r="A664" s="125"/>
      <c r="B664" s="125"/>
      <c r="C664" s="125"/>
      <c r="D664" s="125"/>
      <c r="E664" s="125"/>
    </row>
    <row r="665">
      <c r="A665" s="125"/>
      <c r="B665" s="125"/>
      <c r="C665" s="125"/>
      <c r="D665" s="125"/>
      <c r="E665" s="125"/>
    </row>
    <row r="666">
      <c r="A666" s="125"/>
      <c r="B666" s="125"/>
      <c r="C666" s="125"/>
      <c r="D666" s="125"/>
      <c r="E666" s="125"/>
    </row>
    <row r="667">
      <c r="A667" s="125"/>
      <c r="B667" s="125"/>
      <c r="C667" s="125"/>
      <c r="D667" s="125"/>
      <c r="E667" s="125"/>
    </row>
    <row r="668">
      <c r="A668" s="125"/>
      <c r="B668" s="125"/>
      <c r="C668" s="125"/>
      <c r="D668" s="125"/>
      <c r="E668" s="125"/>
    </row>
    <row r="669">
      <c r="A669" s="125"/>
      <c r="B669" s="125"/>
      <c r="C669" s="125"/>
      <c r="D669" s="125"/>
      <c r="E669" s="125"/>
    </row>
    <row r="670">
      <c r="A670" s="125"/>
      <c r="B670" s="125"/>
      <c r="C670" s="125"/>
      <c r="D670" s="125"/>
      <c r="E670" s="125"/>
    </row>
    <row r="671">
      <c r="A671" s="125"/>
      <c r="B671" s="125"/>
      <c r="C671" s="125"/>
      <c r="D671" s="125"/>
      <c r="E671" s="125"/>
    </row>
    <row r="672">
      <c r="A672" s="125"/>
      <c r="B672" s="125"/>
      <c r="C672" s="125"/>
      <c r="D672" s="125"/>
      <c r="E672" s="125"/>
    </row>
    <row r="673">
      <c r="A673" s="125"/>
      <c r="B673" s="125"/>
      <c r="C673" s="125"/>
      <c r="D673" s="125"/>
      <c r="E673" s="125"/>
    </row>
    <row r="674">
      <c r="A674" s="125"/>
      <c r="B674" s="125"/>
      <c r="C674" s="125"/>
      <c r="D674" s="125"/>
      <c r="E674" s="125"/>
    </row>
    <row r="675">
      <c r="A675" s="125"/>
      <c r="B675" s="125"/>
      <c r="C675" s="125"/>
      <c r="D675" s="125"/>
      <c r="E675" s="125"/>
    </row>
    <row r="676">
      <c r="A676" s="125"/>
      <c r="B676" s="125"/>
      <c r="C676" s="125"/>
      <c r="D676" s="125"/>
      <c r="E676" s="125"/>
    </row>
    <row r="677">
      <c r="A677" s="125"/>
      <c r="B677" s="125"/>
      <c r="C677" s="125"/>
      <c r="D677" s="125"/>
      <c r="E677" s="125"/>
    </row>
    <row r="678">
      <c r="A678" s="125"/>
      <c r="B678" s="125"/>
      <c r="C678" s="125"/>
      <c r="D678" s="125"/>
      <c r="E678" s="125"/>
    </row>
    <row r="679">
      <c r="A679" s="125"/>
      <c r="B679" s="125"/>
      <c r="C679" s="125"/>
      <c r="D679" s="125"/>
      <c r="E679" s="125"/>
    </row>
    <row r="680">
      <c r="A680" s="125"/>
      <c r="B680" s="125"/>
      <c r="C680" s="125"/>
      <c r="D680" s="125"/>
      <c r="E680" s="125"/>
    </row>
    <row r="681">
      <c r="A681" s="125"/>
      <c r="B681" s="125"/>
      <c r="C681" s="125"/>
      <c r="D681" s="125"/>
      <c r="E681" s="125"/>
    </row>
    <row r="682">
      <c r="A682" s="125"/>
      <c r="B682" s="125"/>
      <c r="C682" s="125"/>
      <c r="D682" s="125"/>
      <c r="E682" s="125"/>
    </row>
    <row r="683">
      <c r="A683" s="125"/>
      <c r="B683" s="125"/>
      <c r="C683" s="125"/>
      <c r="D683" s="125"/>
      <c r="E683" s="125"/>
    </row>
    <row r="684">
      <c r="A684" s="125"/>
      <c r="B684" s="125"/>
      <c r="C684" s="125"/>
      <c r="D684" s="125"/>
      <c r="E684" s="125"/>
    </row>
    <row r="685">
      <c r="A685" s="125"/>
      <c r="B685" s="125"/>
      <c r="C685" s="125"/>
      <c r="D685" s="125"/>
      <c r="E685" s="125"/>
    </row>
    <row r="686">
      <c r="A686" s="125"/>
      <c r="B686" s="125"/>
      <c r="C686" s="125"/>
      <c r="D686" s="125"/>
      <c r="E686" s="125"/>
    </row>
    <row r="687">
      <c r="A687" s="125"/>
      <c r="B687" s="125"/>
      <c r="C687" s="125"/>
      <c r="D687" s="125"/>
      <c r="E687" s="125"/>
    </row>
    <row r="688">
      <c r="A688" s="125"/>
      <c r="B688" s="125"/>
      <c r="C688" s="125"/>
      <c r="D688" s="125"/>
      <c r="E688" s="125"/>
    </row>
    <row r="689">
      <c r="A689" s="125"/>
      <c r="B689" s="125"/>
      <c r="C689" s="125"/>
      <c r="D689" s="125"/>
      <c r="E689" s="125"/>
    </row>
    <row r="690">
      <c r="A690" s="125"/>
      <c r="B690" s="125"/>
      <c r="C690" s="125"/>
      <c r="D690" s="125"/>
      <c r="E690" s="125"/>
    </row>
    <row r="691">
      <c r="A691" s="125"/>
      <c r="B691" s="125"/>
      <c r="C691" s="125"/>
      <c r="D691" s="125"/>
      <c r="E691" s="125"/>
    </row>
    <row r="692">
      <c r="A692" s="125"/>
      <c r="B692" s="125"/>
      <c r="C692" s="125"/>
      <c r="D692" s="125"/>
      <c r="E692" s="125"/>
    </row>
    <row r="693">
      <c r="A693" s="125"/>
      <c r="B693" s="125"/>
      <c r="C693" s="125"/>
      <c r="D693" s="125"/>
      <c r="E693" s="125"/>
    </row>
    <row r="694">
      <c r="A694" s="125"/>
      <c r="B694" s="125"/>
      <c r="C694" s="125"/>
      <c r="D694" s="125"/>
      <c r="E694" s="125"/>
    </row>
    <row r="695">
      <c r="A695" s="125"/>
      <c r="B695" s="125"/>
      <c r="C695" s="125"/>
      <c r="D695" s="125"/>
      <c r="E695" s="125"/>
    </row>
    <row r="696">
      <c r="A696" s="125"/>
      <c r="B696" s="125"/>
      <c r="C696" s="125"/>
      <c r="D696" s="125"/>
      <c r="E696" s="125"/>
    </row>
    <row r="697">
      <c r="A697" s="125"/>
      <c r="B697" s="125"/>
      <c r="C697" s="125"/>
      <c r="D697" s="125"/>
      <c r="E697" s="125"/>
    </row>
    <row r="698">
      <c r="A698" s="125"/>
      <c r="B698" s="125"/>
      <c r="C698" s="125"/>
      <c r="D698" s="125"/>
      <c r="E698" s="125"/>
    </row>
    <row r="699">
      <c r="A699" s="125"/>
      <c r="B699" s="125"/>
      <c r="C699" s="125"/>
      <c r="D699" s="125"/>
      <c r="E699" s="125"/>
    </row>
    <row r="700">
      <c r="A700" s="125"/>
      <c r="B700" s="125"/>
      <c r="C700" s="125"/>
      <c r="D700" s="125"/>
      <c r="E700" s="125"/>
    </row>
    <row r="701">
      <c r="A701" s="125"/>
      <c r="B701" s="125"/>
      <c r="C701" s="125"/>
      <c r="D701" s="125"/>
      <c r="E701" s="125"/>
    </row>
    <row r="702">
      <c r="A702" s="125"/>
      <c r="B702" s="125"/>
      <c r="C702" s="125"/>
      <c r="D702" s="125"/>
      <c r="E702" s="125"/>
    </row>
    <row r="703">
      <c r="A703" s="125"/>
      <c r="B703" s="125"/>
      <c r="C703" s="125"/>
      <c r="D703" s="125"/>
      <c r="E703" s="125"/>
    </row>
    <row r="704">
      <c r="A704" s="125"/>
      <c r="B704" s="125"/>
      <c r="C704" s="125"/>
      <c r="D704" s="125"/>
      <c r="E704" s="125"/>
    </row>
    <row r="705">
      <c r="A705" s="125"/>
      <c r="B705" s="125"/>
      <c r="C705" s="125"/>
      <c r="D705" s="125"/>
      <c r="E705" s="125"/>
    </row>
    <row r="706">
      <c r="A706" s="125"/>
      <c r="B706" s="125"/>
      <c r="C706" s="125"/>
      <c r="D706" s="125"/>
      <c r="E706" s="125"/>
    </row>
    <row r="707">
      <c r="A707" s="125"/>
      <c r="B707" s="125"/>
      <c r="C707" s="125"/>
      <c r="D707" s="125"/>
      <c r="E707" s="125"/>
    </row>
    <row r="708">
      <c r="A708" s="125"/>
      <c r="B708" s="125"/>
      <c r="C708" s="125"/>
      <c r="D708" s="125"/>
      <c r="E708" s="125"/>
    </row>
    <row r="709">
      <c r="A709" s="125"/>
      <c r="B709" s="125"/>
      <c r="C709" s="125"/>
      <c r="D709" s="125"/>
      <c r="E709" s="125"/>
    </row>
    <row r="710">
      <c r="A710" s="125"/>
      <c r="B710" s="125"/>
      <c r="C710" s="125"/>
      <c r="D710" s="125"/>
      <c r="E710" s="125"/>
    </row>
    <row r="711">
      <c r="A711" s="125"/>
      <c r="B711" s="125"/>
      <c r="C711" s="125"/>
      <c r="D711" s="125"/>
      <c r="E711" s="125"/>
    </row>
    <row r="712">
      <c r="A712" s="125"/>
      <c r="B712" s="125"/>
      <c r="C712" s="125"/>
      <c r="D712" s="125"/>
      <c r="E712" s="125"/>
    </row>
    <row r="713">
      <c r="A713" s="125"/>
      <c r="B713" s="125"/>
      <c r="C713" s="125"/>
      <c r="D713" s="125"/>
      <c r="E713" s="125"/>
    </row>
    <row r="714">
      <c r="A714" s="125"/>
      <c r="B714" s="125"/>
      <c r="C714" s="125"/>
      <c r="D714" s="125"/>
      <c r="E714" s="125"/>
    </row>
    <row r="715">
      <c r="A715" s="125"/>
      <c r="B715" s="125"/>
      <c r="C715" s="125"/>
      <c r="D715" s="125"/>
      <c r="E715" s="125"/>
    </row>
    <row r="716">
      <c r="A716" s="125"/>
      <c r="B716" s="125"/>
      <c r="C716" s="125"/>
      <c r="D716" s="125"/>
      <c r="E716" s="125"/>
    </row>
    <row r="717">
      <c r="A717" s="125"/>
      <c r="B717" s="125"/>
      <c r="C717" s="125"/>
      <c r="D717" s="125"/>
      <c r="E717" s="125"/>
    </row>
    <row r="718">
      <c r="A718" s="125"/>
      <c r="B718" s="125"/>
      <c r="C718" s="125"/>
      <c r="D718" s="125"/>
      <c r="E718" s="125"/>
    </row>
    <row r="719">
      <c r="A719" s="125"/>
      <c r="B719" s="125"/>
      <c r="C719" s="125"/>
      <c r="D719" s="125"/>
      <c r="E719" s="125"/>
    </row>
    <row r="720">
      <c r="A720" s="125"/>
      <c r="B720" s="125"/>
      <c r="C720" s="125"/>
      <c r="D720" s="125"/>
      <c r="E720" s="125"/>
    </row>
    <row r="721">
      <c r="A721" s="125"/>
      <c r="B721" s="125"/>
      <c r="C721" s="125"/>
      <c r="D721" s="125"/>
      <c r="E721" s="125"/>
    </row>
    <row r="722">
      <c r="A722" s="125"/>
      <c r="B722" s="125"/>
      <c r="C722" s="125"/>
      <c r="D722" s="125"/>
      <c r="E722" s="125"/>
    </row>
    <row r="723">
      <c r="A723" s="125"/>
      <c r="B723" s="125"/>
      <c r="C723" s="125"/>
      <c r="D723" s="125"/>
      <c r="E723" s="125"/>
    </row>
    <row r="724">
      <c r="A724" s="125"/>
      <c r="B724" s="125"/>
      <c r="C724" s="125"/>
      <c r="D724" s="125"/>
      <c r="E724" s="125"/>
    </row>
    <row r="725">
      <c r="A725" s="125"/>
      <c r="B725" s="125"/>
      <c r="C725" s="125"/>
      <c r="D725" s="125"/>
      <c r="E725" s="125"/>
    </row>
    <row r="726">
      <c r="A726" s="125"/>
      <c r="B726" s="125"/>
      <c r="C726" s="125"/>
      <c r="D726" s="125"/>
      <c r="E726" s="125"/>
    </row>
    <row r="727">
      <c r="A727" s="125"/>
      <c r="B727" s="125"/>
      <c r="C727" s="125"/>
      <c r="D727" s="125"/>
      <c r="E727" s="125"/>
    </row>
    <row r="728">
      <c r="A728" s="125"/>
      <c r="B728" s="125"/>
      <c r="C728" s="125"/>
      <c r="D728" s="125"/>
      <c r="E728" s="125"/>
    </row>
    <row r="729">
      <c r="A729" s="125"/>
      <c r="B729" s="125"/>
      <c r="C729" s="125"/>
      <c r="D729" s="125"/>
      <c r="E729" s="125"/>
    </row>
    <row r="730">
      <c r="A730" s="125"/>
      <c r="B730" s="125"/>
      <c r="C730" s="125"/>
      <c r="D730" s="125"/>
      <c r="E730" s="125"/>
    </row>
    <row r="731">
      <c r="A731" s="125"/>
      <c r="B731" s="125"/>
      <c r="C731" s="125"/>
      <c r="D731" s="125"/>
      <c r="E731" s="125"/>
    </row>
    <row r="732">
      <c r="A732" s="125"/>
      <c r="B732" s="125"/>
      <c r="C732" s="125"/>
      <c r="D732" s="125"/>
      <c r="E732" s="125"/>
    </row>
    <row r="733">
      <c r="A733" s="125"/>
      <c r="B733" s="125"/>
      <c r="C733" s="125"/>
      <c r="D733" s="125"/>
      <c r="E733" s="125"/>
    </row>
    <row r="734">
      <c r="A734" s="125"/>
      <c r="B734" s="125"/>
      <c r="C734" s="125"/>
      <c r="D734" s="125"/>
      <c r="E734" s="125"/>
    </row>
    <row r="735">
      <c r="A735" s="125"/>
      <c r="B735" s="125"/>
      <c r="C735" s="125"/>
      <c r="D735" s="125"/>
      <c r="E735" s="125"/>
    </row>
    <row r="736">
      <c r="A736" s="125"/>
      <c r="B736" s="125"/>
      <c r="C736" s="125"/>
      <c r="D736" s="125"/>
      <c r="E736" s="125"/>
    </row>
    <row r="737">
      <c r="A737" s="125"/>
      <c r="B737" s="125"/>
      <c r="C737" s="125"/>
      <c r="D737" s="125"/>
      <c r="E737" s="125"/>
    </row>
    <row r="738">
      <c r="A738" s="125"/>
      <c r="B738" s="125"/>
      <c r="C738" s="125"/>
      <c r="D738" s="125"/>
      <c r="E738" s="125"/>
    </row>
    <row r="739">
      <c r="A739" s="125"/>
      <c r="B739" s="125"/>
      <c r="C739" s="125"/>
      <c r="D739" s="125"/>
      <c r="E739" s="125"/>
    </row>
    <row r="740">
      <c r="A740" s="125"/>
      <c r="B740" s="125"/>
      <c r="C740" s="125"/>
      <c r="D740" s="125"/>
      <c r="E740" s="125"/>
    </row>
    <row r="741">
      <c r="A741" s="125"/>
      <c r="B741" s="125"/>
      <c r="C741" s="125"/>
      <c r="D741" s="125"/>
      <c r="E741" s="125"/>
    </row>
    <row r="742">
      <c r="A742" s="125"/>
      <c r="B742" s="125"/>
      <c r="C742" s="125"/>
      <c r="D742" s="125"/>
      <c r="E742" s="125"/>
    </row>
    <row r="743">
      <c r="A743" s="125"/>
      <c r="B743" s="125"/>
      <c r="C743" s="125"/>
      <c r="D743" s="125"/>
      <c r="E743" s="125"/>
    </row>
    <row r="744">
      <c r="A744" s="125"/>
      <c r="B744" s="125"/>
      <c r="C744" s="125"/>
      <c r="D744" s="125"/>
      <c r="E744" s="125"/>
    </row>
    <row r="745">
      <c r="A745" s="125"/>
      <c r="B745" s="125"/>
      <c r="C745" s="125"/>
      <c r="D745" s="125"/>
      <c r="E745" s="125"/>
    </row>
    <row r="746">
      <c r="A746" s="125"/>
      <c r="B746" s="125"/>
      <c r="C746" s="125"/>
      <c r="D746" s="125"/>
      <c r="E746" s="125"/>
    </row>
    <row r="747">
      <c r="A747" s="125"/>
      <c r="B747" s="125"/>
      <c r="C747" s="125"/>
      <c r="D747" s="125"/>
      <c r="E747" s="125"/>
    </row>
    <row r="748">
      <c r="A748" s="125"/>
      <c r="B748" s="125"/>
      <c r="C748" s="125"/>
      <c r="D748" s="125"/>
      <c r="E748" s="125"/>
    </row>
    <row r="749">
      <c r="A749" s="125"/>
      <c r="B749" s="125"/>
      <c r="C749" s="125"/>
      <c r="D749" s="125"/>
      <c r="E749" s="125"/>
    </row>
    <row r="750">
      <c r="A750" s="125"/>
      <c r="B750" s="125"/>
      <c r="C750" s="125"/>
      <c r="D750" s="125"/>
      <c r="E750" s="125"/>
    </row>
    <row r="751">
      <c r="A751" s="125"/>
      <c r="B751" s="125"/>
      <c r="C751" s="125"/>
      <c r="D751" s="125"/>
      <c r="E751" s="125"/>
    </row>
    <row r="752">
      <c r="A752" s="125"/>
      <c r="B752" s="125"/>
      <c r="C752" s="125"/>
      <c r="D752" s="125"/>
      <c r="E752" s="125"/>
    </row>
    <row r="753">
      <c r="A753" s="125"/>
      <c r="B753" s="125"/>
      <c r="C753" s="125"/>
      <c r="D753" s="125"/>
      <c r="E753" s="125"/>
    </row>
    <row r="754">
      <c r="A754" s="125"/>
      <c r="B754" s="125"/>
      <c r="C754" s="125"/>
      <c r="D754" s="125"/>
      <c r="E754" s="125"/>
    </row>
    <row r="755">
      <c r="A755" s="125"/>
      <c r="B755" s="125"/>
      <c r="C755" s="125"/>
      <c r="D755" s="125"/>
      <c r="E755" s="125"/>
    </row>
    <row r="756">
      <c r="A756" s="125"/>
      <c r="B756" s="125"/>
      <c r="C756" s="125"/>
      <c r="D756" s="125"/>
      <c r="E756" s="125"/>
    </row>
    <row r="757">
      <c r="A757" s="125"/>
      <c r="B757" s="125"/>
      <c r="C757" s="125"/>
      <c r="D757" s="125"/>
      <c r="E757" s="125"/>
    </row>
    <row r="758">
      <c r="A758" s="125"/>
      <c r="B758" s="125"/>
      <c r="C758" s="125"/>
      <c r="D758" s="125"/>
      <c r="E758" s="125"/>
    </row>
    <row r="759">
      <c r="A759" s="125"/>
      <c r="B759" s="125"/>
      <c r="C759" s="125"/>
      <c r="D759" s="125"/>
      <c r="E759" s="125"/>
    </row>
    <row r="760">
      <c r="A760" s="125"/>
      <c r="B760" s="125"/>
      <c r="C760" s="125"/>
      <c r="D760" s="125"/>
      <c r="E760" s="125"/>
    </row>
    <row r="761">
      <c r="A761" s="125"/>
      <c r="B761" s="125"/>
      <c r="C761" s="125"/>
      <c r="D761" s="125"/>
      <c r="E761" s="125"/>
    </row>
    <row r="762">
      <c r="A762" s="125"/>
      <c r="B762" s="125"/>
      <c r="C762" s="125"/>
      <c r="D762" s="125"/>
      <c r="E762" s="125"/>
    </row>
    <row r="763">
      <c r="A763" s="125"/>
      <c r="B763" s="125"/>
      <c r="C763" s="125"/>
      <c r="D763" s="125"/>
      <c r="E763" s="125"/>
    </row>
    <row r="764">
      <c r="A764" s="125"/>
      <c r="B764" s="125"/>
      <c r="C764" s="125"/>
      <c r="D764" s="125"/>
      <c r="E764" s="125"/>
    </row>
    <row r="765">
      <c r="A765" s="125"/>
      <c r="B765" s="125"/>
      <c r="C765" s="125"/>
      <c r="D765" s="125"/>
      <c r="E765" s="125"/>
    </row>
    <row r="766">
      <c r="A766" s="125"/>
      <c r="B766" s="125"/>
      <c r="C766" s="125"/>
      <c r="D766" s="125"/>
      <c r="E766" s="125"/>
    </row>
    <row r="767">
      <c r="A767" s="125"/>
      <c r="B767" s="125"/>
      <c r="C767" s="125"/>
      <c r="D767" s="125"/>
      <c r="E767" s="125"/>
    </row>
    <row r="768">
      <c r="A768" s="125"/>
      <c r="B768" s="125"/>
      <c r="C768" s="125"/>
      <c r="D768" s="125"/>
      <c r="E768" s="125"/>
    </row>
    <row r="769">
      <c r="A769" s="125"/>
      <c r="B769" s="125"/>
      <c r="C769" s="125"/>
      <c r="D769" s="125"/>
      <c r="E769" s="125"/>
    </row>
    <row r="770">
      <c r="A770" s="125"/>
      <c r="B770" s="125"/>
      <c r="C770" s="125"/>
      <c r="D770" s="125"/>
      <c r="E770" s="125"/>
    </row>
    <row r="771">
      <c r="A771" s="125"/>
      <c r="B771" s="125"/>
      <c r="C771" s="125"/>
      <c r="D771" s="125"/>
      <c r="E771" s="125"/>
    </row>
    <row r="772">
      <c r="A772" s="125"/>
      <c r="B772" s="125"/>
      <c r="C772" s="125"/>
      <c r="D772" s="125"/>
      <c r="E772" s="125"/>
    </row>
    <row r="773">
      <c r="A773" s="125"/>
      <c r="B773" s="125"/>
      <c r="C773" s="125"/>
      <c r="D773" s="125"/>
      <c r="E773" s="125"/>
    </row>
    <row r="774">
      <c r="A774" s="125"/>
      <c r="B774" s="125"/>
      <c r="C774" s="125"/>
      <c r="D774" s="125"/>
      <c r="E774" s="125"/>
    </row>
    <row r="775">
      <c r="A775" s="125"/>
      <c r="B775" s="125"/>
      <c r="C775" s="125"/>
      <c r="D775" s="125"/>
      <c r="E775" s="125"/>
    </row>
    <row r="776">
      <c r="A776" s="125"/>
      <c r="B776" s="125"/>
      <c r="C776" s="125"/>
      <c r="D776" s="125"/>
      <c r="E776" s="125"/>
    </row>
    <row r="777">
      <c r="A777" s="125"/>
      <c r="B777" s="125"/>
      <c r="C777" s="125"/>
      <c r="D777" s="125"/>
      <c r="E777" s="125"/>
    </row>
    <row r="778">
      <c r="A778" s="125"/>
      <c r="B778" s="125"/>
      <c r="C778" s="125"/>
      <c r="D778" s="125"/>
      <c r="E778" s="125"/>
    </row>
    <row r="779">
      <c r="A779" s="125"/>
      <c r="B779" s="125"/>
      <c r="C779" s="125"/>
      <c r="D779" s="125"/>
      <c r="E779" s="125"/>
    </row>
    <row r="780">
      <c r="A780" s="125"/>
      <c r="B780" s="125"/>
      <c r="C780" s="125"/>
      <c r="D780" s="125"/>
      <c r="E780" s="125"/>
    </row>
    <row r="781">
      <c r="A781" s="125"/>
      <c r="B781" s="125"/>
      <c r="C781" s="125"/>
      <c r="D781" s="125"/>
      <c r="E781" s="125"/>
    </row>
    <row r="782">
      <c r="A782" s="125"/>
      <c r="B782" s="125"/>
      <c r="C782" s="125"/>
      <c r="D782" s="125"/>
      <c r="E782" s="125"/>
    </row>
    <row r="783">
      <c r="A783" s="125"/>
      <c r="B783" s="125"/>
      <c r="C783" s="125"/>
      <c r="D783" s="125"/>
      <c r="E783" s="125"/>
    </row>
    <row r="784">
      <c r="A784" s="125"/>
      <c r="B784" s="125"/>
      <c r="C784" s="125"/>
      <c r="D784" s="125"/>
      <c r="E784" s="125"/>
    </row>
    <row r="785">
      <c r="A785" s="125"/>
      <c r="B785" s="125"/>
      <c r="C785" s="125"/>
      <c r="D785" s="125"/>
      <c r="E785" s="125"/>
    </row>
    <row r="786">
      <c r="A786" s="125"/>
      <c r="B786" s="125"/>
      <c r="C786" s="125"/>
      <c r="D786" s="125"/>
      <c r="E786" s="125"/>
    </row>
    <row r="787">
      <c r="A787" s="125"/>
      <c r="B787" s="125"/>
      <c r="C787" s="125"/>
      <c r="D787" s="125"/>
      <c r="E787" s="125"/>
    </row>
    <row r="788">
      <c r="A788" s="125"/>
      <c r="B788" s="125"/>
      <c r="C788" s="125"/>
      <c r="D788" s="125"/>
      <c r="E788" s="125"/>
    </row>
    <row r="789">
      <c r="A789" s="125"/>
      <c r="B789" s="125"/>
      <c r="C789" s="125"/>
      <c r="D789" s="125"/>
      <c r="E789" s="125"/>
    </row>
    <row r="790">
      <c r="A790" s="125"/>
      <c r="B790" s="125"/>
      <c r="C790" s="125"/>
      <c r="D790" s="125"/>
      <c r="E790" s="125"/>
    </row>
    <row r="791">
      <c r="A791" s="125"/>
      <c r="B791" s="125"/>
      <c r="C791" s="125"/>
      <c r="D791" s="125"/>
      <c r="E791" s="125"/>
    </row>
    <row r="792">
      <c r="A792" s="125"/>
      <c r="B792" s="125"/>
      <c r="C792" s="125"/>
      <c r="D792" s="125"/>
      <c r="E792" s="125"/>
    </row>
    <row r="793">
      <c r="A793" s="125"/>
      <c r="B793" s="125"/>
      <c r="C793" s="125"/>
      <c r="D793" s="125"/>
      <c r="E793" s="125"/>
    </row>
    <row r="794">
      <c r="A794" s="125"/>
      <c r="B794" s="125"/>
      <c r="C794" s="125"/>
      <c r="D794" s="125"/>
      <c r="E794" s="125"/>
    </row>
    <row r="795">
      <c r="A795" s="125"/>
      <c r="B795" s="125"/>
      <c r="C795" s="125"/>
      <c r="D795" s="125"/>
      <c r="E795" s="125"/>
    </row>
    <row r="796">
      <c r="A796" s="125"/>
      <c r="B796" s="125"/>
      <c r="C796" s="125"/>
      <c r="D796" s="125"/>
      <c r="E796" s="125"/>
    </row>
    <row r="797">
      <c r="A797" s="125"/>
      <c r="B797" s="125"/>
      <c r="C797" s="125"/>
      <c r="D797" s="125"/>
      <c r="E797" s="125"/>
    </row>
    <row r="798">
      <c r="A798" s="125"/>
      <c r="B798" s="125"/>
      <c r="C798" s="125"/>
      <c r="D798" s="125"/>
      <c r="E798" s="125"/>
    </row>
    <row r="799">
      <c r="A799" s="125"/>
      <c r="B799" s="125"/>
      <c r="C799" s="125"/>
      <c r="D799" s="125"/>
      <c r="E799" s="125"/>
    </row>
    <row r="800">
      <c r="A800" s="125"/>
      <c r="B800" s="125"/>
      <c r="C800" s="125"/>
      <c r="D800" s="125"/>
      <c r="E800" s="125"/>
    </row>
    <row r="801">
      <c r="A801" s="125"/>
      <c r="B801" s="125"/>
      <c r="C801" s="125"/>
      <c r="D801" s="125"/>
      <c r="E801" s="125"/>
    </row>
    <row r="802">
      <c r="A802" s="125"/>
      <c r="B802" s="125"/>
      <c r="C802" s="125"/>
      <c r="D802" s="125"/>
      <c r="E802" s="125"/>
    </row>
    <row r="803">
      <c r="A803" s="125"/>
      <c r="B803" s="125"/>
      <c r="C803" s="125"/>
      <c r="D803" s="125"/>
      <c r="E803" s="125"/>
    </row>
    <row r="804">
      <c r="A804" s="125"/>
      <c r="B804" s="125"/>
      <c r="C804" s="125"/>
      <c r="D804" s="125"/>
      <c r="E804" s="125"/>
    </row>
    <row r="805">
      <c r="A805" s="125"/>
      <c r="B805" s="125"/>
      <c r="C805" s="125"/>
      <c r="D805" s="125"/>
      <c r="E805" s="125"/>
    </row>
    <row r="806">
      <c r="A806" s="125"/>
      <c r="B806" s="125"/>
      <c r="C806" s="125"/>
      <c r="D806" s="125"/>
      <c r="E806" s="125"/>
    </row>
    <row r="807">
      <c r="A807" s="125"/>
      <c r="B807" s="125"/>
      <c r="C807" s="125"/>
      <c r="D807" s="125"/>
      <c r="E807" s="125"/>
    </row>
    <row r="808">
      <c r="A808" s="125"/>
      <c r="B808" s="125"/>
      <c r="C808" s="125"/>
      <c r="D808" s="125"/>
      <c r="E808" s="125"/>
    </row>
    <row r="809">
      <c r="A809" s="125"/>
      <c r="B809" s="125"/>
      <c r="C809" s="125"/>
      <c r="D809" s="125"/>
      <c r="E809" s="125"/>
    </row>
    <row r="810">
      <c r="A810" s="125"/>
      <c r="B810" s="125"/>
      <c r="C810" s="125"/>
      <c r="D810" s="125"/>
      <c r="E810" s="125"/>
    </row>
    <row r="811">
      <c r="A811" s="125"/>
      <c r="B811" s="125"/>
      <c r="C811" s="125"/>
      <c r="D811" s="125"/>
      <c r="E811" s="125"/>
    </row>
    <row r="812">
      <c r="A812" s="125"/>
      <c r="B812" s="125"/>
      <c r="C812" s="125"/>
      <c r="D812" s="125"/>
      <c r="E812" s="125"/>
    </row>
    <row r="813">
      <c r="A813" s="125"/>
      <c r="B813" s="125"/>
      <c r="C813" s="125"/>
      <c r="D813" s="125"/>
      <c r="E813" s="125"/>
    </row>
    <row r="814">
      <c r="A814" s="125"/>
      <c r="B814" s="125"/>
      <c r="C814" s="125"/>
      <c r="D814" s="125"/>
      <c r="E814" s="125"/>
    </row>
    <row r="815">
      <c r="A815" s="125"/>
      <c r="B815" s="125"/>
      <c r="C815" s="125"/>
      <c r="D815" s="125"/>
      <c r="E815" s="125"/>
    </row>
    <row r="816">
      <c r="A816" s="125"/>
      <c r="B816" s="125"/>
      <c r="C816" s="125"/>
      <c r="D816" s="125"/>
      <c r="E816" s="125"/>
    </row>
    <row r="817">
      <c r="A817" s="125"/>
      <c r="B817" s="125"/>
      <c r="C817" s="125"/>
      <c r="D817" s="125"/>
      <c r="E817" s="125"/>
    </row>
    <row r="818">
      <c r="A818" s="125"/>
      <c r="B818" s="125"/>
      <c r="C818" s="125"/>
      <c r="D818" s="125"/>
      <c r="E818" s="125"/>
    </row>
    <row r="819">
      <c r="A819" s="125"/>
      <c r="B819" s="125"/>
      <c r="C819" s="125"/>
      <c r="D819" s="125"/>
      <c r="E819" s="125"/>
    </row>
    <row r="820">
      <c r="A820" s="125"/>
      <c r="B820" s="125"/>
      <c r="C820" s="125"/>
      <c r="D820" s="125"/>
      <c r="E820" s="125"/>
    </row>
    <row r="821">
      <c r="A821" s="125"/>
      <c r="B821" s="125"/>
      <c r="C821" s="125"/>
      <c r="D821" s="125"/>
      <c r="E821" s="125"/>
    </row>
    <row r="822">
      <c r="A822" s="125"/>
      <c r="B822" s="125"/>
      <c r="C822" s="125"/>
      <c r="D822" s="125"/>
      <c r="E822" s="125"/>
    </row>
    <row r="823">
      <c r="A823" s="125"/>
      <c r="B823" s="125"/>
      <c r="C823" s="125"/>
      <c r="D823" s="125"/>
      <c r="E823" s="125"/>
    </row>
    <row r="824">
      <c r="A824" s="125"/>
      <c r="B824" s="125"/>
      <c r="C824" s="125"/>
      <c r="D824" s="125"/>
      <c r="E824" s="125"/>
    </row>
    <row r="825">
      <c r="A825" s="125"/>
      <c r="B825" s="125"/>
      <c r="C825" s="125"/>
      <c r="D825" s="125"/>
      <c r="E825" s="125"/>
    </row>
    <row r="826">
      <c r="A826" s="125"/>
      <c r="B826" s="125"/>
      <c r="C826" s="125"/>
      <c r="D826" s="125"/>
      <c r="E826" s="125"/>
    </row>
    <row r="827">
      <c r="A827" s="125"/>
      <c r="B827" s="125"/>
      <c r="C827" s="125"/>
      <c r="D827" s="125"/>
      <c r="E827" s="125"/>
    </row>
    <row r="828">
      <c r="A828" s="125"/>
      <c r="B828" s="125"/>
      <c r="C828" s="125"/>
      <c r="D828" s="125"/>
      <c r="E828" s="125"/>
    </row>
    <row r="829">
      <c r="A829" s="125"/>
      <c r="B829" s="125"/>
      <c r="C829" s="125"/>
      <c r="D829" s="125"/>
      <c r="E829" s="125"/>
    </row>
    <row r="830">
      <c r="A830" s="125"/>
      <c r="B830" s="125"/>
      <c r="C830" s="125"/>
      <c r="D830" s="125"/>
      <c r="E830" s="125"/>
    </row>
    <row r="831">
      <c r="A831" s="125"/>
      <c r="B831" s="125"/>
      <c r="C831" s="125"/>
      <c r="D831" s="125"/>
      <c r="E831" s="125"/>
    </row>
    <row r="832">
      <c r="A832" s="125"/>
      <c r="B832" s="125"/>
      <c r="C832" s="125"/>
      <c r="D832" s="125"/>
      <c r="E832" s="125"/>
    </row>
    <row r="833">
      <c r="A833" s="125"/>
      <c r="B833" s="125"/>
      <c r="C833" s="125"/>
      <c r="D833" s="125"/>
      <c r="E833" s="125"/>
    </row>
    <row r="834">
      <c r="A834" s="125"/>
      <c r="B834" s="125"/>
      <c r="C834" s="125"/>
      <c r="D834" s="125"/>
      <c r="E834" s="125"/>
    </row>
    <row r="835">
      <c r="A835" s="125"/>
      <c r="B835" s="125"/>
      <c r="C835" s="125"/>
      <c r="D835" s="125"/>
      <c r="E835" s="125"/>
    </row>
    <row r="836">
      <c r="A836" s="125"/>
      <c r="B836" s="125"/>
      <c r="C836" s="125"/>
      <c r="D836" s="125"/>
      <c r="E836" s="125"/>
    </row>
    <row r="837">
      <c r="A837" s="125"/>
      <c r="B837" s="125"/>
      <c r="C837" s="125"/>
      <c r="D837" s="125"/>
      <c r="E837" s="125"/>
    </row>
    <row r="838">
      <c r="A838" s="125"/>
      <c r="B838" s="125"/>
      <c r="C838" s="125"/>
      <c r="D838" s="125"/>
      <c r="E838" s="125"/>
    </row>
    <row r="839">
      <c r="A839" s="125"/>
      <c r="B839" s="125"/>
      <c r="C839" s="125"/>
      <c r="D839" s="125"/>
      <c r="E839" s="125"/>
    </row>
    <row r="840">
      <c r="A840" s="125"/>
      <c r="B840" s="125"/>
      <c r="C840" s="125"/>
      <c r="D840" s="125"/>
      <c r="E840" s="125"/>
    </row>
    <row r="841">
      <c r="A841" s="125"/>
      <c r="B841" s="125"/>
      <c r="C841" s="125"/>
      <c r="D841" s="125"/>
      <c r="E841" s="125"/>
    </row>
    <row r="842">
      <c r="A842" s="125"/>
      <c r="B842" s="125"/>
      <c r="C842" s="125"/>
      <c r="D842" s="125"/>
      <c r="E842" s="125"/>
    </row>
    <row r="843">
      <c r="A843" s="125"/>
      <c r="B843" s="125"/>
      <c r="C843" s="125"/>
      <c r="D843" s="125"/>
      <c r="E843" s="125"/>
    </row>
    <row r="844">
      <c r="A844" s="125"/>
      <c r="B844" s="125"/>
      <c r="C844" s="125"/>
      <c r="D844" s="125"/>
      <c r="E844" s="125"/>
    </row>
    <row r="845">
      <c r="A845" s="125"/>
      <c r="B845" s="125"/>
      <c r="C845" s="125"/>
      <c r="D845" s="125"/>
      <c r="E845" s="125"/>
    </row>
    <row r="846">
      <c r="A846" s="125"/>
      <c r="B846" s="125"/>
      <c r="C846" s="125"/>
      <c r="D846" s="125"/>
      <c r="E846" s="125"/>
    </row>
    <row r="847">
      <c r="A847" s="125"/>
      <c r="B847" s="125"/>
      <c r="C847" s="125"/>
      <c r="D847" s="125"/>
      <c r="E847" s="125"/>
    </row>
    <row r="848">
      <c r="A848" s="125"/>
      <c r="B848" s="125"/>
      <c r="C848" s="125"/>
      <c r="D848" s="125"/>
      <c r="E848" s="125"/>
    </row>
    <row r="849">
      <c r="A849" s="125"/>
      <c r="B849" s="125"/>
      <c r="C849" s="125"/>
      <c r="D849" s="125"/>
      <c r="E849" s="125"/>
    </row>
    <row r="850">
      <c r="A850" s="125"/>
      <c r="B850" s="125"/>
      <c r="C850" s="125"/>
      <c r="D850" s="125"/>
      <c r="E850" s="125"/>
    </row>
    <row r="851">
      <c r="A851" s="125"/>
      <c r="B851" s="125"/>
      <c r="C851" s="125"/>
      <c r="D851" s="125"/>
      <c r="E851" s="125"/>
    </row>
    <row r="852">
      <c r="A852" s="125"/>
      <c r="B852" s="125"/>
      <c r="C852" s="125"/>
      <c r="D852" s="125"/>
      <c r="E852" s="125"/>
    </row>
    <row r="853">
      <c r="A853" s="125"/>
      <c r="B853" s="125"/>
      <c r="C853" s="125"/>
      <c r="D853" s="125"/>
      <c r="E853" s="125"/>
    </row>
    <row r="854">
      <c r="A854" s="125"/>
      <c r="B854" s="125"/>
      <c r="C854" s="125"/>
      <c r="D854" s="125"/>
      <c r="E854" s="125"/>
    </row>
    <row r="855">
      <c r="A855" s="125"/>
      <c r="B855" s="125"/>
      <c r="C855" s="125"/>
      <c r="D855" s="125"/>
      <c r="E855" s="125"/>
    </row>
    <row r="856">
      <c r="A856" s="125"/>
      <c r="B856" s="125"/>
      <c r="C856" s="125"/>
      <c r="D856" s="125"/>
      <c r="E856" s="125"/>
    </row>
    <row r="857">
      <c r="A857" s="125"/>
      <c r="B857" s="125"/>
      <c r="C857" s="125"/>
      <c r="D857" s="125"/>
      <c r="E857" s="125"/>
    </row>
    <row r="858">
      <c r="A858" s="125"/>
      <c r="B858" s="125"/>
      <c r="C858" s="125"/>
      <c r="D858" s="125"/>
      <c r="E858" s="125"/>
    </row>
    <row r="859">
      <c r="A859" s="125"/>
      <c r="B859" s="125"/>
      <c r="C859" s="125"/>
      <c r="D859" s="125"/>
      <c r="E859" s="125"/>
    </row>
    <row r="860">
      <c r="A860" s="125"/>
      <c r="B860" s="125"/>
      <c r="C860" s="125"/>
      <c r="D860" s="125"/>
      <c r="E860" s="125"/>
    </row>
    <row r="861">
      <c r="A861" s="125"/>
      <c r="B861" s="125"/>
      <c r="C861" s="125"/>
      <c r="D861" s="125"/>
      <c r="E861" s="125"/>
    </row>
    <row r="862">
      <c r="A862" s="125"/>
      <c r="B862" s="125"/>
      <c r="C862" s="125"/>
      <c r="D862" s="125"/>
      <c r="E862" s="125"/>
    </row>
    <row r="863">
      <c r="A863" s="125"/>
      <c r="B863" s="125"/>
      <c r="C863" s="125"/>
      <c r="D863" s="125"/>
      <c r="E863" s="125"/>
    </row>
    <row r="864">
      <c r="A864" s="125"/>
      <c r="B864" s="125"/>
      <c r="C864" s="125"/>
      <c r="D864" s="125"/>
      <c r="E864" s="125"/>
    </row>
    <row r="865">
      <c r="A865" s="125"/>
      <c r="B865" s="125"/>
      <c r="C865" s="125"/>
      <c r="D865" s="125"/>
      <c r="E865" s="125"/>
    </row>
    <row r="866">
      <c r="A866" s="125"/>
      <c r="B866" s="125"/>
      <c r="C866" s="125"/>
      <c r="D866" s="125"/>
      <c r="E866" s="125"/>
    </row>
    <row r="867">
      <c r="A867" s="125"/>
      <c r="B867" s="125"/>
      <c r="C867" s="125"/>
      <c r="D867" s="125"/>
      <c r="E867" s="125"/>
    </row>
    <row r="868">
      <c r="A868" s="125"/>
      <c r="B868" s="125"/>
      <c r="C868" s="125"/>
      <c r="D868" s="125"/>
      <c r="E868" s="125"/>
    </row>
    <row r="869">
      <c r="A869" s="125"/>
      <c r="B869" s="125"/>
      <c r="C869" s="125"/>
      <c r="D869" s="125"/>
      <c r="E869" s="125"/>
    </row>
    <row r="870">
      <c r="A870" s="125"/>
      <c r="B870" s="125"/>
      <c r="C870" s="125"/>
      <c r="D870" s="125"/>
      <c r="E870" s="125"/>
    </row>
    <row r="871">
      <c r="A871" s="125"/>
      <c r="B871" s="125"/>
      <c r="C871" s="125"/>
      <c r="D871" s="125"/>
      <c r="E871" s="125"/>
    </row>
    <row r="872">
      <c r="A872" s="125"/>
      <c r="B872" s="125"/>
      <c r="C872" s="125"/>
      <c r="D872" s="125"/>
      <c r="E872" s="125"/>
    </row>
    <row r="873">
      <c r="A873" s="125"/>
      <c r="B873" s="125"/>
      <c r="C873" s="125"/>
      <c r="D873" s="125"/>
      <c r="E873" s="125"/>
    </row>
    <row r="874">
      <c r="A874" s="125"/>
      <c r="B874" s="125"/>
      <c r="C874" s="125"/>
      <c r="D874" s="125"/>
      <c r="E874" s="125"/>
    </row>
    <row r="875">
      <c r="A875" s="125"/>
      <c r="B875" s="125"/>
      <c r="C875" s="125"/>
      <c r="D875" s="125"/>
      <c r="E875" s="125"/>
    </row>
    <row r="876">
      <c r="A876" s="125"/>
      <c r="B876" s="125"/>
      <c r="C876" s="125"/>
      <c r="D876" s="125"/>
      <c r="E876" s="125"/>
    </row>
    <row r="877">
      <c r="A877" s="125"/>
      <c r="B877" s="125"/>
      <c r="C877" s="125"/>
      <c r="D877" s="125"/>
      <c r="E877" s="125"/>
    </row>
    <row r="878">
      <c r="A878" s="125"/>
      <c r="B878" s="125"/>
      <c r="C878" s="125"/>
      <c r="D878" s="125"/>
      <c r="E878" s="125"/>
    </row>
    <row r="879">
      <c r="A879" s="125"/>
      <c r="B879" s="125"/>
      <c r="C879" s="125"/>
      <c r="D879" s="125"/>
      <c r="E879" s="125"/>
    </row>
    <row r="880">
      <c r="A880" s="125"/>
      <c r="B880" s="125"/>
      <c r="C880" s="125"/>
      <c r="D880" s="125"/>
      <c r="E880" s="125"/>
    </row>
    <row r="881">
      <c r="A881" s="125"/>
      <c r="B881" s="125"/>
      <c r="C881" s="125"/>
      <c r="D881" s="125"/>
      <c r="E881" s="125"/>
    </row>
    <row r="882">
      <c r="A882" s="125"/>
      <c r="B882" s="125"/>
      <c r="C882" s="125"/>
      <c r="D882" s="125"/>
      <c r="E882" s="125"/>
    </row>
    <row r="883">
      <c r="A883" s="125"/>
      <c r="B883" s="125"/>
      <c r="C883" s="125"/>
      <c r="D883" s="125"/>
      <c r="E883" s="125"/>
    </row>
    <row r="884">
      <c r="A884" s="125"/>
      <c r="B884" s="125"/>
      <c r="C884" s="125"/>
      <c r="D884" s="125"/>
      <c r="E884" s="125"/>
    </row>
    <row r="885">
      <c r="A885" s="125"/>
      <c r="B885" s="125"/>
      <c r="C885" s="125"/>
      <c r="D885" s="125"/>
      <c r="E885" s="125"/>
    </row>
    <row r="886">
      <c r="A886" s="125"/>
      <c r="B886" s="125"/>
      <c r="C886" s="125"/>
      <c r="D886" s="125"/>
      <c r="E886" s="125"/>
    </row>
    <row r="887">
      <c r="A887" s="125"/>
      <c r="B887" s="125"/>
      <c r="C887" s="125"/>
      <c r="D887" s="125"/>
      <c r="E887" s="125"/>
    </row>
    <row r="888">
      <c r="A888" s="125"/>
      <c r="B888" s="125"/>
      <c r="C888" s="125"/>
      <c r="D888" s="125"/>
      <c r="E888" s="125"/>
    </row>
    <row r="889">
      <c r="A889" s="125"/>
      <c r="B889" s="125"/>
      <c r="C889" s="125"/>
      <c r="D889" s="125"/>
      <c r="E889" s="125"/>
    </row>
    <row r="890">
      <c r="A890" s="125"/>
      <c r="B890" s="125"/>
      <c r="C890" s="125"/>
      <c r="D890" s="125"/>
      <c r="E890" s="125"/>
    </row>
    <row r="891">
      <c r="A891" s="125"/>
      <c r="B891" s="125"/>
      <c r="C891" s="125"/>
      <c r="D891" s="125"/>
      <c r="E891" s="125"/>
    </row>
    <row r="892">
      <c r="A892" s="125"/>
      <c r="B892" s="125"/>
      <c r="C892" s="125"/>
      <c r="D892" s="125"/>
      <c r="E892" s="125"/>
    </row>
    <row r="893">
      <c r="A893" s="125"/>
      <c r="B893" s="125"/>
      <c r="C893" s="125"/>
      <c r="D893" s="125"/>
      <c r="E893" s="125"/>
    </row>
    <row r="894">
      <c r="A894" s="125"/>
      <c r="B894" s="125"/>
      <c r="C894" s="125"/>
      <c r="D894" s="125"/>
      <c r="E894" s="125"/>
    </row>
    <row r="895">
      <c r="A895" s="125"/>
      <c r="B895" s="125"/>
      <c r="C895" s="125"/>
      <c r="D895" s="125"/>
      <c r="E895" s="125"/>
    </row>
    <row r="896">
      <c r="A896" s="125"/>
      <c r="B896" s="125"/>
      <c r="C896" s="125"/>
      <c r="D896" s="125"/>
      <c r="E896" s="125"/>
    </row>
    <row r="897">
      <c r="A897" s="125"/>
      <c r="B897" s="125"/>
      <c r="C897" s="125"/>
      <c r="D897" s="125"/>
      <c r="E897" s="125"/>
    </row>
    <row r="898">
      <c r="A898" s="125"/>
      <c r="B898" s="125"/>
      <c r="C898" s="125"/>
      <c r="D898" s="125"/>
      <c r="E898" s="125"/>
    </row>
    <row r="899">
      <c r="A899" s="125"/>
      <c r="B899" s="125"/>
      <c r="C899" s="125"/>
      <c r="D899" s="125"/>
      <c r="E899" s="125"/>
    </row>
    <row r="900">
      <c r="A900" s="125"/>
      <c r="B900" s="125"/>
      <c r="C900" s="125"/>
      <c r="D900" s="125"/>
      <c r="E900" s="125"/>
    </row>
    <row r="901">
      <c r="A901" s="125"/>
      <c r="B901" s="125"/>
      <c r="C901" s="125"/>
      <c r="D901" s="125"/>
      <c r="E901" s="125"/>
    </row>
    <row r="902">
      <c r="A902" s="125"/>
      <c r="B902" s="125"/>
      <c r="C902" s="125"/>
      <c r="D902" s="125"/>
      <c r="E902" s="125"/>
    </row>
    <row r="903">
      <c r="A903" s="125"/>
      <c r="B903" s="125"/>
      <c r="C903" s="125"/>
      <c r="D903" s="125"/>
      <c r="E903" s="125"/>
    </row>
    <row r="904">
      <c r="A904" s="125"/>
      <c r="B904" s="125"/>
      <c r="C904" s="125"/>
      <c r="D904" s="125"/>
      <c r="E904" s="125"/>
    </row>
    <row r="905">
      <c r="A905" s="125"/>
      <c r="B905" s="125"/>
      <c r="C905" s="125"/>
      <c r="D905" s="125"/>
      <c r="E905" s="125"/>
    </row>
    <row r="906">
      <c r="A906" s="125"/>
      <c r="B906" s="125"/>
      <c r="C906" s="125"/>
      <c r="D906" s="125"/>
      <c r="E906" s="125"/>
    </row>
    <row r="907">
      <c r="A907" s="125"/>
      <c r="B907" s="125"/>
      <c r="C907" s="125"/>
      <c r="D907" s="125"/>
      <c r="E907" s="125"/>
    </row>
    <row r="908">
      <c r="A908" s="125"/>
      <c r="B908" s="125"/>
      <c r="C908" s="125"/>
      <c r="D908" s="125"/>
      <c r="E908" s="125"/>
    </row>
    <row r="909">
      <c r="A909" s="125"/>
      <c r="B909" s="125"/>
      <c r="C909" s="125"/>
      <c r="D909" s="125"/>
      <c r="E909" s="125"/>
    </row>
    <row r="910">
      <c r="A910" s="125"/>
      <c r="B910" s="125"/>
      <c r="C910" s="125"/>
      <c r="D910" s="125"/>
      <c r="E910" s="125"/>
    </row>
    <row r="911">
      <c r="A911" s="125"/>
      <c r="B911" s="125"/>
      <c r="C911" s="125"/>
      <c r="D911" s="125"/>
      <c r="E911" s="125"/>
    </row>
    <row r="912">
      <c r="A912" s="125"/>
      <c r="B912" s="125"/>
      <c r="C912" s="125"/>
      <c r="D912" s="125"/>
      <c r="E912" s="125"/>
    </row>
    <row r="913">
      <c r="A913" s="125"/>
      <c r="B913" s="125"/>
      <c r="C913" s="125"/>
      <c r="D913" s="125"/>
      <c r="E913" s="125"/>
    </row>
    <row r="914">
      <c r="A914" s="125"/>
      <c r="B914" s="125"/>
      <c r="C914" s="125"/>
      <c r="D914" s="125"/>
      <c r="E914" s="125"/>
    </row>
    <row r="915">
      <c r="A915" s="125"/>
      <c r="B915" s="125"/>
      <c r="C915" s="125"/>
      <c r="D915" s="125"/>
      <c r="E915" s="125"/>
    </row>
    <row r="916">
      <c r="A916" s="125"/>
      <c r="B916" s="125"/>
      <c r="C916" s="125"/>
      <c r="D916" s="125"/>
      <c r="E916" s="125"/>
    </row>
    <row r="917">
      <c r="A917" s="125"/>
      <c r="B917" s="125"/>
      <c r="C917" s="125"/>
      <c r="D917" s="125"/>
      <c r="E917" s="125"/>
    </row>
    <row r="918">
      <c r="A918" s="125"/>
      <c r="B918" s="125"/>
      <c r="C918" s="125"/>
      <c r="D918" s="125"/>
      <c r="E918" s="125"/>
    </row>
    <row r="919">
      <c r="A919" s="125"/>
      <c r="B919" s="125"/>
      <c r="C919" s="125"/>
      <c r="D919" s="125"/>
      <c r="E919" s="125"/>
    </row>
    <row r="920">
      <c r="A920" s="125"/>
      <c r="B920" s="125"/>
      <c r="C920" s="125"/>
      <c r="D920" s="125"/>
      <c r="E920" s="125"/>
    </row>
    <row r="921">
      <c r="A921" s="125"/>
      <c r="B921" s="125"/>
      <c r="C921" s="125"/>
      <c r="D921" s="125"/>
      <c r="E921" s="125"/>
    </row>
    <row r="922">
      <c r="A922" s="125"/>
      <c r="B922" s="125"/>
      <c r="C922" s="125"/>
      <c r="D922" s="125"/>
      <c r="E922" s="125"/>
    </row>
    <row r="923">
      <c r="A923" s="125"/>
      <c r="B923" s="125"/>
      <c r="C923" s="125"/>
      <c r="D923" s="125"/>
      <c r="E923" s="125"/>
    </row>
    <row r="924">
      <c r="A924" s="125"/>
      <c r="B924" s="125"/>
      <c r="C924" s="125"/>
      <c r="D924" s="125"/>
      <c r="E924" s="125"/>
    </row>
    <row r="925">
      <c r="A925" s="125"/>
      <c r="B925" s="125"/>
      <c r="C925" s="125"/>
      <c r="D925" s="125"/>
      <c r="E925" s="125"/>
    </row>
    <row r="926">
      <c r="A926" s="125"/>
      <c r="B926" s="125"/>
      <c r="C926" s="125"/>
      <c r="D926" s="125"/>
      <c r="E926" s="125"/>
    </row>
    <row r="927">
      <c r="A927" s="125"/>
      <c r="B927" s="125"/>
      <c r="C927" s="125"/>
      <c r="D927" s="125"/>
      <c r="E927" s="125"/>
    </row>
    <row r="928">
      <c r="A928" s="125"/>
      <c r="B928" s="125"/>
      <c r="C928" s="125"/>
      <c r="D928" s="125"/>
      <c r="E928" s="125"/>
    </row>
    <row r="929">
      <c r="A929" s="125"/>
      <c r="B929" s="125"/>
      <c r="C929" s="125"/>
      <c r="D929" s="125"/>
      <c r="E929" s="125"/>
    </row>
    <row r="930">
      <c r="A930" s="125"/>
      <c r="B930" s="125"/>
      <c r="C930" s="125"/>
      <c r="D930" s="125"/>
      <c r="E930" s="125"/>
    </row>
    <row r="931">
      <c r="A931" s="125"/>
      <c r="B931" s="125"/>
      <c r="C931" s="125"/>
      <c r="D931" s="125"/>
      <c r="E931" s="125"/>
    </row>
    <row r="932">
      <c r="A932" s="125"/>
      <c r="B932" s="125"/>
      <c r="C932" s="125"/>
      <c r="D932" s="125"/>
      <c r="E932" s="125"/>
    </row>
    <row r="933">
      <c r="A933" s="125"/>
      <c r="B933" s="125"/>
      <c r="C933" s="125"/>
      <c r="D933" s="125"/>
      <c r="E933" s="125"/>
    </row>
    <row r="934">
      <c r="A934" s="125"/>
      <c r="B934" s="125"/>
      <c r="C934" s="125"/>
      <c r="D934" s="125"/>
      <c r="E934" s="125"/>
    </row>
    <row r="935">
      <c r="A935" s="125"/>
      <c r="B935" s="125"/>
      <c r="C935" s="125"/>
      <c r="D935" s="125"/>
      <c r="E935" s="125"/>
    </row>
    <row r="936">
      <c r="A936" s="125"/>
      <c r="B936" s="125"/>
      <c r="C936" s="125"/>
      <c r="D936" s="125"/>
      <c r="E936" s="125"/>
    </row>
    <row r="937">
      <c r="A937" s="125"/>
      <c r="B937" s="125"/>
      <c r="C937" s="125"/>
      <c r="D937" s="125"/>
      <c r="E937" s="125"/>
    </row>
    <row r="938">
      <c r="A938" s="125"/>
      <c r="B938" s="125"/>
      <c r="C938" s="125"/>
      <c r="D938" s="125"/>
      <c r="E938" s="125"/>
    </row>
    <row r="939">
      <c r="A939" s="125"/>
      <c r="B939" s="125"/>
      <c r="C939" s="125"/>
      <c r="D939" s="125"/>
      <c r="E939" s="125"/>
    </row>
    <row r="940">
      <c r="A940" s="125"/>
      <c r="B940" s="125"/>
      <c r="C940" s="125"/>
      <c r="D940" s="125"/>
      <c r="E940" s="125"/>
    </row>
    <row r="941">
      <c r="A941" s="125"/>
      <c r="B941" s="125"/>
      <c r="C941" s="125"/>
      <c r="D941" s="125"/>
      <c r="E941" s="125"/>
    </row>
    <row r="942">
      <c r="A942" s="125"/>
      <c r="B942" s="125"/>
      <c r="C942" s="125"/>
      <c r="D942" s="125"/>
      <c r="E942" s="125"/>
    </row>
    <row r="943">
      <c r="A943" s="125"/>
      <c r="B943" s="125"/>
      <c r="C943" s="125"/>
      <c r="D943" s="125"/>
      <c r="E943" s="125"/>
    </row>
    <row r="944">
      <c r="A944" s="125"/>
      <c r="B944" s="125"/>
      <c r="C944" s="125"/>
      <c r="D944" s="125"/>
      <c r="E944" s="125"/>
    </row>
    <row r="945">
      <c r="A945" s="125"/>
      <c r="B945" s="125"/>
      <c r="C945" s="125"/>
      <c r="D945" s="125"/>
      <c r="E945" s="125"/>
    </row>
    <row r="946">
      <c r="A946" s="125"/>
      <c r="B946" s="125"/>
      <c r="C946" s="125"/>
      <c r="D946" s="125"/>
      <c r="E946" s="125"/>
    </row>
    <row r="947">
      <c r="A947" s="125"/>
      <c r="B947" s="125"/>
      <c r="C947" s="125"/>
      <c r="D947" s="125"/>
      <c r="E947" s="125"/>
    </row>
    <row r="948">
      <c r="A948" s="125"/>
      <c r="B948" s="125"/>
      <c r="C948" s="125"/>
      <c r="D948" s="125"/>
      <c r="E948" s="125"/>
    </row>
    <row r="949">
      <c r="A949" s="125"/>
      <c r="B949" s="125"/>
      <c r="C949" s="125"/>
      <c r="D949" s="125"/>
      <c r="E949" s="125"/>
    </row>
    <row r="950">
      <c r="A950" s="125"/>
      <c r="B950" s="125"/>
      <c r="C950" s="125"/>
      <c r="D950" s="125"/>
      <c r="E950" s="125"/>
    </row>
    <row r="951">
      <c r="A951" s="125"/>
      <c r="B951" s="125"/>
      <c r="C951" s="125"/>
      <c r="D951" s="125"/>
      <c r="E951" s="125"/>
    </row>
    <row r="952">
      <c r="A952" s="125"/>
      <c r="B952" s="125"/>
      <c r="C952" s="125"/>
      <c r="D952" s="125"/>
      <c r="E952" s="125"/>
    </row>
    <row r="953">
      <c r="A953" s="125"/>
      <c r="B953" s="125"/>
      <c r="C953" s="125"/>
      <c r="D953" s="125"/>
      <c r="E953" s="125"/>
    </row>
    <row r="954">
      <c r="A954" s="125"/>
      <c r="B954" s="125"/>
      <c r="C954" s="125"/>
      <c r="D954" s="125"/>
      <c r="E954" s="125"/>
    </row>
    <row r="955">
      <c r="A955" s="125"/>
      <c r="B955" s="125"/>
      <c r="C955" s="125"/>
      <c r="D955" s="125"/>
      <c r="E955" s="125"/>
    </row>
    <row r="956">
      <c r="A956" s="125"/>
      <c r="B956" s="125"/>
      <c r="C956" s="125"/>
      <c r="D956" s="125"/>
      <c r="E956" s="125"/>
    </row>
    <row r="957">
      <c r="A957" s="125"/>
      <c r="B957" s="125"/>
      <c r="C957" s="125"/>
      <c r="D957" s="125"/>
      <c r="E957" s="125"/>
    </row>
    <row r="958">
      <c r="A958" s="125"/>
      <c r="B958" s="125"/>
      <c r="C958" s="125"/>
      <c r="D958" s="125"/>
      <c r="E958" s="125"/>
    </row>
    <row r="959">
      <c r="A959" s="125"/>
      <c r="B959" s="125"/>
      <c r="C959" s="125"/>
      <c r="D959" s="125"/>
      <c r="E959" s="125"/>
    </row>
    <row r="960">
      <c r="A960" s="125"/>
      <c r="B960" s="125"/>
      <c r="C960" s="125"/>
      <c r="D960" s="125"/>
      <c r="E960" s="125"/>
    </row>
    <row r="961">
      <c r="A961" s="125"/>
      <c r="B961" s="125"/>
      <c r="C961" s="125"/>
      <c r="D961" s="125"/>
      <c r="E961" s="125"/>
    </row>
    <row r="962">
      <c r="A962" s="125"/>
      <c r="B962" s="125"/>
      <c r="C962" s="125"/>
      <c r="D962" s="125"/>
      <c r="E962" s="125"/>
    </row>
    <row r="963">
      <c r="A963" s="125"/>
      <c r="B963" s="125"/>
      <c r="C963" s="125"/>
      <c r="D963" s="125"/>
      <c r="E963" s="125"/>
    </row>
    <row r="964">
      <c r="A964" s="125"/>
      <c r="B964" s="125"/>
      <c r="C964" s="125"/>
      <c r="D964" s="125"/>
      <c r="E964" s="125"/>
    </row>
    <row r="965">
      <c r="A965" s="125"/>
      <c r="B965" s="125"/>
      <c r="C965" s="125"/>
      <c r="D965" s="125"/>
      <c r="E965" s="125"/>
    </row>
    <row r="966">
      <c r="A966" s="125"/>
      <c r="B966" s="125"/>
      <c r="C966" s="125"/>
      <c r="D966" s="125"/>
      <c r="E966" s="125"/>
    </row>
    <row r="967">
      <c r="A967" s="125"/>
      <c r="B967" s="125"/>
      <c r="C967" s="125"/>
      <c r="D967" s="125"/>
      <c r="E967" s="125"/>
    </row>
    <row r="968">
      <c r="A968" s="125"/>
      <c r="B968" s="125"/>
      <c r="C968" s="125"/>
      <c r="D968" s="125"/>
      <c r="E968" s="125"/>
    </row>
    <row r="969">
      <c r="A969" s="125"/>
      <c r="B969" s="125"/>
      <c r="C969" s="125"/>
      <c r="D969" s="125"/>
      <c r="E969" s="125"/>
    </row>
    <row r="970">
      <c r="A970" s="125"/>
      <c r="B970" s="125"/>
      <c r="C970" s="125"/>
      <c r="D970" s="125"/>
      <c r="E970" s="125"/>
    </row>
    <row r="971">
      <c r="A971" s="125"/>
      <c r="B971" s="125"/>
      <c r="C971" s="125"/>
      <c r="D971" s="125"/>
      <c r="E971" s="125"/>
    </row>
    <row r="972">
      <c r="A972" s="125"/>
      <c r="B972" s="125"/>
      <c r="C972" s="125"/>
      <c r="D972" s="125"/>
      <c r="E972" s="125"/>
    </row>
    <row r="973">
      <c r="A973" s="125"/>
      <c r="B973" s="125"/>
      <c r="C973" s="125"/>
      <c r="D973" s="125"/>
      <c r="E973" s="125"/>
    </row>
    <row r="974">
      <c r="A974" s="125"/>
      <c r="B974" s="125"/>
      <c r="C974" s="125"/>
      <c r="D974" s="125"/>
      <c r="E974" s="125"/>
    </row>
    <row r="975">
      <c r="A975" s="125"/>
      <c r="B975" s="125"/>
      <c r="C975" s="125"/>
      <c r="D975" s="125"/>
      <c r="E975" s="125"/>
    </row>
    <row r="976">
      <c r="A976" s="125"/>
      <c r="B976" s="125"/>
      <c r="C976" s="125"/>
      <c r="D976" s="125"/>
      <c r="E976" s="125"/>
    </row>
    <row r="977">
      <c r="A977" s="125"/>
      <c r="B977" s="125"/>
      <c r="C977" s="125"/>
      <c r="D977" s="125"/>
      <c r="E977" s="125"/>
    </row>
    <row r="978">
      <c r="A978" s="125"/>
      <c r="B978" s="125"/>
      <c r="C978" s="125"/>
      <c r="D978" s="125"/>
      <c r="E978" s="125"/>
    </row>
    <row r="979">
      <c r="A979" s="125"/>
      <c r="B979" s="125"/>
      <c r="C979" s="125"/>
      <c r="D979" s="125"/>
      <c r="E979" s="125"/>
    </row>
    <row r="980">
      <c r="A980" s="125"/>
      <c r="B980" s="125"/>
      <c r="C980" s="125"/>
      <c r="D980" s="125"/>
      <c r="E980" s="125"/>
    </row>
    <row r="981">
      <c r="A981" s="125"/>
      <c r="B981" s="125"/>
      <c r="C981" s="125"/>
      <c r="D981" s="125"/>
      <c r="E981" s="125"/>
    </row>
    <row r="982">
      <c r="A982" s="125"/>
      <c r="B982" s="125"/>
      <c r="C982" s="125"/>
      <c r="D982" s="125"/>
      <c r="E982" s="125"/>
    </row>
    <row r="983">
      <c r="A983" s="125"/>
      <c r="B983" s="125"/>
      <c r="C983" s="125"/>
      <c r="D983" s="125"/>
      <c r="E983" s="125"/>
    </row>
    <row r="984">
      <c r="A984" s="125"/>
      <c r="B984" s="125"/>
      <c r="C984" s="125"/>
      <c r="D984" s="125"/>
      <c r="E984" s="125"/>
    </row>
    <row r="985">
      <c r="A985" s="125"/>
      <c r="B985" s="125"/>
      <c r="C985" s="125"/>
      <c r="D985" s="125"/>
      <c r="E985" s="125"/>
    </row>
    <row r="986">
      <c r="A986" s="125"/>
      <c r="B986" s="125"/>
      <c r="C986" s="125"/>
      <c r="D986" s="125"/>
      <c r="E986" s="125"/>
    </row>
    <row r="987">
      <c r="A987" s="125"/>
      <c r="B987" s="125"/>
      <c r="C987" s="125"/>
      <c r="D987" s="125"/>
      <c r="E987" s="125"/>
    </row>
    <row r="988">
      <c r="A988" s="125"/>
      <c r="B988" s="125"/>
      <c r="C988" s="125"/>
      <c r="D988" s="125"/>
      <c r="E988" s="125"/>
    </row>
    <row r="989">
      <c r="A989" s="125"/>
      <c r="B989" s="125"/>
      <c r="C989" s="125"/>
      <c r="D989" s="125"/>
      <c r="E989" s="125"/>
    </row>
    <row r="990">
      <c r="A990" s="125"/>
      <c r="B990" s="125"/>
      <c r="C990" s="125"/>
      <c r="D990" s="125"/>
      <c r="E990" s="125"/>
    </row>
    <row r="991">
      <c r="A991" s="125"/>
      <c r="B991" s="125"/>
      <c r="C991" s="125"/>
      <c r="D991" s="125"/>
      <c r="E991" s="125"/>
    </row>
    <row r="992">
      <c r="A992" s="125"/>
      <c r="B992" s="125"/>
      <c r="C992" s="125"/>
      <c r="D992" s="125"/>
      <c r="E992" s="125"/>
    </row>
    <row r="993">
      <c r="A993" s="125"/>
      <c r="B993" s="125"/>
      <c r="C993" s="125"/>
      <c r="D993" s="125"/>
      <c r="E993" s="125"/>
    </row>
    <row r="994">
      <c r="A994" s="125"/>
      <c r="B994" s="125"/>
      <c r="C994" s="125"/>
      <c r="D994" s="125"/>
      <c r="E994" s="125"/>
    </row>
    <row r="995">
      <c r="A995" s="125"/>
      <c r="B995" s="125"/>
      <c r="C995" s="125"/>
      <c r="D995" s="125"/>
      <c r="E995" s="125"/>
    </row>
    <row r="996">
      <c r="A996" s="125"/>
      <c r="B996" s="125"/>
      <c r="C996" s="125"/>
      <c r="D996" s="125"/>
      <c r="E996" s="125"/>
    </row>
    <row r="997">
      <c r="A997" s="125"/>
      <c r="B997" s="125"/>
      <c r="C997" s="125"/>
      <c r="D997" s="125"/>
      <c r="E997" s="125"/>
    </row>
    <row r="998">
      <c r="A998" s="125"/>
      <c r="B998" s="125"/>
      <c r="C998" s="125"/>
      <c r="D998" s="125"/>
      <c r="E998" s="125"/>
    </row>
    <row r="999">
      <c r="A999" s="125"/>
      <c r="B999" s="125"/>
      <c r="C999" s="125"/>
      <c r="D999" s="125"/>
      <c r="E999" s="125"/>
    </row>
    <row r="1000">
      <c r="A1000" s="125"/>
      <c r="B1000" s="125"/>
      <c r="C1000" s="125"/>
      <c r="D1000" s="125"/>
      <c r="E1000" s="125"/>
    </row>
    <row r="1001">
      <c r="A1001" s="125"/>
      <c r="B1001" s="125"/>
      <c r="C1001" s="125"/>
      <c r="D1001" s="125"/>
      <c r="E1001" s="125"/>
    </row>
    <row r="1002">
      <c r="A1002" s="125"/>
      <c r="B1002" s="125"/>
      <c r="C1002" s="125"/>
      <c r="D1002" s="125"/>
      <c r="E1002" s="125"/>
    </row>
    <row r="1003">
      <c r="A1003" s="125"/>
      <c r="B1003" s="125"/>
      <c r="C1003" s="125"/>
      <c r="D1003" s="125"/>
      <c r="E1003" s="125"/>
    </row>
    <row r="1004">
      <c r="A1004" s="125"/>
      <c r="B1004" s="125"/>
      <c r="C1004" s="125"/>
      <c r="D1004" s="125"/>
      <c r="E1004" s="125"/>
    </row>
    <row r="1005">
      <c r="A1005" s="125"/>
      <c r="B1005" s="125"/>
      <c r="C1005" s="125"/>
      <c r="D1005" s="125"/>
      <c r="E1005" s="125"/>
    </row>
    <row r="1006">
      <c r="A1006" s="125"/>
      <c r="B1006" s="125"/>
      <c r="C1006" s="125"/>
      <c r="D1006" s="125"/>
      <c r="E1006" s="125"/>
    </row>
    <row r="1007">
      <c r="A1007" s="125"/>
      <c r="B1007" s="125"/>
      <c r="C1007" s="125"/>
      <c r="D1007" s="125"/>
      <c r="E1007" s="125"/>
    </row>
    <row r="1008">
      <c r="A1008" s="125"/>
      <c r="B1008" s="125"/>
      <c r="C1008" s="125"/>
      <c r="D1008" s="125"/>
      <c r="E1008" s="125"/>
    </row>
    <row r="1009">
      <c r="A1009" s="125"/>
      <c r="B1009" s="125"/>
      <c r="C1009" s="125"/>
      <c r="D1009" s="125"/>
      <c r="E1009" s="125"/>
    </row>
  </sheetData>
  <hyperlinks>
    <hyperlink r:id="rId1" ref="B2"/>
    <hyperlink r:id="rId2" ref="B3"/>
    <hyperlink r:id="rId3" ref="B4"/>
    <hyperlink r:id="rId4" ref="B6"/>
    <hyperlink r:id="rId5" ref="B7"/>
    <hyperlink r:id="rId6" ref="B8"/>
    <hyperlink r:id="rId7" ref="B9"/>
    <hyperlink r:id="rId8" ref="B10"/>
    <hyperlink r:id="rId9" ref="B11"/>
    <hyperlink r:id="rId10" ref="B12"/>
    <hyperlink r:id="rId11" ref="B13"/>
    <hyperlink r:id="rId12" ref="B14"/>
    <hyperlink r:id="rId13" ref="B16"/>
    <hyperlink r:id="rId14" ref="B17"/>
    <hyperlink r:id="rId15" ref="B18"/>
    <hyperlink r:id="rId16" ref="B19"/>
    <hyperlink r:id="rId17" ref="B20"/>
    <hyperlink r:id="rId18" ref="B22"/>
    <hyperlink r:id="rId19" ref="B23"/>
    <hyperlink r:id="rId20" ref="B24"/>
    <hyperlink r:id="rId21" ref="B26"/>
    <hyperlink r:id="rId22" ref="B27"/>
    <hyperlink r:id="rId23" ref="B28"/>
    <hyperlink r:id="rId24" ref="B29"/>
    <hyperlink r:id="rId25" ref="B30"/>
    <hyperlink r:id="rId26" ref="B31"/>
    <hyperlink r:id="rId27" ref="B32"/>
    <hyperlink r:id="rId28" ref="B33"/>
    <hyperlink r:id="rId29" ref="B34"/>
    <hyperlink r:id="rId30" ref="B35"/>
    <hyperlink r:id="rId31" ref="B37"/>
    <hyperlink r:id="rId32" ref="B38"/>
  </hyperlinks>
  <drawing r:id="rId3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13" width="31.63"/>
  </cols>
  <sheetData>
    <row r="1">
      <c r="A1" s="943" t="str">
        <f>IFERROR(__xludf.DUMMYFUNCTION("LET(
  dates, 'JOURNAL- NUM'!A2:A1017,
  pt, 'JOURNAL- NUM'!V2:V1017,
  uniqDates, UNIQUE(FILTER(dates, dates&lt;&gt;"""")),
  dayPT,
  MAP(
    uniqDates,
    LAMBDA(d,
      ROUND(SUMIFS(pt, dates, d), 0)
    )
  ),
  eqCurve,
  SCAN(
    0,
    dayPT,
   "&amp;" LAMBDA(a,b, ROUND(a + b, 0))
  ),
  VSTACK(
    {""Date"",""Day P/L"",""Equity Curve""},
    HSTACK(uniqDates, dayPT, eqCurve)
  )
)
"),"Date")</f>
        <v>Date</v>
      </c>
      <c r="B1" s="943" t="str">
        <f>IFERROR(__xludf.DUMMYFUNCTION("""COMPUTED_VALUE"""),"Day P/L")</f>
        <v>Day P/L</v>
      </c>
      <c r="C1" s="943" t="str">
        <f>IFERROR(__xludf.DUMMYFUNCTION("""COMPUTED_VALUE"""),"Equity Curve")</f>
        <v>Equity Curve</v>
      </c>
    </row>
    <row r="2">
      <c r="A2" s="945">
        <f>IFERROR(__xludf.DUMMYFUNCTION("""COMPUTED_VALUE"""),46023.0)</f>
        <v>46023</v>
      </c>
      <c r="B2" s="943">
        <f>IFERROR(__xludf.DUMMYFUNCTION("""COMPUTED_VALUE"""),-387.0)</f>
        <v>-387</v>
      </c>
      <c r="C2" s="943">
        <f>IFERROR(__xludf.DUMMYFUNCTION("""COMPUTED_VALUE"""),-387.0)</f>
        <v>-387</v>
      </c>
    </row>
    <row r="3">
      <c r="A3" s="945">
        <f>IFERROR(__xludf.DUMMYFUNCTION("""COMPUTED_VALUE"""),46024.0)</f>
        <v>46024</v>
      </c>
      <c r="B3" s="943">
        <f>IFERROR(__xludf.DUMMYFUNCTION("""COMPUTED_VALUE"""),1375.0)</f>
        <v>1375</v>
      </c>
      <c r="C3" s="943">
        <f>IFERROR(__xludf.DUMMYFUNCTION("""COMPUTED_VALUE"""),988.0)</f>
        <v>988</v>
      </c>
      <c r="D3" s="46" t="s">
        <v>5147</v>
      </c>
    </row>
    <row r="4">
      <c r="A4" s="945">
        <f>IFERROR(__xludf.DUMMYFUNCTION("""COMPUTED_VALUE"""),46027.0)</f>
        <v>46027</v>
      </c>
      <c r="B4" s="943">
        <f>IFERROR(__xludf.DUMMYFUNCTION("""COMPUTED_VALUE"""),-249.0)</f>
        <v>-249</v>
      </c>
      <c r="C4" s="943">
        <f>IFERROR(__xludf.DUMMYFUNCTION("""COMPUTED_VALUE"""),739.0)</f>
        <v>739</v>
      </c>
      <c r="D4" s="46" t="s">
        <v>5147</v>
      </c>
    </row>
    <row r="5">
      <c r="A5" s="945">
        <f>IFERROR(__xludf.DUMMYFUNCTION("""COMPUTED_VALUE"""),46028.0)</f>
        <v>46028</v>
      </c>
      <c r="B5" s="943">
        <f>IFERROR(__xludf.DUMMYFUNCTION("""COMPUTED_VALUE"""),-2286.0)</f>
        <v>-2286</v>
      </c>
      <c r="C5" s="943">
        <f>IFERROR(__xludf.DUMMYFUNCTION("""COMPUTED_VALUE"""),-1547.0)</f>
        <v>-1547</v>
      </c>
      <c r="D5" s="46" t="s">
        <v>5148</v>
      </c>
    </row>
    <row r="6">
      <c r="A6" s="945">
        <f>IFERROR(__xludf.DUMMYFUNCTION("""COMPUTED_VALUE"""),46029.0)</f>
        <v>46029</v>
      </c>
      <c r="B6" s="943">
        <f>IFERROR(__xludf.DUMMYFUNCTION("""COMPUTED_VALUE"""),-3152.0)</f>
        <v>-3152</v>
      </c>
      <c r="C6" s="943">
        <f>IFERROR(__xludf.DUMMYFUNCTION("""COMPUTED_VALUE"""),-4699.0)</f>
        <v>-4699</v>
      </c>
      <c r="D6" s="46" t="s">
        <v>5147</v>
      </c>
    </row>
    <row r="7">
      <c r="A7" s="945">
        <f>IFERROR(__xludf.DUMMYFUNCTION("""COMPUTED_VALUE"""),46030.0)</f>
        <v>46030</v>
      </c>
      <c r="B7" s="943">
        <f>IFERROR(__xludf.DUMMYFUNCTION("""COMPUTED_VALUE"""),4927.0)</f>
        <v>4927</v>
      </c>
      <c r="C7" s="943">
        <f>IFERROR(__xludf.DUMMYFUNCTION("""COMPUTED_VALUE"""),228.0)</f>
        <v>228</v>
      </c>
      <c r="D7" s="46" t="s">
        <v>5147</v>
      </c>
    </row>
    <row r="8">
      <c r="A8" s="945">
        <f>IFERROR(__xludf.DUMMYFUNCTION("""COMPUTED_VALUE"""),46031.0)</f>
        <v>46031</v>
      </c>
      <c r="B8" s="943">
        <f>IFERROR(__xludf.DUMMYFUNCTION("""COMPUTED_VALUE"""),15.0)</f>
        <v>15</v>
      </c>
      <c r="C8" s="943">
        <f>IFERROR(__xludf.DUMMYFUNCTION("""COMPUTED_VALUE"""),243.0)</f>
        <v>243</v>
      </c>
      <c r="D8" s="46" t="s">
        <v>5147</v>
      </c>
    </row>
    <row r="9">
      <c r="A9" s="945">
        <f>IFERROR(__xludf.DUMMYFUNCTION("""COMPUTED_VALUE"""),46034.0)</f>
        <v>46034</v>
      </c>
      <c r="B9" s="943">
        <f>IFERROR(__xludf.DUMMYFUNCTION("""COMPUTED_VALUE"""),1968.0)</f>
        <v>1968</v>
      </c>
      <c r="C9" s="943">
        <f>IFERROR(__xludf.DUMMYFUNCTION("""COMPUTED_VALUE"""),2211.0)</f>
        <v>2211</v>
      </c>
      <c r="D9" s="46" t="s">
        <v>5147</v>
      </c>
    </row>
    <row r="10">
      <c r="A10" s="945">
        <f>IFERROR(__xludf.DUMMYFUNCTION("""COMPUTED_VALUE"""),46035.0)</f>
        <v>46035</v>
      </c>
      <c r="B10" s="943">
        <f>IFERROR(__xludf.DUMMYFUNCTION("""COMPUTED_VALUE"""),1490.0)</f>
        <v>1490</v>
      </c>
      <c r="C10" s="943">
        <f>IFERROR(__xludf.DUMMYFUNCTION("""COMPUTED_VALUE"""),3701.0)</f>
        <v>3701</v>
      </c>
      <c r="D10" s="46" t="s">
        <v>5147</v>
      </c>
    </row>
    <row r="11">
      <c r="A11" s="945">
        <f>IFERROR(__xludf.DUMMYFUNCTION("""COMPUTED_VALUE"""),46036.0)</f>
        <v>46036</v>
      </c>
      <c r="B11" s="943">
        <f>IFERROR(__xludf.DUMMYFUNCTION("""COMPUTED_VALUE"""),6101.0)</f>
        <v>6101</v>
      </c>
      <c r="C11" s="943">
        <f>IFERROR(__xludf.DUMMYFUNCTION("""COMPUTED_VALUE"""),9802.0)</f>
        <v>9802</v>
      </c>
      <c r="D11" s="46" t="s">
        <v>5147</v>
      </c>
    </row>
    <row r="12">
      <c r="A12" s="945">
        <f>IFERROR(__xludf.DUMMYFUNCTION("""COMPUTED_VALUE"""),46038.0)</f>
        <v>46038</v>
      </c>
      <c r="B12" s="943">
        <f>IFERROR(__xludf.DUMMYFUNCTION("""COMPUTED_VALUE"""),4326.0)</f>
        <v>4326</v>
      </c>
      <c r="C12" s="943">
        <f>IFERROR(__xludf.DUMMYFUNCTION("""COMPUTED_VALUE"""),14128.0)</f>
        <v>14128</v>
      </c>
      <c r="D12" s="46"/>
    </row>
    <row r="13">
      <c r="A13" s="945">
        <f>IFERROR(__xludf.DUMMYFUNCTION("""COMPUTED_VALUE"""),46041.0)</f>
        <v>46041</v>
      </c>
      <c r="B13" s="943">
        <f>IFERROR(__xludf.DUMMYFUNCTION("""COMPUTED_VALUE"""),-8595.0)</f>
        <v>-8595</v>
      </c>
      <c r="C13" s="943">
        <f>IFERROR(__xludf.DUMMYFUNCTION("""COMPUTED_VALUE"""),5533.0)</f>
        <v>5533</v>
      </c>
      <c r="D13" s="46"/>
    </row>
    <row r="14">
      <c r="A14" s="945">
        <f>IFERROR(__xludf.DUMMYFUNCTION("""COMPUTED_VALUE"""),46042.0)</f>
        <v>46042</v>
      </c>
      <c r="B14" s="943">
        <f>IFERROR(__xludf.DUMMYFUNCTION("""COMPUTED_VALUE"""),-667.0)</f>
        <v>-667</v>
      </c>
      <c r="C14" s="943">
        <f>IFERROR(__xludf.DUMMYFUNCTION("""COMPUTED_VALUE"""),4866.0)</f>
        <v>4866</v>
      </c>
      <c r="D14" s="46"/>
    </row>
    <row r="15">
      <c r="A15" s="945">
        <f>IFERROR(__xludf.DUMMYFUNCTION("""COMPUTED_VALUE"""),46043.0)</f>
        <v>46043</v>
      </c>
      <c r="B15" s="943">
        <f>IFERROR(__xludf.DUMMYFUNCTION("""COMPUTED_VALUE"""),-1317.0)</f>
        <v>-1317</v>
      </c>
      <c r="C15" s="943">
        <f>IFERROR(__xludf.DUMMYFUNCTION("""COMPUTED_VALUE"""),3549.0)</f>
        <v>3549</v>
      </c>
      <c r="D15" s="46"/>
    </row>
    <row r="16">
      <c r="A16" s="945">
        <f>IFERROR(__xludf.DUMMYFUNCTION("""COMPUTED_VALUE"""),46044.0)</f>
        <v>46044</v>
      </c>
      <c r="B16" s="943">
        <f>IFERROR(__xludf.DUMMYFUNCTION("""COMPUTED_VALUE"""),2355.0)</f>
        <v>2355</v>
      </c>
      <c r="C16" s="943">
        <f>IFERROR(__xludf.DUMMYFUNCTION("""COMPUTED_VALUE"""),5904.0)</f>
        <v>5904</v>
      </c>
      <c r="D16" s="46"/>
    </row>
    <row r="17">
      <c r="A17" s="945">
        <f>IFERROR(__xludf.DUMMYFUNCTION("""COMPUTED_VALUE"""),46045.0)</f>
        <v>46045</v>
      </c>
      <c r="B17" s="943">
        <f>IFERROR(__xludf.DUMMYFUNCTION("""COMPUTED_VALUE"""),3451.0)</f>
        <v>3451</v>
      </c>
      <c r="C17" s="943">
        <f>IFERROR(__xludf.DUMMYFUNCTION("""COMPUTED_VALUE"""),9355.0)</f>
        <v>9355</v>
      </c>
      <c r="D17" s="46"/>
    </row>
    <row r="18">
      <c r="A18" s="945">
        <f>IFERROR(__xludf.DUMMYFUNCTION("""COMPUTED_VALUE"""),46049.0)</f>
        <v>46049</v>
      </c>
      <c r="B18" s="943">
        <f>IFERROR(__xludf.DUMMYFUNCTION("""COMPUTED_VALUE"""),-3289.0)</f>
        <v>-3289</v>
      </c>
      <c r="C18" s="943">
        <f>IFERROR(__xludf.DUMMYFUNCTION("""COMPUTED_VALUE"""),6066.0)</f>
        <v>6066</v>
      </c>
      <c r="D18" s="46"/>
    </row>
    <row r="19">
      <c r="A19" s="945">
        <f>IFERROR(__xludf.DUMMYFUNCTION("""COMPUTED_VALUE"""),46050.0)</f>
        <v>46050</v>
      </c>
      <c r="B19" s="943">
        <f>IFERROR(__xludf.DUMMYFUNCTION("""COMPUTED_VALUE"""),-444.0)</f>
        <v>-444</v>
      </c>
      <c r="C19" s="943">
        <f>IFERROR(__xludf.DUMMYFUNCTION("""COMPUTED_VALUE"""),5622.0)</f>
        <v>5622</v>
      </c>
      <c r="D19" s="46"/>
    </row>
    <row r="20">
      <c r="A20" s="945">
        <f>IFERROR(__xludf.DUMMYFUNCTION("""COMPUTED_VALUE"""),46051.0)</f>
        <v>46051</v>
      </c>
      <c r="B20" s="943">
        <f>IFERROR(__xludf.DUMMYFUNCTION("""COMPUTED_VALUE"""),-711.0)</f>
        <v>-711</v>
      </c>
      <c r="C20" s="943">
        <f>IFERROR(__xludf.DUMMYFUNCTION("""COMPUTED_VALUE"""),4911.0)</f>
        <v>4911</v>
      </c>
      <c r="D20" s="46"/>
    </row>
    <row r="21">
      <c r="A21" s="945">
        <f>IFERROR(__xludf.DUMMYFUNCTION("""COMPUTED_VALUE"""),46052.0)</f>
        <v>46052</v>
      </c>
      <c r="B21" s="943">
        <f>IFERROR(__xludf.DUMMYFUNCTION("""COMPUTED_VALUE"""),2284.0)</f>
        <v>2284</v>
      </c>
      <c r="C21" s="943">
        <f>IFERROR(__xludf.DUMMYFUNCTION("""COMPUTED_VALUE"""),7195.0)</f>
        <v>7195</v>
      </c>
      <c r="D21" s="46"/>
    </row>
    <row r="22">
      <c r="A22" s="945">
        <f>IFERROR(__xludf.DUMMYFUNCTION("""COMPUTED_VALUE"""),46055.0)</f>
        <v>46055</v>
      </c>
      <c r="B22" s="943">
        <f>IFERROR(__xludf.DUMMYFUNCTION("""COMPUTED_VALUE"""),-789.0)</f>
        <v>-789</v>
      </c>
      <c r="C22" s="943">
        <f>IFERROR(__xludf.DUMMYFUNCTION("""COMPUTED_VALUE"""),6406.0)</f>
        <v>6406</v>
      </c>
      <c r="D22" s="46"/>
    </row>
    <row r="23">
      <c r="A23" s="945">
        <f>IFERROR(__xludf.DUMMYFUNCTION("""COMPUTED_VALUE"""),46056.0)</f>
        <v>46056</v>
      </c>
      <c r="B23" s="943">
        <f>IFERROR(__xludf.DUMMYFUNCTION("""COMPUTED_VALUE"""),1806.0)</f>
        <v>1806</v>
      </c>
      <c r="C23" s="943">
        <f>IFERROR(__xludf.DUMMYFUNCTION("""COMPUTED_VALUE"""),8212.0)</f>
        <v>8212</v>
      </c>
      <c r="D23" s="46"/>
    </row>
    <row r="24">
      <c r="A24" s="945">
        <f>IFERROR(__xludf.DUMMYFUNCTION("""COMPUTED_VALUE"""),46057.0)</f>
        <v>46057</v>
      </c>
      <c r="B24" s="943">
        <f>IFERROR(__xludf.DUMMYFUNCTION("""COMPUTED_VALUE"""),1432.0)</f>
        <v>1432</v>
      </c>
      <c r="C24" s="943">
        <f>IFERROR(__xludf.DUMMYFUNCTION("""COMPUTED_VALUE"""),9644.0)</f>
        <v>9644</v>
      </c>
      <c r="D24" s="46"/>
    </row>
    <row r="25">
      <c r="A25" s="945">
        <f>IFERROR(__xludf.DUMMYFUNCTION("""COMPUTED_VALUE"""),46058.0)</f>
        <v>46058</v>
      </c>
      <c r="B25" s="943">
        <f>IFERROR(__xludf.DUMMYFUNCTION("""COMPUTED_VALUE"""),-1125.0)</f>
        <v>-1125</v>
      </c>
      <c r="C25" s="943">
        <f>IFERROR(__xludf.DUMMYFUNCTION("""COMPUTED_VALUE"""),8519.0)</f>
        <v>8519</v>
      </c>
      <c r="D25" s="46"/>
    </row>
    <row r="26">
      <c r="A26" s="945">
        <f>IFERROR(__xludf.DUMMYFUNCTION("""COMPUTED_VALUE"""),46059.0)</f>
        <v>46059</v>
      </c>
      <c r="B26" s="943">
        <f>IFERROR(__xludf.DUMMYFUNCTION("""COMPUTED_VALUE"""),-2189.0)</f>
        <v>-2189</v>
      </c>
      <c r="C26" s="943">
        <f>IFERROR(__xludf.DUMMYFUNCTION("""COMPUTED_VALUE"""),6330.0)</f>
        <v>6330</v>
      </c>
      <c r="D26" s="46"/>
    </row>
    <row r="27">
      <c r="D27" s="46"/>
    </row>
    <row r="28">
      <c r="D28" s="46" t="s">
        <v>5147</v>
      </c>
    </row>
    <row r="29">
      <c r="D29" s="46" t="s">
        <v>5147</v>
      </c>
    </row>
    <row r="30">
      <c r="D30" s="46" t="s">
        <v>5147</v>
      </c>
    </row>
    <row r="31">
      <c r="D31" s="46" t="s">
        <v>5147</v>
      </c>
    </row>
    <row r="32">
      <c r="D32" s="46" t="s">
        <v>5147</v>
      </c>
    </row>
    <row r="33">
      <c r="D33" s="46" t="s">
        <v>5147</v>
      </c>
      <c r="H33" s="33"/>
      <c r="I33" s="33"/>
      <c r="J33" s="33"/>
      <c r="K33" s="33"/>
      <c r="L33" s="33"/>
    </row>
    <row r="34">
      <c r="D34" s="46" t="s">
        <v>5147</v>
      </c>
      <c r="H34" s="33"/>
      <c r="I34" s="33"/>
      <c r="J34" s="33"/>
      <c r="K34" s="33"/>
      <c r="L34" s="33"/>
    </row>
    <row r="35">
      <c r="D35" s="46" t="s">
        <v>5147</v>
      </c>
      <c r="H35" s="33"/>
      <c r="I35" s="33"/>
      <c r="J35" s="33"/>
      <c r="K35" s="33"/>
      <c r="L35" s="33"/>
    </row>
    <row r="36">
      <c r="D36" s="46" t="s">
        <v>5147</v>
      </c>
      <c r="H36" s="33"/>
      <c r="I36" s="33"/>
      <c r="J36" s="33"/>
      <c r="K36" s="33"/>
      <c r="L36" s="33"/>
    </row>
    <row r="37">
      <c r="H37" s="33"/>
      <c r="I37" s="33"/>
      <c r="J37" s="33"/>
      <c r="K37" s="33"/>
      <c r="L37" s="33"/>
    </row>
    <row r="38">
      <c r="H38" s="33"/>
      <c r="I38" s="33"/>
      <c r="J38" s="33"/>
      <c r="K38" s="33"/>
      <c r="L38" s="33"/>
    </row>
    <row r="39">
      <c r="H39" s="33"/>
      <c r="I39" s="33"/>
      <c r="J39" s="33"/>
      <c r="K39" s="33"/>
      <c r="L39" s="33"/>
    </row>
    <row r="40">
      <c r="H40" s="33"/>
      <c r="I40" s="33"/>
      <c r="J40" s="33"/>
      <c r="K40" s="33"/>
      <c r="L40" s="33"/>
    </row>
    <row r="41">
      <c r="H41" s="33"/>
      <c r="I41" s="33"/>
      <c r="J41" s="33"/>
      <c r="K41" s="33"/>
      <c r="L41" s="33"/>
    </row>
    <row r="42">
      <c r="H42" s="33"/>
      <c r="I42" s="33"/>
      <c r="J42" s="33"/>
      <c r="K42" s="33"/>
      <c r="L42" s="33"/>
    </row>
    <row r="43">
      <c r="H43" s="33"/>
      <c r="I43" s="33"/>
      <c r="J43" s="33"/>
      <c r="K43" s="33"/>
      <c r="L43" s="33"/>
    </row>
    <row r="44">
      <c r="H44" s="33"/>
      <c r="I44" s="33"/>
      <c r="J44" s="33"/>
      <c r="K44" s="33"/>
      <c r="L44" s="33"/>
    </row>
    <row r="45">
      <c r="H45" s="33"/>
      <c r="I45" s="33"/>
      <c r="J45" s="33"/>
      <c r="K45" s="33"/>
      <c r="L45" s="33"/>
    </row>
    <row r="46">
      <c r="H46" s="33"/>
      <c r="I46" s="33"/>
      <c r="J46" s="33"/>
      <c r="K46" s="33"/>
      <c r="L46" s="33"/>
    </row>
    <row r="47">
      <c r="H47" s="33"/>
      <c r="I47" s="33"/>
      <c r="J47" s="33"/>
      <c r="K47" s="33"/>
      <c r="L47" s="33"/>
    </row>
    <row r="48">
      <c r="H48" s="33"/>
      <c r="I48" s="33"/>
      <c r="J48" s="33"/>
      <c r="K48" s="33"/>
      <c r="L48" s="33"/>
    </row>
    <row r="49">
      <c r="H49" s="33"/>
      <c r="I49" s="33"/>
      <c r="J49" s="33"/>
      <c r="K49" s="33"/>
      <c r="L49" s="33"/>
    </row>
    <row r="50">
      <c r="H50" s="33"/>
      <c r="I50" s="33"/>
      <c r="J50" s="33"/>
      <c r="K50" s="33"/>
      <c r="L50" s="33"/>
    </row>
    <row r="51">
      <c r="H51" s="33"/>
      <c r="I51" s="33"/>
      <c r="J51" s="33"/>
      <c r="K51" s="33"/>
      <c r="L51" s="33"/>
    </row>
    <row r="52">
      <c r="H52" s="33"/>
      <c r="I52" s="33"/>
      <c r="J52" s="33"/>
      <c r="K52" s="33"/>
      <c r="L52" s="33"/>
    </row>
    <row r="53">
      <c r="H53" s="33"/>
      <c r="I53" s="33"/>
      <c r="J53" s="33"/>
      <c r="K53" s="33"/>
      <c r="L53" s="33"/>
    </row>
    <row r="54">
      <c r="H54" s="33"/>
      <c r="I54" s="33"/>
      <c r="J54" s="33"/>
      <c r="K54" s="33"/>
      <c r="L54" s="33"/>
    </row>
    <row r="55">
      <c r="H55" s="33"/>
      <c r="I55" s="33"/>
      <c r="J55" s="33"/>
      <c r="K55" s="33"/>
      <c r="L55" s="33"/>
    </row>
    <row r="56">
      <c r="H56" s="33"/>
      <c r="I56" s="33"/>
      <c r="J56" s="33"/>
      <c r="K56" s="33"/>
      <c r="L56" s="33"/>
    </row>
    <row r="57">
      <c r="H57" s="33"/>
      <c r="I57" s="33"/>
      <c r="J57" s="33"/>
      <c r="K57" s="33"/>
      <c r="L57" s="33"/>
    </row>
    <row r="58">
      <c r="H58" s="33"/>
      <c r="I58" s="33"/>
      <c r="J58" s="33"/>
      <c r="K58" s="33"/>
      <c r="L58" s="33"/>
    </row>
    <row r="59">
      <c r="H59" s="33"/>
      <c r="I59" s="33"/>
      <c r="J59" s="33"/>
      <c r="K59" s="33"/>
      <c r="L59" s="33"/>
    </row>
    <row r="60">
      <c r="H60" s="33"/>
      <c r="I60" s="33"/>
      <c r="J60" s="33"/>
      <c r="K60" s="33"/>
      <c r="L60" s="33"/>
    </row>
    <row r="61">
      <c r="H61" s="33"/>
      <c r="I61" s="33"/>
      <c r="J61" s="33"/>
      <c r="K61" s="33"/>
      <c r="L61" s="33"/>
    </row>
    <row r="62">
      <c r="H62" s="33"/>
      <c r="I62" s="33"/>
      <c r="J62" s="33"/>
      <c r="K62" s="33"/>
      <c r="L62" s="33"/>
    </row>
    <row r="63">
      <c r="H63" s="33"/>
      <c r="I63" s="33"/>
      <c r="J63" s="33"/>
      <c r="K63" s="33"/>
      <c r="L63" s="33"/>
    </row>
    <row r="64">
      <c r="H64" s="33"/>
      <c r="I64" s="33"/>
      <c r="J64" s="33"/>
      <c r="K64" s="33"/>
      <c r="L64" s="33"/>
    </row>
    <row r="65">
      <c r="H65" s="33"/>
      <c r="I65" s="33"/>
      <c r="J65" s="33"/>
      <c r="K65" s="33"/>
      <c r="L65" s="33"/>
    </row>
    <row r="66">
      <c r="H66" s="33"/>
      <c r="I66" s="33"/>
      <c r="J66" s="33"/>
      <c r="K66" s="33"/>
      <c r="L66" s="33"/>
    </row>
    <row r="67">
      <c r="H67" s="33"/>
      <c r="I67" s="33"/>
      <c r="J67" s="33"/>
      <c r="K67" s="33"/>
      <c r="L67" s="33"/>
    </row>
    <row r="68">
      <c r="H68" s="33"/>
      <c r="I68" s="33"/>
      <c r="J68" s="33"/>
      <c r="K68" s="33"/>
      <c r="L68" s="33"/>
    </row>
    <row r="69">
      <c r="H69" s="33"/>
      <c r="I69" s="33"/>
      <c r="J69" s="33"/>
      <c r="K69" s="33"/>
      <c r="L69" s="33"/>
    </row>
    <row r="70">
      <c r="H70" s="33"/>
      <c r="I70" s="33"/>
      <c r="J70" s="33"/>
      <c r="K70" s="33"/>
      <c r="L70" s="33"/>
    </row>
    <row r="71">
      <c r="H71" s="33"/>
      <c r="I71" s="33"/>
      <c r="J71" s="33"/>
      <c r="K71" s="33"/>
      <c r="L71" s="33"/>
    </row>
    <row r="72">
      <c r="H72" s="33"/>
      <c r="I72" s="33"/>
      <c r="J72" s="33"/>
      <c r="K72" s="33"/>
      <c r="L72" s="33"/>
    </row>
    <row r="73">
      <c r="H73" s="33"/>
      <c r="I73" s="33"/>
      <c r="J73" s="33"/>
      <c r="K73" s="33"/>
      <c r="L73" s="33"/>
    </row>
    <row r="74">
      <c r="H74" s="33"/>
      <c r="I74" s="33"/>
      <c r="J74" s="33"/>
      <c r="K74" s="33"/>
      <c r="L74" s="33"/>
    </row>
    <row r="75">
      <c r="H75" s="33"/>
      <c r="I75" s="33"/>
      <c r="J75" s="33"/>
      <c r="K75" s="33"/>
      <c r="L75" s="33"/>
    </row>
    <row r="76">
      <c r="H76" s="33"/>
      <c r="I76" s="33"/>
      <c r="J76" s="33"/>
      <c r="K76" s="33"/>
      <c r="L76" s="33"/>
    </row>
    <row r="77">
      <c r="H77" s="33"/>
      <c r="I77" s="33"/>
      <c r="J77" s="33"/>
      <c r="K77" s="33"/>
      <c r="L77" s="33"/>
    </row>
    <row r="78">
      <c r="H78" s="33"/>
      <c r="I78" s="33"/>
      <c r="J78" s="33"/>
      <c r="K78" s="33"/>
      <c r="L78" s="33"/>
    </row>
    <row r="79">
      <c r="H79" s="33"/>
      <c r="I79" s="33"/>
      <c r="J79" s="33"/>
      <c r="K79" s="33"/>
      <c r="L79" s="33"/>
    </row>
    <row r="80">
      <c r="H80" s="33"/>
      <c r="I80" s="33"/>
      <c r="J80" s="33"/>
      <c r="K80" s="33"/>
      <c r="L80" s="33"/>
    </row>
    <row r="81">
      <c r="H81" s="33"/>
      <c r="I81" s="33"/>
      <c r="J81" s="33"/>
      <c r="K81" s="33"/>
      <c r="L81" s="33"/>
    </row>
    <row r="82">
      <c r="H82" s="33"/>
      <c r="I82" s="33"/>
      <c r="J82" s="33"/>
      <c r="K82" s="33"/>
      <c r="L82" s="33"/>
    </row>
    <row r="83">
      <c r="H83" s="33"/>
      <c r="I83" s="33"/>
      <c r="J83" s="33"/>
      <c r="K83" s="33"/>
      <c r="L83" s="33"/>
    </row>
    <row r="84">
      <c r="H84" s="33"/>
      <c r="I84" s="33"/>
      <c r="J84" s="33"/>
      <c r="K84" s="33"/>
      <c r="L84" s="33"/>
    </row>
    <row r="85">
      <c r="H85" s="33"/>
      <c r="I85" s="33"/>
      <c r="J85" s="33"/>
      <c r="K85" s="33"/>
      <c r="L85" s="33"/>
    </row>
    <row r="86">
      <c r="H86" s="33"/>
      <c r="I86" s="33"/>
      <c r="J86" s="33"/>
      <c r="K86" s="33"/>
      <c r="L86" s="33"/>
    </row>
    <row r="87">
      <c r="H87" s="33"/>
      <c r="I87" s="33"/>
      <c r="J87" s="33"/>
      <c r="K87" s="33"/>
      <c r="L87" s="33"/>
    </row>
    <row r="88">
      <c r="H88" s="33"/>
      <c r="I88" s="33"/>
      <c r="J88" s="33"/>
      <c r="K88" s="33"/>
      <c r="L88" s="33"/>
    </row>
    <row r="89">
      <c r="H89" s="33"/>
      <c r="I89" s="33"/>
      <c r="J89" s="33"/>
      <c r="K89" s="33"/>
      <c r="L89" s="33"/>
    </row>
    <row r="90">
      <c r="H90" s="33"/>
      <c r="I90" s="33"/>
      <c r="J90" s="33"/>
      <c r="K90" s="33"/>
      <c r="L90" s="33"/>
    </row>
    <row r="91">
      <c r="H91" s="33"/>
      <c r="I91" s="33"/>
      <c r="J91" s="33"/>
      <c r="K91" s="33"/>
      <c r="L91" s="33"/>
    </row>
    <row r="92">
      <c r="H92" s="33"/>
      <c r="I92" s="33"/>
      <c r="J92" s="33"/>
      <c r="K92" s="33"/>
      <c r="L92" s="33"/>
    </row>
    <row r="93">
      <c r="H93" s="33"/>
      <c r="I93" s="33"/>
      <c r="J93" s="33"/>
      <c r="K93" s="33"/>
      <c r="L93" s="33"/>
    </row>
    <row r="94">
      <c r="H94" s="33"/>
      <c r="I94" s="33"/>
      <c r="J94" s="33"/>
      <c r="K94" s="33"/>
      <c r="L94" s="33"/>
    </row>
    <row r="95">
      <c r="H95" s="33"/>
      <c r="I95" s="33"/>
      <c r="J95" s="33"/>
      <c r="K95" s="33"/>
      <c r="L95" s="33"/>
    </row>
    <row r="96">
      <c r="H96" s="33"/>
      <c r="I96" s="33"/>
      <c r="J96" s="33"/>
      <c r="K96" s="33"/>
      <c r="L96" s="33"/>
    </row>
    <row r="97">
      <c r="H97" s="33"/>
      <c r="I97" s="33"/>
      <c r="J97" s="33"/>
      <c r="K97" s="33"/>
      <c r="L97" s="33"/>
    </row>
    <row r="98">
      <c r="H98" s="33"/>
      <c r="I98" s="33"/>
      <c r="J98" s="33"/>
      <c r="K98" s="33"/>
      <c r="L98" s="33"/>
    </row>
    <row r="99">
      <c r="H99" s="33"/>
      <c r="I99" s="33"/>
      <c r="J99" s="33"/>
      <c r="K99" s="33"/>
      <c r="L99" s="33"/>
    </row>
    <row r="100">
      <c r="H100" s="33"/>
      <c r="I100" s="33"/>
      <c r="J100" s="33"/>
      <c r="K100" s="33"/>
      <c r="L100" s="33"/>
    </row>
    <row r="101">
      <c r="H101" s="33"/>
      <c r="I101" s="33"/>
      <c r="J101" s="33"/>
      <c r="K101" s="33"/>
      <c r="L101" s="33"/>
    </row>
    <row r="102">
      <c r="H102" s="33"/>
      <c r="I102" s="33"/>
      <c r="J102" s="33"/>
      <c r="K102" s="33"/>
      <c r="L102" s="33"/>
    </row>
    <row r="103">
      <c r="H103" s="33"/>
      <c r="I103" s="33"/>
      <c r="J103" s="33"/>
      <c r="K103" s="33"/>
      <c r="L103" s="33"/>
    </row>
    <row r="104">
      <c r="H104" s="33"/>
      <c r="I104" s="33"/>
      <c r="J104" s="33"/>
      <c r="K104" s="33"/>
      <c r="L104" s="33"/>
    </row>
    <row r="105">
      <c r="H105" s="33"/>
      <c r="I105" s="33"/>
      <c r="J105" s="33"/>
      <c r="K105" s="33"/>
      <c r="L105" s="33"/>
    </row>
    <row r="106">
      <c r="H106" s="33"/>
      <c r="I106" s="33"/>
      <c r="J106" s="33"/>
      <c r="K106" s="33"/>
      <c r="L106" s="33"/>
    </row>
    <row r="107">
      <c r="H107" s="33"/>
      <c r="I107" s="33"/>
      <c r="J107" s="33"/>
      <c r="K107" s="33"/>
      <c r="L107" s="33"/>
    </row>
    <row r="108">
      <c r="H108" s="33"/>
      <c r="I108" s="33"/>
      <c r="J108" s="33"/>
      <c r="K108" s="33"/>
      <c r="L108" s="33"/>
    </row>
    <row r="109">
      <c r="H109" s="33"/>
      <c r="I109" s="33"/>
      <c r="J109" s="33"/>
      <c r="K109" s="33"/>
      <c r="L109" s="33"/>
    </row>
    <row r="110">
      <c r="H110" s="33"/>
      <c r="I110" s="33"/>
      <c r="J110" s="33"/>
      <c r="K110" s="33"/>
      <c r="L110" s="33"/>
    </row>
    <row r="111">
      <c r="H111" s="33"/>
      <c r="I111" s="33"/>
      <c r="J111" s="33"/>
      <c r="K111" s="33"/>
      <c r="L111" s="33"/>
    </row>
    <row r="112">
      <c r="H112" s="33"/>
      <c r="I112" s="33"/>
      <c r="J112" s="33"/>
      <c r="K112" s="33"/>
      <c r="L112" s="33"/>
    </row>
    <row r="113">
      <c r="H113" s="33"/>
      <c r="I113" s="33"/>
      <c r="J113" s="33"/>
      <c r="K113" s="33"/>
      <c r="L113" s="33"/>
    </row>
    <row r="114">
      <c r="H114" s="33"/>
      <c r="I114" s="33"/>
      <c r="J114" s="33"/>
      <c r="K114" s="33"/>
      <c r="L114" s="33"/>
    </row>
    <row r="115">
      <c r="H115" s="33"/>
      <c r="I115" s="33"/>
      <c r="J115" s="33"/>
      <c r="K115" s="33"/>
      <c r="L115" s="33"/>
    </row>
    <row r="116">
      <c r="H116" s="33"/>
      <c r="I116" s="33"/>
      <c r="J116" s="33"/>
      <c r="K116" s="33"/>
      <c r="L116" s="33"/>
    </row>
    <row r="117">
      <c r="H117" s="33"/>
      <c r="I117" s="33"/>
      <c r="J117" s="33"/>
      <c r="K117" s="33"/>
      <c r="L117" s="33"/>
    </row>
    <row r="118">
      <c r="H118" s="33"/>
      <c r="I118" s="33"/>
      <c r="J118" s="33"/>
      <c r="K118" s="33"/>
      <c r="L118" s="33"/>
    </row>
    <row r="119">
      <c r="H119" s="33"/>
      <c r="I119" s="33"/>
      <c r="J119" s="33"/>
      <c r="K119" s="33"/>
      <c r="L119" s="33"/>
    </row>
    <row r="120">
      <c r="H120" s="33"/>
      <c r="I120" s="33"/>
      <c r="J120" s="33"/>
      <c r="K120" s="33"/>
      <c r="L120" s="33"/>
    </row>
    <row r="121">
      <c r="H121" s="33"/>
      <c r="I121" s="33"/>
      <c r="J121" s="33"/>
      <c r="K121" s="33"/>
      <c r="L121" s="33"/>
    </row>
    <row r="122">
      <c r="H122" s="33"/>
      <c r="I122" s="33"/>
      <c r="J122" s="33"/>
      <c r="K122" s="33"/>
      <c r="L122" s="33"/>
    </row>
    <row r="123">
      <c r="H123" s="33"/>
      <c r="I123" s="33"/>
      <c r="J123" s="33"/>
      <c r="K123" s="33"/>
      <c r="L123" s="33"/>
    </row>
    <row r="124">
      <c r="H124" s="33"/>
      <c r="I124" s="33"/>
      <c r="J124" s="33"/>
      <c r="K124" s="33"/>
      <c r="L124" s="33"/>
    </row>
    <row r="125">
      <c r="H125" s="33"/>
      <c r="I125" s="33"/>
      <c r="J125" s="33"/>
      <c r="K125" s="33"/>
      <c r="L125" s="33"/>
    </row>
    <row r="126">
      <c r="H126" s="33"/>
      <c r="I126" s="33"/>
      <c r="J126" s="33"/>
      <c r="K126" s="33"/>
      <c r="L126" s="33"/>
    </row>
    <row r="127">
      <c r="H127" s="33"/>
      <c r="I127" s="33"/>
      <c r="J127" s="33"/>
      <c r="K127" s="33"/>
      <c r="L127" s="33"/>
    </row>
    <row r="128">
      <c r="H128" s="33"/>
      <c r="I128" s="33"/>
      <c r="J128" s="33"/>
      <c r="K128" s="33"/>
      <c r="L128" s="33"/>
    </row>
    <row r="129">
      <c r="H129" s="33"/>
      <c r="I129" s="33"/>
      <c r="J129" s="33"/>
      <c r="K129" s="33"/>
      <c r="L129" s="33"/>
    </row>
    <row r="130">
      <c r="H130" s="33"/>
      <c r="I130" s="33"/>
      <c r="J130" s="33"/>
      <c r="K130" s="33"/>
      <c r="L130" s="33"/>
    </row>
    <row r="131">
      <c r="H131" s="33"/>
      <c r="I131" s="33"/>
      <c r="J131" s="33"/>
      <c r="K131" s="33"/>
      <c r="L131" s="33"/>
    </row>
    <row r="132">
      <c r="H132" s="33"/>
      <c r="I132" s="33"/>
      <c r="J132" s="33"/>
      <c r="K132" s="33"/>
      <c r="L132" s="33"/>
    </row>
    <row r="133">
      <c r="H133" s="33"/>
      <c r="I133" s="33"/>
      <c r="J133" s="33"/>
      <c r="K133" s="33"/>
      <c r="L133" s="33"/>
    </row>
    <row r="134">
      <c r="H134" s="33"/>
      <c r="I134" s="33"/>
      <c r="J134" s="33"/>
      <c r="K134" s="33"/>
      <c r="L134" s="33"/>
    </row>
    <row r="135">
      <c r="H135" s="33"/>
      <c r="I135" s="33"/>
      <c r="J135" s="33"/>
      <c r="K135" s="33"/>
      <c r="L135" s="33"/>
    </row>
    <row r="136">
      <c r="H136" s="33"/>
      <c r="I136" s="33"/>
      <c r="J136" s="33"/>
      <c r="K136" s="33"/>
      <c r="L136" s="33"/>
    </row>
    <row r="137">
      <c r="H137" s="33"/>
      <c r="I137" s="33"/>
      <c r="J137" s="33"/>
      <c r="K137" s="33"/>
      <c r="L137" s="33"/>
    </row>
    <row r="138">
      <c r="H138" s="33"/>
      <c r="I138" s="33"/>
      <c r="J138" s="33"/>
      <c r="K138" s="33"/>
      <c r="L138" s="33"/>
    </row>
    <row r="139">
      <c r="H139" s="33"/>
      <c r="I139" s="33"/>
      <c r="J139" s="33"/>
      <c r="K139" s="33"/>
      <c r="L139" s="33"/>
    </row>
    <row r="140">
      <c r="H140" s="33"/>
      <c r="I140" s="33"/>
      <c r="J140" s="33"/>
      <c r="K140" s="33"/>
      <c r="L140" s="33"/>
    </row>
    <row r="141">
      <c r="H141" s="33"/>
      <c r="I141" s="33"/>
      <c r="J141" s="33"/>
      <c r="K141" s="33"/>
      <c r="L141" s="33"/>
    </row>
    <row r="142">
      <c r="H142" s="33"/>
      <c r="I142" s="33"/>
      <c r="J142" s="33"/>
      <c r="K142" s="33"/>
      <c r="L142" s="33"/>
    </row>
    <row r="143">
      <c r="H143" s="33"/>
      <c r="I143" s="33"/>
      <c r="J143" s="33"/>
      <c r="K143" s="33"/>
      <c r="L143" s="33"/>
    </row>
    <row r="144">
      <c r="H144" s="33"/>
      <c r="I144" s="33"/>
      <c r="J144" s="33"/>
      <c r="K144" s="33"/>
      <c r="L144" s="33"/>
    </row>
    <row r="145">
      <c r="H145" s="33"/>
      <c r="I145" s="33"/>
      <c r="J145" s="33"/>
      <c r="K145" s="33"/>
      <c r="L145" s="33"/>
    </row>
    <row r="146">
      <c r="H146" s="33"/>
      <c r="I146" s="33"/>
      <c r="J146" s="33"/>
      <c r="K146" s="33"/>
      <c r="L146" s="33"/>
    </row>
    <row r="147">
      <c r="H147" s="33"/>
      <c r="I147" s="33"/>
      <c r="J147" s="33"/>
      <c r="K147" s="33"/>
      <c r="L147" s="33"/>
    </row>
    <row r="148">
      <c r="H148" s="33"/>
      <c r="I148" s="33"/>
      <c r="J148" s="33"/>
      <c r="K148" s="33"/>
      <c r="L148" s="33"/>
    </row>
    <row r="149">
      <c r="H149" s="33"/>
      <c r="I149" s="33"/>
      <c r="J149" s="33"/>
      <c r="K149" s="33"/>
      <c r="L149" s="33"/>
    </row>
    <row r="150">
      <c r="H150" s="33"/>
      <c r="I150" s="33"/>
      <c r="J150" s="33"/>
      <c r="K150" s="33"/>
      <c r="L150" s="33"/>
    </row>
    <row r="151">
      <c r="H151" s="33"/>
      <c r="I151" s="33"/>
      <c r="J151" s="33"/>
      <c r="K151" s="33"/>
      <c r="L151" s="33"/>
    </row>
    <row r="152">
      <c r="H152" s="33"/>
      <c r="I152" s="33"/>
      <c r="J152" s="33"/>
      <c r="K152" s="33"/>
      <c r="L152" s="33"/>
    </row>
    <row r="153">
      <c r="H153" s="33"/>
      <c r="I153" s="33"/>
      <c r="J153" s="33"/>
      <c r="K153" s="33"/>
      <c r="L153" s="33"/>
    </row>
    <row r="154">
      <c r="H154" s="33"/>
      <c r="I154" s="33"/>
      <c r="J154" s="33"/>
      <c r="K154" s="33"/>
      <c r="L154" s="33"/>
    </row>
    <row r="155">
      <c r="H155" s="33"/>
      <c r="I155" s="33"/>
      <c r="J155" s="33"/>
      <c r="K155" s="33"/>
      <c r="L155" s="33"/>
    </row>
    <row r="156">
      <c r="H156" s="33"/>
      <c r="I156" s="33"/>
      <c r="J156" s="33"/>
      <c r="K156" s="33"/>
      <c r="L156" s="33"/>
    </row>
    <row r="157">
      <c r="H157" s="33"/>
      <c r="I157" s="33"/>
      <c r="J157" s="33"/>
      <c r="K157" s="33"/>
      <c r="L157" s="33"/>
    </row>
    <row r="158">
      <c r="H158" s="33"/>
      <c r="I158" s="33"/>
      <c r="J158" s="33"/>
      <c r="K158" s="33"/>
      <c r="L158" s="33"/>
    </row>
    <row r="159">
      <c r="H159" s="33"/>
      <c r="I159" s="33"/>
      <c r="J159" s="33"/>
      <c r="K159" s="33"/>
      <c r="L159" s="33"/>
    </row>
    <row r="160">
      <c r="H160" s="33"/>
      <c r="I160" s="33"/>
      <c r="J160" s="33"/>
      <c r="K160" s="33"/>
      <c r="L160" s="33"/>
    </row>
    <row r="161">
      <c r="H161" s="33"/>
      <c r="I161" s="33"/>
      <c r="J161" s="33"/>
      <c r="K161" s="33"/>
      <c r="L161" s="33"/>
    </row>
    <row r="162">
      <c r="H162" s="33"/>
      <c r="I162" s="33"/>
      <c r="J162" s="33"/>
      <c r="K162" s="33"/>
      <c r="L162" s="33"/>
    </row>
    <row r="163">
      <c r="H163" s="33"/>
      <c r="I163" s="33"/>
      <c r="J163" s="33"/>
      <c r="K163" s="33"/>
      <c r="L163" s="33"/>
    </row>
    <row r="164">
      <c r="H164" s="33"/>
      <c r="I164" s="33"/>
      <c r="J164" s="33"/>
      <c r="K164" s="33"/>
      <c r="L164" s="33"/>
    </row>
    <row r="165">
      <c r="H165" s="33"/>
      <c r="I165" s="33"/>
      <c r="J165" s="33"/>
      <c r="K165" s="33"/>
      <c r="L165" s="33"/>
    </row>
    <row r="166">
      <c r="H166" s="33"/>
      <c r="I166" s="33"/>
      <c r="J166" s="33"/>
      <c r="K166" s="33"/>
      <c r="L166" s="33"/>
    </row>
    <row r="167">
      <c r="H167" s="33"/>
      <c r="I167" s="33"/>
      <c r="J167" s="33"/>
      <c r="K167" s="33"/>
      <c r="L167" s="33"/>
    </row>
    <row r="168">
      <c r="H168" s="33"/>
      <c r="I168" s="33"/>
      <c r="J168" s="33"/>
      <c r="K168" s="33"/>
      <c r="L168" s="33"/>
    </row>
    <row r="169">
      <c r="H169" s="33"/>
      <c r="I169" s="33"/>
      <c r="J169" s="33"/>
      <c r="K169" s="33"/>
      <c r="L169" s="33"/>
    </row>
    <row r="170">
      <c r="H170" s="33"/>
      <c r="I170" s="33"/>
      <c r="J170" s="33"/>
      <c r="K170" s="33"/>
      <c r="L170" s="33"/>
    </row>
    <row r="171">
      <c r="H171" s="33"/>
      <c r="I171" s="33"/>
      <c r="J171" s="33"/>
      <c r="K171" s="33"/>
      <c r="L171" s="33"/>
    </row>
    <row r="172">
      <c r="H172" s="33"/>
      <c r="I172" s="33"/>
      <c r="J172" s="33"/>
      <c r="K172" s="33"/>
      <c r="L172" s="33"/>
    </row>
    <row r="173">
      <c r="H173" s="33"/>
      <c r="I173" s="33"/>
      <c r="J173" s="33"/>
      <c r="K173" s="33"/>
      <c r="L173" s="33"/>
    </row>
    <row r="174">
      <c r="H174" s="33"/>
      <c r="I174" s="33"/>
      <c r="J174" s="33"/>
      <c r="K174" s="33"/>
      <c r="L174" s="33"/>
    </row>
    <row r="175">
      <c r="H175" s="33"/>
      <c r="I175" s="33"/>
      <c r="J175" s="33"/>
      <c r="K175" s="33"/>
      <c r="L175" s="33"/>
    </row>
    <row r="176">
      <c r="H176" s="33"/>
      <c r="I176" s="33"/>
      <c r="J176" s="33"/>
      <c r="K176" s="33"/>
      <c r="L176" s="33"/>
    </row>
    <row r="177">
      <c r="H177" s="33"/>
      <c r="I177" s="33"/>
      <c r="J177" s="33"/>
      <c r="K177" s="33"/>
      <c r="L177" s="33"/>
    </row>
    <row r="178">
      <c r="H178" s="33"/>
      <c r="I178" s="33"/>
      <c r="J178" s="33"/>
      <c r="K178" s="33"/>
      <c r="L178" s="33"/>
    </row>
    <row r="179">
      <c r="H179" s="33"/>
      <c r="I179" s="33"/>
      <c r="J179" s="33"/>
      <c r="K179" s="33"/>
      <c r="L179" s="33"/>
    </row>
    <row r="180">
      <c r="H180" s="33"/>
      <c r="I180" s="33"/>
      <c r="J180" s="33"/>
      <c r="K180" s="33"/>
      <c r="L180" s="33"/>
    </row>
    <row r="181">
      <c r="H181" s="33"/>
      <c r="I181" s="33"/>
      <c r="J181" s="33"/>
      <c r="K181" s="33"/>
      <c r="L181" s="33"/>
    </row>
    <row r="182">
      <c r="H182" s="33"/>
      <c r="I182" s="33"/>
      <c r="J182" s="33"/>
      <c r="K182" s="33"/>
      <c r="L182" s="33"/>
    </row>
    <row r="183">
      <c r="H183" s="33"/>
      <c r="I183" s="33"/>
      <c r="J183" s="33"/>
      <c r="K183" s="33"/>
      <c r="L183" s="33"/>
    </row>
    <row r="184">
      <c r="H184" s="33"/>
      <c r="I184" s="33"/>
      <c r="J184" s="33"/>
      <c r="K184" s="33"/>
      <c r="L184" s="33"/>
    </row>
    <row r="185">
      <c r="H185" s="33"/>
      <c r="I185" s="33"/>
      <c r="J185" s="33"/>
      <c r="K185" s="33"/>
      <c r="L185" s="33"/>
    </row>
    <row r="186">
      <c r="H186" s="33"/>
      <c r="I186" s="33"/>
      <c r="J186" s="33"/>
      <c r="K186" s="33"/>
      <c r="L186" s="33"/>
    </row>
    <row r="187">
      <c r="H187" s="33"/>
      <c r="I187" s="33"/>
      <c r="J187" s="33"/>
      <c r="K187" s="33"/>
      <c r="L187" s="33"/>
    </row>
    <row r="188">
      <c r="H188" s="33"/>
      <c r="I188" s="33"/>
      <c r="J188" s="33"/>
      <c r="K188" s="33"/>
      <c r="L188" s="33"/>
    </row>
    <row r="189">
      <c r="H189" s="33"/>
      <c r="I189" s="33"/>
      <c r="J189" s="33"/>
      <c r="K189" s="33"/>
      <c r="L189" s="33"/>
    </row>
    <row r="190">
      <c r="H190" s="33"/>
      <c r="I190" s="33"/>
      <c r="J190" s="33"/>
      <c r="K190" s="33"/>
      <c r="L190" s="33"/>
    </row>
    <row r="191">
      <c r="H191" s="33"/>
      <c r="I191" s="33"/>
      <c r="J191" s="33"/>
      <c r="K191" s="33"/>
      <c r="L191" s="33"/>
    </row>
    <row r="192">
      <c r="H192" s="33"/>
      <c r="I192" s="33"/>
      <c r="J192" s="33"/>
      <c r="K192" s="33"/>
      <c r="L192" s="33"/>
    </row>
    <row r="193">
      <c r="H193" s="33"/>
      <c r="I193" s="33"/>
      <c r="J193" s="33"/>
      <c r="K193" s="33"/>
      <c r="L193" s="33"/>
    </row>
    <row r="194">
      <c r="H194" s="33"/>
      <c r="I194" s="33"/>
      <c r="J194" s="33"/>
      <c r="K194" s="33"/>
      <c r="L194" s="33"/>
    </row>
    <row r="195">
      <c r="H195" s="33"/>
      <c r="I195" s="33"/>
      <c r="J195" s="33"/>
      <c r="K195" s="33"/>
      <c r="L195" s="33"/>
    </row>
    <row r="196">
      <c r="H196" s="33"/>
      <c r="I196" s="33"/>
      <c r="J196" s="33"/>
      <c r="K196" s="33"/>
      <c r="L196" s="33"/>
    </row>
    <row r="197">
      <c r="H197" s="33"/>
      <c r="I197" s="33"/>
      <c r="J197" s="33"/>
      <c r="K197" s="33"/>
      <c r="L197" s="33"/>
    </row>
    <row r="198">
      <c r="H198" s="33"/>
      <c r="I198" s="33"/>
      <c r="J198" s="33"/>
      <c r="K198" s="33"/>
      <c r="L198" s="33"/>
    </row>
    <row r="199">
      <c r="H199" s="33"/>
      <c r="I199" s="33"/>
      <c r="J199" s="33"/>
      <c r="K199" s="33"/>
      <c r="L199" s="33"/>
    </row>
    <row r="200">
      <c r="H200" s="33"/>
      <c r="I200" s="33"/>
      <c r="J200" s="33"/>
      <c r="K200" s="33"/>
      <c r="L200" s="33"/>
    </row>
    <row r="201">
      <c r="H201" s="33"/>
      <c r="I201" s="33"/>
      <c r="J201" s="33"/>
      <c r="K201" s="33"/>
      <c r="L201" s="33"/>
    </row>
    <row r="202">
      <c r="H202" s="33"/>
      <c r="I202" s="33"/>
      <c r="J202" s="33"/>
      <c r="K202" s="33"/>
      <c r="L202" s="33"/>
    </row>
    <row r="203">
      <c r="H203" s="33"/>
      <c r="I203" s="33"/>
      <c r="J203" s="33"/>
      <c r="K203" s="33"/>
      <c r="L203" s="33"/>
    </row>
    <row r="204">
      <c r="H204" s="33"/>
      <c r="I204" s="33"/>
      <c r="J204" s="33"/>
      <c r="K204" s="33"/>
      <c r="L204" s="33"/>
    </row>
    <row r="205">
      <c r="H205" s="33"/>
      <c r="I205" s="33"/>
      <c r="J205" s="33"/>
      <c r="K205" s="33"/>
      <c r="L205" s="33"/>
    </row>
    <row r="206">
      <c r="H206" s="33"/>
      <c r="I206" s="33"/>
      <c r="J206" s="33"/>
      <c r="K206" s="33"/>
      <c r="L206" s="33"/>
    </row>
    <row r="207">
      <c r="H207" s="33"/>
      <c r="I207" s="33"/>
      <c r="J207" s="33"/>
      <c r="K207" s="33"/>
      <c r="L207" s="33"/>
    </row>
    <row r="208">
      <c r="H208" s="33"/>
      <c r="I208" s="33"/>
      <c r="J208" s="33"/>
      <c r="K208" s="33"/>
      <c r="L208" s="33"/>
    </row>
    <row r="209">
      <c r="H209" s="33"/>
      <c r="I209" s="33"/>
      <c r="J209" s="33"/>
      <c r="K209" s="33"/>
      <c r="L209" s="33"/>
    </row>
    <row r="210">
      <c r="H210" s="33"/>
      <c r="I210" s="33"/>
      <c r="J210" s="33"/>
      <c r="K210" s="33"/>
      <c r="L210" s="33"/>
    </row>
    <row r="211">
      <c r="H211" s="33"/>
      <c r="I211" s="33"/>
      <c r="J211" s="33"/>
      <c r="K211" s="33"/>
      <c r="L211" s="33"/>
    </row>
    <row r="212">
      <c r="H212" s="33"/>
      <c r="I212" s="33"/>
      <c r="J212" s="33"/>
      <c r="K212" s="33"/>
      <c r="L212" s="33"/>
    </row>
    <row r="213">
      <c r="H213" s="33"/>
      <c r="I213" s="33"/>
      <c r="J213" s="33"/>
      <c r="K213" s="33"/>
      <c r="L213" s="33"/>
    </row>
    <row r="214">
      <c r="H214" s="33"/>
      <c r="I214" s="33"/>
      <c r="J214" s="33"/>
      <c r="K214" s="33"/>
      <c r="L214" s="33"/>
    </row>
    <row r="215">
      <c r="H215" s="33"/>
      <c r="I215" s="33"/>
      <c r="J215" s="33"/>
      <c r="K215" s="33"/>
      <c r="L215" s="33"/>
    </row>
    <row r="216">
      <c r="H216" s="33"/>
      <c r="I216" s="33"/>
      <c r="J216" s="33"/>
      <c r="K216" s="33"/>
      <c r="L216" s="33"/>
    </row>
    <row r="217">
      <c r="H217" s="33"/>
      <c r="I217" s="33"/>
      <c r="J217" s="33"/>
      <c r="K217" s="33"/>
      <c r="L217" s="33"/>
    </row>
    <row r="218">
      <c r="H218" s="33"/>
      <c r="I218" s="33"/>
      <c r="J218" s="33"/>
      <c r="K218" s="33"/>
      <c r="L218" s="33"/>
    </row>
    <row r="219">
      <c r="H219" s="33"/>
      <c r="I219" s="33"/>
      <c r="J219" s="33"/>
      <c r="K219" s="33"/>
      <c r="L219" s="33"/>
    </row>
    <row r="220">
      <c r="H220" s="33"/>
      <c r="I220" s="33"/>
      <c r="J220" s="33"/>
      <c r="K220" s="33"/>
      <c r="L220" s="33"/>
    </row>
    <row r="221">
      <c r="H221" s="33"/>
      <c r="I221" s="33"/>
      <c r="J221" s="33"/>
      <c r="K221" s="33"/>
      <c r="L221" s="33"/>
    </row>
    <row r="222">
      <c r="H222" s="33"/>
      <c r="I222" s="33"/>
      <c r="J222" s="33"/>
      <c r="K222" s="33"/>
      <c r="L222" s="33"/>
    </row>
    <row r="223">
      <c r="H223" s="33"/>
      <c r="I223" s="33"/>
      <c r="J223" s="33"/>
      <c r="K223" s="33"/>
      <c r="L223" s="33"/>
    </row>
    <row r="224">
      <c r="H224" s="33"/>
      <c r="I224" s="33"/>
      <c r="J224" s="33"/>
      <c r="K224" s="33"/>
      <c r="L224" s="33"/>
    </row>
    <row r="225">
      <c r="H225" s="33"/>
      <c r="I225" s="33"/>
      <c r="J225" s="33"/>
      <c r="K225" s="33"/>
      <c r="L225" s="33"/>
    </row>
    <row r="226">
      <c r="H226" s="33"/>
      <c r="I226" s="33"/>
      <c r="J226" s="33"/>
      <c r="K226" s="33"/>
      <c r="L226" s="33"/>
    </row>
    <row r="227">
      <c r="H227" s="33"/>
      <c r="I227" s="33"/>
      <c r="J227" s="33"/>
      <c r="K227" s="33"/>
      <c r="L227" s="33"/>
    </row>
    <row r="228">
      <c r="H228" s="33"/>
      <c r="I228" s="33"/>
      <c r="J228" s="33"/>
      <c r="K228" s="33"/>
      <c r="L228" s="33"/>
    </row>
    <row r="229">
      <c r="H229" s="33"/>
      <c r="I229" s="33"/>
      <c r="J229" s="33"/>
      <c r="K229" s="33"/>
      <c r="L229" s="33"/>
    </row>
    <row r="230">
      <c r="H230" s="33"/>
      <c r="I230" s="33"/>
      <c r="J230" s="33"/>
      <c r="K230" s="33"/>
      <c r="L230" s="33"/>
    </row>
    <row r="231">
      <c r="H231" s="33"/>
      <c r="I231" s="33"/>
      <c r="J231" s="33"/>
      <c r="K231" s="33"/>
      <c r="L231" s="33"/>
    </row>
    <row r="232">
      <c r="H232" s="33"/>
      <c r="I232" s="33"/>
      <c r="J232" s="33"/>
      <c r="K232" s="33"/>
      <c r="L232" s="33"/>
    </row>
    <row r="233">
      <c r="H233" s="33"/>
      <c r="I233" s="33"/>
      <c r="J233" s="33"/>
      <c r="K233" s="33"/>
      <c r="L233" s="33"/>
    </row>
    <row r="234">
      <c r="H234" s="33"/>
      <c r="I234" s="33"/>
      <c r="J234" s="33"/>
      <c r="K234" s="33"/>
      <c r="L234" s="33"/>
    </row>
    <row r="235">
      <c r="H235" s="33"/>
      <c r="I235" s="33"/>
      <c r="J235" s="33"/>
      <c r="K235" s="33"/>
      <c r="L235" s="33"/>
    </row>
    <row r="236">
      <c r="H236" s="33"/>
      <c r="I236" s="33"/>
      <c r="J236" s="33"/>
      <c r="K236" s="33"/>
      <c r="L236" s="33"/>
    </row>
    <row r="237">
      <c r="H237" s="33"/>
      <c r="I237" s="33"/>
      <c r="J237" s="33"/>
      <c r="K237" s="33"/>
      <c r="L237" s="33"/>
    </row>
    <row r="238">
      <c r="H238" s="33"/>
      <c r="I238" s="33"/>
      <c r="J238" s="33"/>
      <c r="K238" s="33"/>
      <c r="L238" s="33"/>
    </row>
    <row r="239">
      <c r="H239" s="33"/>
      <c r="I239" s="33"/>
      <c r="J239" s="33"/>
      <c r="K239" s="33"/>
      <c r="L239" s="33"/>
    </row>
    <row r="240">
      <c r="H240" s="33"/>
      <c r="I240" s="33"/>
      <c r="J240" s="33"/>
      <c r="K240" s="33"/>
      <c r="L240" s="33"/>
    </row>
    <row r="241">
      <c r="H241" s="33"/>
      <c r="I241" s="33"/>
      <c r="J241" s="33"/>
      <c r="K241" s="33"/>
      <c r="L241" s="33"/>
    </row>
    <row r="242">
      <c r="H242" s="33"/>
      <c r="I242" s="33"/>
      <c r="J242" s="33"/>
      <c r="K242" s="33"/>
      <c r="L242" s="33"/>
    </row>
    <row r="243">
      <c r="H243" s="33"/>
      <c r="I243" s="33"/>
      <c r="J243" s="33"/>
      <c r="K243" s="33"/>
      <c r="L243" s="33"/>
    </row>
    <row r="244">
      <c r="H244" s="33"/>
      <c r="I244" s="33"/>
      <c r="J244" s="33"/>
      <c r="K244" s="33"/>
      <c r="L244" s="33"/>
    </row>
    <row r="245">
      <c r="H245" s="33"/>
      <c r="I245" s="33"/>
      <c r="J245" s="33"/>
      <c r="K245" s="33"/>
      <c r="L245" s="33"/>
    </row>
    <row r="246">
      <c r="H246" s="33"/>
      <c r="I246" s="33"/>
      <c r="J246" s="33"/>
      <c r="K246" s="33"/>
      <c r="L246" s="33"/>
    </row>
    <row r="247">
      <c r="H247" s="33"/>
      <c r="I247" s="33"/>
      <c r="J247" s="33"/>
      <c r="K247" s="33"/>
      <c r="L247" s="33"/>
    </row>
    <row r="248">
      <c r="H248" s="33"/>
      <c r="I248" s="33"/>
      <c r="J248" s="33"/>
      <c r="K248" s="33"/>
      <c r="L248" s="33"/>
    </row>
    <row r="249">
      <c r="H249" s="33"/>
      <c r="I249" s="33"/>
      <c r="J249" s="33"/>
      <c r="K249" s="33"/>
      <c r="L249" s="33"/>
    </row>
    <row r="250">
      <c r="H250" s="33"/>
      <c r="I250" s="33"/>
      <c r="J250" s="33"/>
      <c r="K250" s="33"/>
      <c r="L250" s="33"/>
    </row>
    <row r="251">
      <c r="H251" s="33"/>
      <c r="I251" s="33"/>
      <c r="J251" s="33"/>
      <c r="K251" s="33"/>
      <c r="L251" s="33"/>
    </row>
    <row r="252">
      <c r="H252" s="33"/>
      <c r="I252" s="33"/>
      <c r="J252" s="33"/>
      <c r="K252" s="33"/>
      <c r="L252" s="33"/>
    </row>
    <row r="253">
      <c r="H253" s="33"/>
      <c r="I253" s="33"/>
      <c r="J253" s="33"/>
      <c r="K253" s="33"/>
      <c r="L253" s="33"/>
    </row>
    <row r="254">
      <c r="H254" s="33"/>
      <c r="I254" s="33"/>
      <c r="J254" s="33"/>
      <c r="K254" s="33"/>
      <c r="L254" s="33"/>
    </row>
    <row r="255">
      <c r="H255" s="33"/>
      <c r="I255" s="33"/>
      <c r="J255" s="33"/>
      <c r="K255" s="33"/>
      <c r="L255" s="33"/>
    </row>
    <row r="256">
      <c r="H256" s="33"/>
      <c r="I256" s="33"/>
      <c r="J256" s="33"/>
      <c r="K256" s="33"/>
      <c r="L256" s="33"/>
    </row>
    <row r="257">
      <c r="H257" s="33"/>
      <c r="I257" s="33"/>
      <c r="J257" s="33"/>
      <c r="K257" s="33"/>
      <c r="L257" s="33"/>
    </row>
    <row r="258">
      <c r="H258" s="33"/>
      <c r="I258" s="33"/>
      <c r="J258" s="33"/>
      <c r="K258" s="33"/>
      <c r="L258" s="33"/>
    </row>
    <row r="259">
      <c r="H259" s="33"/>
      <c r="I259" s="33"/>
      <c r="J259" s="33"/>
      <c r="K259" s="33"/>
      <c r="L259" s="33"/>
    </row>
    <row r="260">
      <c r="H260" s="33"/>
      <c r="I260" s="33"/>
      <c r="J260" s="33"/>
      <c r="K260" s="33"/>
      <c r="L260" s="33"/>
    </row>
    <row r="261">
      <c r="H261" s="33"/>
      <c r="I261" s="33"/>
      <c r="J261" s="33"/>
      <c r="K261" s="33"/>
      <c r="L261" s="33"/>
    </row>
    <row r="262">
      <c r="H262" s="33"/>
      <c r="I262" s="33"/>
      <c r="J262" s="33"/>
      <c r="K262" s="33"/>
      <c r="L262" s="33"/>
    </row>
    <row r="263">
      <c r="H263" s="33"/>
      <c r="I263" s="33"/>
      <c r="J263" s="33"/>
      <c r="K263" s="33"/>
      <c r="L263" s="33"/>
    </row>
    <row r="264">
      <c r="H264" s="33"/>
      <c r="I264" s="33"/>
      <c r="J264" s="33"/>
      <c r="K264" s="33"/>
      <c r="L264" s="33"/>
    </row>
    <row r="265">
      <c r="H265" s="33"/>
      <c r="I265" s="33"/>
      <c r="J265" s="33"/>
      <c r="K265" s="33"/>
      <c r="L265" s="33"/>
    </row>
    <row r="266">
      <c r="H266" s="33"/>
      <c r="I266" s="33"/>
      <c r="J266" s="33"/>
      <c r="K266" s="33"/>
      <c r="L266" s="33"/>
    </row>
    <row r="267">
      <c r="H267" s="33"/>
      <c r="I267" s="33"/>
      <c r="J267" s="33"/>
      <c r="K267" s="33"/>
      <c r="L267" s="33"/>
    </row>
    <row r="268">
      <c r="H268" s="33"/>
      <c r="I268" s="33"/>
      <c r="J268" s="33"/>
      <c r="K268" s="33"/>
      <c r="L268" s="33"/>
    </row>
    <row r="269">
      <c r="H269" s="33"/>
      <c r="I269" s="33"/>
      <c r="J269" s="33"/>
      <c r="K269" s="33"/>
      <c r="L269" s="33"/>
    </row>
    <row r="270">
      <c r="H270" s="33"/>
      <c r="I270" s="33"/>
      <c r="J270" s="33"/>
      <c r="K270" s="33"/>
      <c r="L270" s="33"/>
    </row>
    <row r="271">
      <c r="H271" s="33"/>
      <c r="I271" s="33"/>
      <c r="J271" s="33"/>
      <c r="K271" s="33"/>
      <c r="L271" s="33"/>
    </row>
    <row r="272">
      <c r="H272" s="33"/>
      <c r="I272" s="33"/>
      <c r="J272" s="33"/>
      <c r="K272" s="33"/>
      <c r="L272" s="33"/>
    </row>
    <row r="273">
      <c r="H273" s="33"/>
      <c r="I273" s="33"/>
      <c r="J273" s="33"/>
      <c r="K273" s="33"/>
      <c r="L273" s="33"/>
    </row>
    <row r="274">
      <c r="H274" s="33"/>
      <c r="I274" s="33"/>
      <c r="J274" s="33"/>
      <c r="K274" s="33"/>
      <c r="L274" s="33"/>
    </row>
    <row r="275">
      <c r="H275" s="33"/>
      <c r="I275" s="33"/>
      <c r="J275" s="33"/>
      <c r="K275" s="33"/>
      <c r="L275" s="33"/>
    </row>
    <row r="276">
      <c r="H276" s="33"/>
      <c r="I276" s="33"/>
      <c r="J276" s="33"/>
      <c r="K276" s="33"/>
      <c r="L276" s="33"/>
    </row>
    <row r="277">
      <c r="H277" s="33"/>
      <c r="I277" s="33"/>
      <c r="J277" s="33"/>
      <c r="K277" s="33"/>
      <c r="L277" s="33"/>
    </row>
    <row r="278">
      <c r="H278" s="33"/>
      <c r="I278" s="33"/>
      <c r="J278" s="33"/>
      <c r="K278" s="33"/>
      <c r="L278" s="33"/>
    </row>
    <row r="279">
      <c r="H279" s="33"/>
      <c r="I279" s="33"/>
      <c r="J279" s="33"/>
      <c r="K279" s="33"/>
      <c r="L279" s="33"/>
    </row>
    <row r="280">
      <c r="H280" s="33"/>
      <c r="I280" s="33"/>
      <c r="J280" s="33"/>
      <c r="K280" s="33"/>
      <c r="L280" s="33"/>
    </row>
    <row r="281">
      <c r="H281" s="33"/>
      <c r="I281" s="33"/>
      <c r="J281" s="33"/>
      <c r="K281" s="33"/>
      <c r="L281" s="33"/>
    </row>
    <row r="282">
      <c r="H282" s="33"/>
      <c r="I282" s="33"/>
      <c r="J282" s="33"/>
      <c r="K282" s="33"/>
      <c r="L282" s="33"/>
    </row>
    <row r="283">
      <c r="H283" s="33"/>
      <c r="I283" s="33"/>
      <c r="J283" s="33"/>
      <c r="K283" s="33"/>
      <c r="L283" s="33"/>
    </row>
    <row r="284">
      <c r="H284" s="33"/>
      <c r="I284" s="33"/>
      <c r="J284" s="33"/>
      <c r="K284" s="33"/>
      <c r="L284" s="33"/>
    </row>
    <row r="285">
      <c r="H285" s="33"/>
      <c r="I285" s="33"/>
      <c r="J285" s="33"/>
      <c r="K285" s="33"/>
      <c r="L285" s="33"/>
    </row>
    <row r="286">
      <c r="H286" s="33"/>
      <c r="I286" s="33"/>
      <c r="J286" s="33"/>
      <c r="K286" s="33"/>
      <c r="L286" s="33"/>
    </row>
    <row r="287">
      <c r="H287" s="33"/>
      <c r="I287" s="33"/>
      <c r="J287" s="33"/>
      <c r="K287" s="33"/>
      <c r="L287" s="33"/>
    </row>
    <row r="288">
      <c r="H288" s="33"/>
      <c r="I288" s="33"/>
      <c r="J288" s="33"/>
      <c r="K288" s="33"/>
      <c r="L288" s="33"/>
    </row>
    <row r="289">
      <c r="H289" s="33"/>
      <c r="I289" s="33"/>
      <c r="J289" s="33"/>
      <c r="K289" s="33"/>
      <c r="L289" s="33"/>
    </row>
    <row r="290">
      <c r="H290" s="33"/>
      <c r="I290" s="33"/>
      <c r="J290" s="33"/>
      <c r="K290" s="33"/>
      <c r="L290" s="33"/>
    </row>
    <row r="291">
      <c r="H291" s="33"/>
      <c r="I291" s="33"/>
      <c r="J291" s="33"/>
      <c r="K291" s="33"/>
      <c r="L291" s="33"/>
    </row>
    <row r="292">
      <c r="H292" s="33"/>
      <c r="I292" s="33"/>
      <c r="J292" s="33"/>
      <c r="K292" s="33"/>
      <c r="L292" s="33"/>
    </row>
    <row r="293">
      <c r="H293" s="33"/>
      <c r="I293" s="33"/>
      <c r="J293" s="33"/>
      <c r="K293" s="33"/>
      <c r="L293" s="33"/>
    </row>
    <row r="294">
      <c r="H294" s="33"/>
      <c r="I294" s="33"/>
      <c r="J294" s="33"/>
      <c r="K294" s="33"/>
      <c r="L294" s="33"/>
    </row>
    <row r="295">
      <c r="H295" s="33"/>
      <c r="I295" s="33"/>
      <c r="J295" s="33"/>
      <c r="K295" s="33"/>
      <c r="L295" s="33"/>
    </row>
    <row r="296">
      <c r="H296" s="33"/>
      <c r="I296" s="33"/>
      <c r="J296" s="33"/>
      <c r="K296" s="33"/>
      <c r="L296" s="33"/>
    </row>
    <row r="297">
      <c r="H297" s="33"/>
      <c r="I297" s="33"/>
      <c r="J297" s="33"/>
      <c r="K297" s="33"/>
      <c r="L297" s="33"/>
    </row>
    <row r="298">
      <c r="H298" s="33"/>
      <c r="I298" s="33"/>
      <c r="J298" s="33"/>
      <c r="K298" s="33"/>
      <c r="L298" s="33"/>
    </row>
    <row r="299">
      <c r="H299" s="33"/>
      <c r="I299" s="33"/>
      <c r="J299" s="33"/>
      <c r="K299" s="33"/>
      <c r="L299" s="33"/>
    </row>
    <row r="300">
      <c r="H300" s="33"/>
      <c r="I300" s="33"/>
      <c r="J300" s="33"/>
      <c r="K300" s="33"/>
      <c r="L300" s="33"/>
    </row>
    <row r="301">
      <c r="H301" s="33"/>
      <c r="I301" s="33"/>
      <c r="J301" s="33"/>
      <c r="K301" s="33"/>
      <c r="L301" s="33"/>
    </row>
    <row r="302">
      <c r="H302" s="33"/>
      <c r="I302" s="33"/>
      <c r="J302" s="33"/>
      <c r="K302" s="33"/>
      <c r="L302" s="33"/>
    </row>
    <row r="303">
      <c r="H303" s="33"/>
      <c r="I303" s="33"/>
      <c r="J303" s="33"/>
      <c r="K303" s="33"/>
      <c r="L303" s="33"/>
    </row>
    <row r="304">
      <c r="H304" s="33"/>
      <c r="I304" s="33"/>
      <c r="J304" s="33"/>
      <c r="K304" s="33"/>
      <c r="L304" s="33"/>
    </row>
    <row r="305">
      <c r="H305" s="33"/>
      <c r="I305" s="33"/>
      <c r="J305" s="33"/>
      <c r="K305" s="33"/>
      <c r="L305" s="33"/>
    </row>
    <row r="306">
      <c r="H306" s="33"/>
      <c r="I306" s="33"/>
      <c r="J306" s="33"/>
      <c r="K306" s="33"/>
      <c r="L306" s="33"/>
    </row>
    <row r="307">
      <c r="H307" s="33"/>
      <c r="I307" s="33"/>
      <c r="J307" s="33"/>
      <c r="K307" s="33"/>
      <c r="L307" s="33"/>
    </row>
    <row r="308">
      <c r="H308" s="33"/>
      <c r="I308" s="33"/>
      <c r="J308" s="33"/>
      <c r="K308" s="33"/>
      <c r="L308" s="33"/>
    </row>
    <row r="309">
      <c r="H309" s="33"/>
      <c r="I309" s="33"/>
      <c r="J309" s="33"/>
      <c r="K309" s="33"/>
      <c r="L309" s="33"/>
    </row>
    <row r="310">
      <c r="H310" s="33"/>
      <c r="I310" s="33"/>
      <c r="J310" s="33"/>
      <c r="K310" s="33"/>
      <c r="L310" s="33"/>
    </row>
    <row r="311">
      <c r="H311" s="33"/>
      <c r="I311" s="33"/>
      <c r="J311" s="33"/>
      <c r="K311" s="33"/>
      <c r="L311" s="33"/>
    </row>
    <row r="312">
      <c r="H312" s="33"/>
      <c r="I312" s="33"/>
      <c r="J312" s="33"/>
      <c r="K312" s="33"/>
      <c r="L312" s="33"/>
    </row>
    <row r="313">
      <c r="H313" s="33"/>
      <c r="I313" s="33"/>
      <c r="J313" s="33"/>
      <c r="K313" s="33"/>
      <c r="L313" s="33"/>
    </row>
    <row r="314">
      <c r="H314" s="33"/>
      <c r="I314" s="33"/>
      <c r="J314" s="33"/>
      <c r="K314" s="33"/>
      <c r="L314" s="33"/>
    </row>
    <row r="315">
      <c r="H315" s="33"/>
      <c r="I315" s="33"/>
      <c r="J315" s="33"/>
      <c r="K315" s="33"/>
      <c r="L315" s="33"/>
    </row>
    <row r="316">
      <c r="H316" s="33"/>
      <c r="I316" s="33"/>
      <c r="J316" s="33"/>
      <c r="K316" s="33"/>
      <c r="L316" s="33"/>
    </row>
    <row r="317">
      <c r="H317" s="33"/>
      <c r="I317" s="33"/>
      <c r="J317" s="33"/>
      <c r="K317" s="33"/>
      <c r="L317" s="33"/>
    </row>
    <row r="318">
      <c r="H318" s="33"/>
      <c r="I318" s="33"/>
      <c r="J318" s="33"/>
      <c r="K318" s="33"/>
      <c r="L318" s="33"/>
    </row>
    <row r="319">
      <c r="H319" s="33"/>
      <c r="I319" s="33"/>
      <c r="J319" s="33"/>
      <c r="K319" s="33"/>
      <c r="L319" s="33"/>
    </row>
    <row r="320">
      <c r="H320" s="33"/>
      <c r="I320" s="33"/>
      <c r="J320" s="33"/>
      <c r="K320" s="33"/>
      <c r="L320" s="33"/>
    </row>
    <row r="321">
      <c r="H321" s="33"/>
      <c r="I321" s="33"/>
      <c r="J321" s="33"/>
      <c r="K321" s="33"/>
      <c r="L321" s="33"/>
    </row>
    <row r="322">
      <c r="H322" s="33"/>
      <c r="I322" s="33"/>
      <c r="J322" s="33"/>
      <c r="K322" s="33"/>
      <c r="L322" s="33"/>
    </row>
    <row r="323">
      <c r="H323" s="33"/>
      <c r="I323" s="33"/>
      <c r="J323" s="33"/>
      <c r="K323" s="33"/>
      <c r="L323" s="33"/>
    </row>
    <row r="324">
      <c r="H324" s="33"/>
      <c r="I324" s="33"/>
      <c r="J324" s="33"/>
      <c r="K324" s="33"/>
      <c r="L324" s="33"/>
    </row>
    <row r="325">
      <c r="H325" s="33"/>
      <c r="I325" s="33"/>
      <c r="J325" s="33"/>
      <c r="K325" s="33"/>
      <c r="L325" s="33"/>
    </row>
    <row r="326">
      <c r="H326" s="33"/>
      <c r="I326" s="33"/>
      <c r="J326" s="33"/>
      <c r="K326" s="33"/>
      <c r="L326" s="33"/>
    </row>
    <row r="327">
      <c r="H327" s="33"/>
      <c r="I327" s="33"/>
      <c r="J327" s="33"/>
      <c r="K327" s="33"/>
      <c r="L327" s="33"/>
    </row>
    <row r="328">
      <c r="H328" s="33"/>
      <c r="I328" s="33"/>
      <c r="J328" s="33"/>
      <c r="K328" s="33"/>
      <c r="L328" s="33"/>
    </row>
    <row r="329">
      <c r="H329" s="33"/>
      <c r="I329" s="33"/>
      <c r="J329" s="33"/>
      <c r="K329" s="33"/>
      <c r="L329" s="33"/>
    </row>
    <row r="330">
      <c r="H330" s="33"/>
      <c r="I330" s="33"/>
      <c r="J330" s="33"/>
      <c r="K330" s="33"/>
      <c r="L330" s="33"/>
    </row>
    <row r="331">
      <c r="H331" s="33"/>
      <c r="I331" s="33"/>
      <c r="J331" s="33"/>
      <c r="K331" s="33"/>
      <c r="L331" s="33"/>
    </row>
    <row r="332">
      <c r="H332" s="33"/>
      <c r="I332" s="33"/>
      <c r="J332" s="33"/>
      <c r="K332" s="33"/>
      <c r="L332" s="33"/>
    </row>
    <row r="333">
      <c r="H333" s="33"/>
      <c r="I333" s="33"/>
      <c r="J333" s="33"/>
      <c r="K333" s="33"/>
      <c r="L333" s="33"/>
    </row>
    <row r="334">
      <c r="H334" s="33"/>
      <c r="I334" s="33"/>
      <c r="J334" s="33"/>
      <c r="K334" s="33"/>
      <c r="L334" s="33"/>
    </row>
    <row r="335">
      <c r="H335" s="33"/>
      <c r="I335" s="33"/>
      <c r="J335" s="33"/>
      <c r="K335" s="33"/>
      <c r="L335" s="33"/>
    </row>
    <row r="336">
      <c r="H336" s="33"/>
      <c r="I336" s="33"/>
      <c r="J336" s="33"/>
      <c r="K336" s="33"/>
      <c r="L336" s="33"/>
    </row>
    <row r="337">
      <c r="H337" s="33"/>
      <c r="I337" s="33"/>
      <c r="J337" s="33"/>
      <c r="K337" s="33"/>
      <c r="L337" s="33"/>
    </row>
    <row r="338">
      <c r="H338" s="33"/>
      <c r="I338" s="33"/>
      <c r="J338" s="33"/>
      <c r="K338" s="33"/>
      <c r="L338" s="33"/>
    </row>
    <row r="339">
      <c r="H339" s="33"/>
      <c r="I339" s="33"/>
      <c r="J339" s="33"/>
      <c r="K339" s="33"/>
      <c r="L339" s="33"/>
    </row>
    <row r="340">
      <c r="H340" s="33"/>
      <c r="I340" s="33"/>
      <c r="J340" s="33"/>
      <c r="K340" s="33"/>
      <c r="L340" s="33"/>
    </row>
    <row r="341">
      <c r="H341" s="33"/>
      <c r="I341" s="33"/>
      <c r="J341" s="33"/>
      <c r="K341" s="33"/>
      <c r="L341" s="33"/>
    </row>
    <row r="342">
      <c r="H342" s="33"/>
      <c r="I342" s="33"/>
      <c r="J342" s="33"/>
      <c r="K342" s="33"/>
      <c r="L342" s="33"/>
    </row>
    <row r="343">
      <c r="H343" s="33"/>
      <c r="I343" s="33"/>
      <c r="J343" s="33"/>
      <c r="K343" s="33"/>
      <c r="L343" s="33"/>
    </row>
    <row r="344">
      <c r="H344" s="33"/>
      <c r="I344" s="33"/>
      <c r="J344" s="33"/>
      <c r="K344" s="33"/>
      <c r="L344" s="33"/>
    </row>
    <row r="345">
      <c r="H345" s="33"/>
      <c r="I345" s="33"/>
      <c r="J345" s="33"/>
      <c r="K345" s="33"/>
      <c r="L345" s="33"/>
    </row>
    <row r="346">
      <c r="H346" s="33"/>
      <c r="I346" s="33"/>
      <c r="J346" s="33"/>
      <c r="K346" s="33"/>
      <c r="L346" s="33"/>
    </row>
    <row r="347">
      <c r="H347" s="33"/>
      <c r="I347" s="33"/>
      <c r="J347" s="33"/>
      <c r="K347" s="33"/>
      <c r="L347" s="33"/>
    </row>
    <row r="348">
      <c r="H348" s="33"/>
      <c r="I348" s="33"/>
      <c r="J348" s="33"/>
      <c r="K348" s="33"/>
      <c r="L348" s="33"/>
    </row>
    <row r="349">
      <c r="H349" s="33"/>
      <c r="I349" s="33"/>
      <c r="J349" s="33"/>
      <c r="K349" s="33"/>
      <c r="L349" s="33"/>
    </row>
    <row r="350">
      <c r="H350" s="33"/>
      <c r="I350" s="33"/>
      <c r="J350" s="33"/>
      <c r="K350" s="33"/>
      <c r="L350" s="33"/>
    </row>
    <row r="351">
      <c r="H351" s="33"/>
      <c r="I351" s="33"/>
      <c r="J351" s="33"/>
      <c r="K351" s="33"/>
      <c r="L351" s="33"/>
    </row>
    <row r="352">
      <c r="H352" s="33"/>
      <c r="I352" s="33"/>
      <c r="J352" s="33"/>
      <c r="K352" s="33"/>
      <c r="L352" s="33"/>
    </row>
    <row r="353">
      <c r="H353" s="33"/>
      <c r="I353" s="33"/>
      <c r="J353" s="33"/>
      <c r="K353" s="33"/>
      <c r="L353" s="33"/>
    </row>
    <row r="354">
      <c r="H354" s="33"/>
      <c r="I354" s="33"/>
      <c r="J354" s="33"/>
      <c r="K354" s="33"/>
      <c r="L354" s="33"/>
    </row>
    <row r="355">
      <c r="H355" s="33"/>
      <c r="I355" s="33"/>
      <c r="J355" s="33"/>
      <c r="K355" s="33"/>
      <c r="L355" s="33"/>
    </row>
    <row r="356">
      <c r="H356" s="33"/>
      <c r="I356" s="33"/>
      <c r="J356" s="33"/>
      <c r="K356" s="33"/>
      <c r="L356" s="33"/>
    </row>
    <row r="357">
      <c r="H357" s="33"/>
      <c r="I357" s="33"/>
      <c r="J357" s="33"/>
      <c r="K357" s="33"/>
      <c r="L357" s="33"/>
    </row>
    <row r="358">
      <c r="H358" s="33"/>
      <c r="I358" s="33"/>
      <c r="J358" s="33"/>
      <c r="K358" s="33"/>
      <c r="L358" s="33"/>
    </row>
    <row r="359">
      <c r="H359" s="33"/>
      <c r="I359" s="33"/>
      <c r="J359" s="33"/>
      <c r="K359" s="33"/>
      <c r="L359" s="33"/>
    </row>
    <row r="360">
      <c r="H360" s="33"/>
      <c r="I360" s="33"/>
      <c r="J360" s="33"/>
      <c r="K360" s="33"/>
      <c r="L360" s="33"/>
    </row>
    <row r="361">
      <c r="H361" s="33"/>
      <c r="I361" s="33"/>
      <c r="J361" s="33"/>
      <c r="K361" s="33"/>
      <c r="L361" s="33"/>
    </row>
    <row r="362">
      <c r="H362" s="33"/>
      <c r="I362" s="33"/>
      <c r="J362" s="33"/>
      <c r="K362" s="33"/>
      <c r="L362" s="33"/>
    </row>
    <row r="363">
      <c r="H363" s="33"/>
      <c r="I363" s="33"/>
      <c r="J363" s="33"/>
      <c r="K363" s="33"/>
      <c r="L363" s="33"/>
    </row>
    <row r="364">
      <c r="H364" s="33"/>
      <c r="I364" s="33"/>
      <c r="J364" s="33"/>
      <c r="K364" s="33"/>
      <c r="L364" s="33"/>
    </row>
    <row r="365">
      <c r="H365" s="33"/>
      <c r="I365" s="33"/>
      <c r="J365" s="33"/>
      <c r="K365" s="33"/>
      <c r="L365" s="33"/>
    </row>
    <row r="366">
      <c r="H366" s="33"/>
      <c r="I366" s="33"/>
      <c r="J366" s="33"/>
      <c r="K366" s="33"/>
      <c r="L366" s="33"/>
    </row>
    <row r="367">
      <c r="H367" s="33"/>
      <c r="I367" s="33"/>
      <c r="J367" s="33"/>
      <c r="K367" s="33"/>
      <c r="L367" s="33"/>
    </row>
    <row r="368">
      <c r="H368" s="33"/>
      <c r="I368" s="33"/>
      <c r="J368" s="33"/>
      <c r="K368" s="33"/>
      <c r="L368" s="33"/>
    </row>
    <row r="369">
      <c r="H369" s="33"/>
      <c r="I369" s="33"/>
      <c r="J369" s="33"/>
      <c r="K369" s="33"/>
      <c r="L369" s="33"/>
    </row>
    <row r="370">
      <c r="H370" s="33"/>
      <c r="I370" s="33"/>
      <c r="J370" s="33"/>
      <c r="K370" s="33"/>
      <c r="L370" s="33"/>
    </row>
    <row r="371">
      <c r="H371" s="33"/>
      <c r="I371" s="33"/>
      <c r="J371" s="33"/>
      <c r="K371" s="33"/>
      <c r="L371" s="33"/>
    </row>
    <row r="372">
      <c r="H372" s="33"/>
      <c r="I372" s="33"/>
      <c r="J372" s="33"/>
      <c r="K372" s="33"/>
      <c r="L372" s="33"/>
    </row>
    <row r="373">
      <c r="H373" s="33"/>
      <c r="I373" s="33"/>
      <c r="J373" s="33"/>
      <c r="K373" s="33"/>
      <c r="L373" s="33"/>
    </row>
    <row r="374">
      <c r="H374" s="33"/>
      <c r="I374" s="33"/>
      <c r="J374" s="33"/>
      <c r="K374" s="33"/>
      <c r="L374" s="33"/>
    </row>
    <row r="375">
      <c r="H375" s="33"/>
      <c r="I375" s="33"/>
      <c r="J375" s="33"/>
      <c r="K375" s="33"/>
      <c r="L375" s="33"/>
    </row>
    <row r="376">
      <c r="H376" s="33"/>
      <c r="I376" s="33"/>
      <c r="J376" s="33"/>
      <c r="K376" s="33"/>
      <c r="L376" s="33"/>
    </row>
    <row r="377">
      <c r="H377" s="33"/>
      <c r="I377" s="33"/>
      <c r="J377" s="33"/>
      <c r="K377" s="33"/>
      <c r="L377" s="33"/>
    </row>
    <row r="378">
      <c r="H378" s="33"/>
      <c r="I378" s="33"/>
      <c r="J378" s="33"/>
      <c r="K378" s="33"/>
      <c r="L378" s="33"/>
    </row>
    <row r="379">
      <c r="H379" s="33"/>
      <c r="I379" s="33"/>
      <c r="J379" s="33"/>
      <c r="K379" s="33"/>
      <c r="L379" s="33"/>
    </row>
    <row r="380">
      <c r="H380" s="33"/>
      <c r="I380" s="33"/>
      <c r="J380" s="33"/>
      <c r="K380" s="33"/>
      <c r="L380" s="33"/>
    </row>
    <row r="381">
      <c r="H381" s="33"/>
      <c r="I381" s="33"/>
      <c r="J381" s="33"/>
      <c r="K381" s="33"/>
      <c r="L381" s="33"/>
    </row>
    <row r="382">
      <c r="H382" s="33"/>
      <c r="I382" s="33"/>
      <c r="J382" s="33"/>
      <c r="K382" s="33"/>
      <c r="L382" s="33"/>
    </row>
    <row r="383">
      <c r="H383" s="33"/>
      <c r="I383" s="33"/>
      <c r="J383" s="33"/>
      <c r="K383" s="33"/>
      <c r="L383" s="33"/>
    </row>
    <row r="384">
      <c r="H384" s="33"/>
      <c r="I384" s="33"/>
      <c r="J384" s="33"/>
      <c r="K384" s="33"/>
      <c r="L384" s="33"/>
    </row>
    <row r="385">
      <c r="H385" s="33"/>
      <c r="I385" s="33"/>
      <c r="J385" s="33"/>
      <c r="K385" s="33"/>
      <c r="L385" s="33"/>
    </row>
    <row r="386">
      <c r="H386" s="33"/>
      <c r="I386" s="33"/>
      <c r="J386" s="33"/>
      <c r="K386" s="33"/>
      <c r="L386" s="33"/>
    </row>
    <row r="387">
      <c r="H387" s="33"/>
      <c r="I387" s="33"/>
      <c r="J387" s="33"/>
      <c r="K387" s="33"/>
      <c r="L387" s="33"/>
    </row>
    <row r="388">
      <c r="H388" s="33"/>
      <c r="I388" s="33"/>
      <c r="J388" s="33"/>
      <c r="K388" s="33"/>
      <c r="L388" s="33"/>
    </row>
    <row r="389">
      <c r="H389" s="33"/>
      <c r="I389" s="33"/>
      <c r="J389" s="33"/>
      <c r="K389" s="33"/>
      <c r="L389" s="33"/>
    </row>
    <row r="390">
      <c r="H390" s="33"/>
      <c r="I390" s="33"/>
      <c r="J390" s="33"/>
      <c r="K390" s="33"/>
      <c r="L390" s="33"/>
    </row>
    <row r="391">
      <c r="H391" s="33"/>
      <c r="I391" s="33"/>
      <c r="J391" s="33"/>
      <c r="K391" s="33"/>
      <c r="L391" s="33"/>
    </row>
    <row r="392">
      <c r="H392" s="33"/>
      <c r="I392" s="33"/>
      <c r="J392" s="33"/>
      <c r="K392" s="33"/>
      <c r="L392" s="33"/>
    </row>
    <row r="393">
      <c r="H393" s="33"/>
      <c r="I393" s="33"/>
      <c r="J393" s="33"/>
      <c r="K393" s="33"/>
      <c r="L393" s="33"/>
    </row>
    <row r="394">
      <c r="H394" s="33"/>
      <c r="I394" s="33"/>
      <c r="J394" s="33"/>
      <c r="K394" s="33"/>
      <c r="L394" s="33"/>
    </row>
    <row r="395">
      <c r="H395" s="33"/>
      <c r="I395" s="33"/>
      <c r="J395" s="33"/>
      <c r="K395" s="33"/>
      <c r="L395" s="33"/>
    </row>
    <row r="396">
      <c r="H396" s="33"/>
      <c r="I396" s="33"/>
      <c r="J396" s="33"/>
      <c r="K396" s="33"/>
      <c r="L396" s="33"/>
    </row>
    <row r="397">
      <c r="H397" s="33"/>
      <c r="I397" s="33"/>
      <c r="J397" s="33"/>
      <c r="K397" s="33"/>
      <c r="L397" s="33"/>
    </row>
    <row r="398">
      <c r="H398" s="33"/>
      <c r="I398" s="33"/>
      <c r="J398" s="33"/>
      <c r="K398" s="33"/>
      <c r="L398" s="33"/>
    </row>
    <row r="399">
      <c r="H399" s="33"/>
      <c r="I399" s="33"/>
      <c r="J399" s="33"/>
      <c r="K399" s="33"/>
      <c r="L399" s="33"/>
    </row>
    <row r="400">
      <c r="H400" s="33"/>
      <c r="I400" s="33"/>
      <c r="J400" s="33"/>
      <c r="K400" s="33"/>
      <c r="L400" s="33"/>
    </row>
    <row r="401">
      <c r="H401" s="33"/>
      <c r="I401" s="33"/>
      <c r="J401" s="33"/>
      <c r="K401" s="33"/>
      <c r="L401" s="33"/>
    </row>
    <row r="402">
      <c r="H402" s="33"/>
      <c r="I402" s="33"/>
      <c r="J402" s="33"/>
      <c r="K402" s="33"/>
      <c r="L402" s="33"/>
    </row>
    <row r="403">
      <c r="H403" s="33"/>
      <c r="I403" s="33"/>
      <c r="J403" s="33"/>
      <c r="K403" s="33"/>
      <c r="L403" s="33"/>
    </row>
    <row r="404">
      <c r="H404" s="33"/>
      <c r="I404" s="33"/>
      <c r="J404" s="33"/>
      <c r="K404" s="33"/>
      <c r="L404" s="33"/>
    </row>
    <row r="405">
      <c r="H405" s="33"/>
      <c r="I405" s="33"/>
      <c r="J405" s="33"/>
      <c r="K405" s="33"/>
      <c r="L405" s="33"/>
    </row>
    <row r="406">
      <c r="H406" s="33"/>
      <c r="I406" s="33"/>
      <c r="J406" s="33"/>
      <c r="K406" s="33"/>
      <c r="L406" s="33"/>
    </row>
    <row r="407">
      <c r="H407" s="33"/>
      <c r="I407" s="33"/>
      <c r="J407" s="33"/>
      <c r="K407" s="33"/>
      <c r="L407" s="33"/>
    </row>
    <row r="408">
      <c r="H408" s="33"/>
      <c r="I408" s="33"/>
      <c r="J408" s="33"/>
      <c r="K408" s="33"/>
      <c r="L408" s="33"/>
    </row>
    <row r="409">
      <c r="H409" s="33"/>
      <c r="I409" s="33"/>
      <c r="J409" s="33"/>
      <c r="K409" s="33"/>
      <c r="L409" s="33"/>
    </row>
    <row r="410">
      <c r="H410" s="33"/>
      <c r="I410" s="33"/>
      <c r="J410" s="33"/>
      <c r="K410" s="33"/>
      <c r="L410" s="33"/>
    </row>
    <row r="411">
      <c r="H411" s="33"/>
      <c r="I411" s="33"/>
      <c r="J411" s="33"/>
      <c r="K411" s="33"/>
      <c r="L411" s="33"/>
    </row>
    <row r="412">
      <c r="H412" s="33"/>
      <c r="I412" s="33"/>
      <c r="J412" s="33"/>
      <c r="K412" s="33"/>
      <c r="L412" s="33"/>
    </row>
    <row r="413">
      <c r="H413" s="33"/>
      <c r="I413" s="33"/>
      <c r="J413" s="33"/>
      <c r="K413" s="33"/>
      <c r="L413" s="33"/>
    </row>
    <row r="414">
      <c r="H414" s="33"/>
      <c r="I414" s="33"/>
      <c r="J414" s="33"/>
      <c r="K414" s="33"/>
      <c r="L414" s="33"/>
    </row>
    <row r="415">
      <c r="H415" s="33"/>
      <c r="I415" s="33"/>
      <c r="J415" s="33"/>
      <c r="K415" s="33"/>
      <c r="L415" s="33"/>
    </row>
    <row r="416">
      <c r="H416" s="33"/>
      <c r="I416" s="33"/>
      <c r="J416" s="33"/>
      <c r="K416" s="33"/>
      <c r="L416" s="33"/>
    </row>
    <row r="417">
      <c r="H417" s="33"/>
      <c r="I417" s="33"/>
      <c r="J417" s="33"/>
      <c r="K417" s="33"/>
      <c r="L417" s="33"/>
    </row>
    <row r="418">
      <c r="H418" s="33"/>
      <c r="I418" s="33"/>
      <c r="J418" s="33"/>
      <c r="K418" s="33"/>
      <c r="L418" s="33"/>
    </row>
    <row r="419">
      <c r="H419" s="33"/>
      <c r="I419" s="33"/>
      <c r="J419" s="33"/>
      <c r="K419" s="33"/>
      <c r="L419" s="33"/>
    </row>
    <row r="420">
      <c r="H420" s="33"/>
      <c r="I420" s="33"/>
      <c r="J420" s="33"/>
      <c r="K420" s="33"/>
      <c r="L420" s="33"/>
    </row>
    <row r="421">
      <c r="H421" s="33"/>
      <c r="I421" s="33"/>
      <c r="J421" s="33"/>
      <c r="K421" s="33"/>
      <c r="L421" s="33"/>
    </row>
    <row r="422">
      <c r="H422" s="33"/>
      <c r="I422" s="33"/>
      <c r="J422" s="33"/>
      <c r="K422" s="33"/>
      <c r="L422" s="33"/>
    </row>
    <row r="423">
      <c r="H423" s="33"/>
      <c r="I423" s="33"/>
      <c r="J423" s="33"/>
      <c r="K423" s="33"/>
      <c r="L423" s="33"/>
    </row>
    <row r="424">
      <c r="H424" s="33"/>
      <c r="I424" s="33"/>
      <c r="J424" s="33"/>
      <c r="K424" s="33"/>
      <c r="L424" s="33"/>
    </row>
    <row r="425">
      <c r="H425" s="33"/>
      <c r="I425" s="33"/>
      <c r="J425" s="33"/>
      <c r="K425" s="33"/>
      <c r="L425" s="33"/>
    </row>
    <row r="426">
      <c r="H426" s="33"/>
      <c r="I426" s="33"/>
      <c r="J426" s="33"/>
      <c r="K426" s="33"/>
      <c r="L426" s="33"/>
    </row>
    <row r="427">
      <c r="H427" s="33"/>
      <c r="I427" s="33"/>
      <c r="J427" s="33"/>
      <c r="K427" s="33"/>
      <c r="L427" s="33"/>
    </row>
    <row r="428">
      <c r="H428" s="33"/>
      <c r="I428" s="33"/>
      <c r="J428" s="33"/>
      <c r="K428" s="33"/>
      <c r="L428" s="33"/>
    </row>
    <row r="429">
      <c r="H429" s="33"/>
      <c r="I429" s="33"/>
      <c r="J429" s="33"/>
      <c r="K429" s="33"/>
      <c r="L429" s="33"/>
    </row>
    <row r="430">
      <c r="H430" s="33"/>
      <c r="I430" s="33"/>
      <c r="J430" s="33"/>
      <c r="K430" s="33"/>
      <c r="L430" s="33"/>
    </row>
    <row r="431">
      <c r="H431" s="33"/>
      <c r="I431" s="33"/>
      <c r="J431" s="33"/>
      <c r="K431" s="33"/>
      <c r="L431" s="33"/>
    </row>
    <row r="432">
      <c r="H432" s="33"/>
      <c r="I432" s="33"/>
      <c r="J432" s="33"/>
      <c r="K432" s="33"/>
      <c r="L432" s="33"/>
    </row>
    <row r="433">
      <c r="H433" s="33"/>
      <c r="I433" s="33"/>
      <c r="J433" s="33"/>
      <c r="K433" s="33"/>
      <c r="L433" s="33"/>
    </row>
    <row r="434">
      <c r="H434" s="33"/>
      <c r="I434" s="33"/>
      <c r="J434" s="33"/>
      <c r="K434" s="33"/>
      <c r="L434" s="33"/>
    </row>
    <row r="435">
      <c r="H435" s="33"/>
      <c r="I435" s="33"/>
      <c r="J435" s="33"/>
      <c r="K435" s="33"/>
      <c r="L435" s="33"/>
    </row>
    <row r="436">
      <c r="H436" s="33"/>
      <c r="I436" s="33"/>
      <c r="J436" s="33"/>
      <c r="K436" s="33"/>
      <c r="L436" s="33"/>
    </row>
    <row r="437">
      <c r="H437" s="33"/>
      <c r="I437" s="33"/>
      <c r="J437" s="33"/>
      <c r="K437" s="33"/>
      <c r="L437" s="33"/>
    </row>
    <row r="438">
      <c r="H438" s="33"/>
      <c r="I438" s="33"/>
      <c r="J438" s="33"/>
      <c r="K438" s="33"/>
      <c r="L438" s="33"/>
    </row>
    <row r="439">
      <c r="H439" s="33"/>
      <c r="I439" s="33"/>
      <c r="J439" s="33"/>
      <c r="K439" s="33"/>
      <c r="L439" s="33"/>
    </row>
    <row r="440">
      <c r="H440" s="33"/>
      <c r="I440" s="33"/>
      <c r="J440" s="33"/>
      <c r="K440" s="33"/>
      <c r="L440" s="33"/>
    </row>
    <row r="441">
      <c r="H441" s="33"/>
      <c r="I441" s="33"/>
      <c r="J441" s="33"/>
      <c r="K441" s="33"/>
      <c r="L441" s="33"/>
    </row>
    <row r="442">
      <c r="H442" s="33"/>
      <c r="I442" s="33"/>
      <c r="J442" s="33"/>
      <c r="K442" s="33"/>
      <c r="L442" s="33"/>
    </row>
    <row r="443">
      <c r="H443" s="33"/>
      <c r="I443" s="33"/>
      <c r="J443" s="33"/>
      <c r="K443" s="33"/>
      <c r="L443" s="33"/>
    </row>
    <row r="444">
      <c r="H444" s="33"/>
      <c r="I444" s="33"/>
      <c r="J444" s="33"/>
      <c r="K444" s="33"/>
      <c r="L444" s="33"/>
    </row>
    <row r="445">
      <c r="H445" s="33"/>
      <c r="I445" s="33"/>
      <c r="J445" s="33"/>
      <c r="K445" s="33"/>
      <c r="L445" s="33"/>
    </row>
    <row r="446">
      <c r="H446" s="33"/>
      <c r="I446" s="33"/>
      <c r="J446" s="33"/>
      <c r="K446" s="33"/>
      <c r="L446" s="33"/>
    </row>
    <row r="447">
      <c r="H447" s="33"/>
      <c r="I447" s="33"/>
      <c r="J447" s="33"/>
      <c r="K447" s="33"/>
      <c r="L447" s="33"/>
    </row>
    <row r="448">
      <c r="H448" s="33"/>
      <c r="I448" s="33"/>
      <c r="J448" s="33"/>
      <c r="K448" s="33"/>
      <c r="L448" s="33"/>
    </row>
    <row r="449">
      <c r="H449" s="33"/>
      <c r="I449" s="33"/>
      <c r="J449" s="33"/>
      <c r="K449" s="33"/>
      <c r="L449" s="33"/>
    </row>
    <row r="450">
      <c r="H450" s="33"/>
      <c r="I450" s="33"/>
      <c r="J450" s="33"/>
      <c r="K450" s="33"/>
      <c r="L450" s="33"/>
    </row>
    <row r="451">
      <c r="H451" s="33"/>
      <c r="I451" s="33"/>
      <c r="J451" s="33"/>
      <c r="K451" s="33"/>
      <c r="L451" s="33"/>
    </row>
    <row r="452">
      <c r="H452" s="33"/>
      <c r="I452" s="33"/>
      <c r="J452" s="33"/>
      <c r="K452" s="33"/>
      <c r="L452" s="33"/>
    </row>
    <row r="453">
      <c r="H453" s="33"/>
      <c r="I453" s="33"/>
      <c r="J453" s="33"/>
      <c r="K453" s="33"/>
      <c r="L453" s="33"/>
    </row>
    <row r="454">
      <c r="H454" s="33"/>
      <c r="I454" s="33"/>
      <c r="J454" s="33"/>
      <c r="K454" s="33"/>
      <c r="L454" s="33"/>
    </row>
    <row r="455">
      <c r="H455" s="33"/>
      <c r="I455" s="33"/>
      <c r="J455" s="33"/>
      <c r="K455" s="33"/>
      <c r="L455" s="33"/>
    </row>
    <row r="456">
      <c r="H456" s="33"/>
      <c r="I456" s="33"/>
      <c r="J456" s="33"/>
      <c r="K456" s="33"/>
      <c r="L456" s="33"/>
    </row>
    <row r="457">
      <c r="H457" s="33"/>
      <c r="I457" s="33"/>
      <c r="J457" s="33"/>
      <c r="K457" s="33"/>
      <c r="L457" s="33"/>
    </row>
    <row r="458">
      <c r="H458" s="33"/>
      <c r="I458" s="33"/>
      <c r="J458" s="33"/>
      <c r="K458" s="33"/>
      <c r="L458" s="33"/>
    </row>
    <row r="459">
      <c r="H459" s="33"/>
      <c r="I459" s="33"/>
      <c r="J459" s="33"/>
      <c r="K459" s="33"/>
      <c r="L459" s="33"/>
    </row>
    <row r="460">
      <c r="H460" s="33"/>
      <c r="I460" s="33"/>
      <c r="J460" s="33"/>
      <c r="K460" s="33"/>
      <c r="L460" s="33"/>
    </row>
    <row r="461">
      <c r="H461" s="33"/>
      <c r="I461" s="33"/>
      <c r="J461" s="33"/>
      <c r="K461" s="33"/>
      <c r="L461" s="33"/>
    </row>
    <row r="462">
      <c r="H462" s="33"/>
      <c r="I462" s="33"/>
      <c r="J462" s="33"/>
      <c r="K462" s="33"/>
      <c r="L462" s="33"/>
    </row>
    <row r="463">
      <c r="H463" s="33"/>
      <c r="I463" s="33"/>
      <c r="J463" s="33"/>
      <c r="K463" s="33"/>
      <c r="L463" s="33"/>
    </row>
    <row r="464">
      <c r="H464" s="33"/>
      <c r="I464" s="33"/>
      <c r="J464" s="33"/>
      <c r="K464" s="33"/>
      <c r="L464" s="33"/>
    </row>
    <row r="465">
      <c r="H465" s="33"/>
      <c r="I465" s="33"/>
      <c r="J465" s="33"/>
      <c r="K465" s="33"/>
      <c r="L465" s="33"/>
    </row>
    <row r="466">
      <c r="H466" s="33"/>
      <c r="I466" s="33"/>
      <c r="J466" s="33"/>
      <c r="K466" s="33"/>
      <c r="L466" s="33"/>
    </row>
    <row r="467">
      <c r="H467" s="33"/>
      <c r="I467" s="33"/>
      <c r="J467" s="33"/>
      <c r="K467" s="33"/>
      <c r="L467" s="33"/>
    </row>
    <row r="468">
      <c r="H468" s="33"/>
      <c r="I468" s="33"/>
      <c r="J468" s="33"/>
      <c r="K468" s="33"/>
      <c r="L468" s="33"/>
    </row>
    <row r="469">
      <c r="H469" s="33"/>
      <c r="I469" s="33"/>
      <c r="J469" s="33"/>
      <c r="K469" s="33"/>
      <c r="L469" s="33"/>
    </row>
    <row r="470">
      <c r="H470" s="33"/>
      <c r="I470" s="33"/>
      <c r="J470" s="33"/>
      <c r="K470" s="33"/>
      <c r="L470" s="33"/>
    </row>
    <row r="471">
      <c r="H471" s="33"/>
      <c r="I471" s="33"/>
      <c r="J471" s="33"/>
      <c r="K471" s="33"/>
      <c r="L471" s="33"/>
    </row>
    <row r="472">
      <c r="H472" s="33"/>
      <c r="I472" s="33"/>
      <c r="J472" s="33"/>
      <c r="K472" s="33"/>
      <c r="L472" s="33"/>
    </row>
    <row r="473">
      <c r="H473" s="33"/>
      <c r="I473" s="33"/>
      <c r="J473" s="33"/>
      <c r="K473" s="33"/>
      <c r="L473" s="33"/>
    </row>
    <row r="474">
      <c r="H474" s="33"/>
      <c r="I474" s="33"/>
      <c r="J474" s="33"/>
      <c r="K474" s="33"/>
      <c r="L474" s="33"/>
    </row>
    <row r="475">
      <c r="H475" s="33"/>
      <c r="I475" s="33"/>
      <c r="J475" s="33"/>
      <c r="K475" s="33"/>
      <c r="L475" s="33"/>
    </row>
    <row r="476">
      <c r="H476" s="33"/>
      <c r="I476" s="33"/>
      <c r="J476" s="33"/>
      <c r="K476" s="33"/>
      <c r="L476" s="33"/>
    </row>
    <row r="477">
      <c r="H477" s="33"/>
      <c r="I477" s="33"/>
      <c r="J477" s="33"/>
      <c r="K477" s="33"/>
      <c r="L477" s="33"/>
    </row>
    <row r="478">
      <c r="H478" s="33"/>
      <c r="I478" s="33"/>
      <c r="J478" s="33"/>
      <c r="K478" s="33"/>
      <c r="L478" s="33"/>
    </row>
    <row r="479">
      <c r="H479" s="33"/>
      <c r="I479" s="33"/>
      <c r="J479" s="33"/>
      <c r="K479" s="33"/>
      <c r="L479" s="33"/>
    </row>
    <row r="480">
      <c r="H480" s="33"/>
      <c r="I480" s="33"/>
      <c r="J480" s="33"/>
      <c r="K480" s="33"/>
      <c r="L480" s="33"/>
    </row>
    <row r="481">
      <c r="H481" s="33"/>
      <c r="I481" s="33"/>
      <c r="J481" s="33"/>
      <c r="K481" s="33"/>
      <c r="L481" s="33"/>
    </row>
    <row r="482">
      <c r="H482" s="33"/>
      <c r="I482" s="33"/>
      <c r="J482" s="33"/>
      <c r="K482" s="33"/>
      <c r="L482" s="33"/>
    </row>
    <row r="483">
      <c r="H483" s="33"/>
      <c r="I483" s="33"/>
      <c r="J483" s="33"/>
      <c r="K483" s="33"/>
      <c r="L483" s="33"/>
    </row>
    <row r="484">
      <c r="H484" s="33"/>
      <c r="I484" s="33"/>
      <c r="J484" s="33"/>
      <c r="K484" s="33"/>
      <c r="L484" s="33"/>
    </row>
    <row r="485">
      <c r="H485" s="33"/>
      <c r="I485" s="33"/>
      <c r="J485" s="33"/>
      <c r="K485" s="33"/>
      <c r="L485" s="33"/>
    </row>
    <row r="486">
      <c r="H486" s="33"/>
      <c r="I486" s="33"/>
      <c r="J486" s="33"/>
      <c r="K486" s="33"/>
      <c r="L486" s="33"/>
    </row>
    <row r="487">
      <c r="H487" s="33"/>
      <c r="I487" s="33"/>
      <c r="J487" s="33"/>
      <c r="K487" s="33"/>
      <c r="L487" s="33"/>
    </row>
    <row r="488">
      <c r="H488" s="33"/>
      <c r="I488" s="33"/>
      <c r="J488" s="33"/>
      <c r="K488" s="33"/>
      <c r="L488" s="33"/>
    </row>
    <row r="489">
      <c r="H489" s="33"/>
      <c r="I489" s="33"/>
      <c r="J489" s="33"/>
      <c r="K489" s="33"/>
      <c r="L489" s="33"/>
    </row>
    <row r="490">
      <c r="H490" s="33"/>
      <c r="I490" s="33"/>
      <c r="J490" s="33"/>
      <c r="K490" s="33"/>
      <c r="L490" s="33"/>
    </row>
    <row r="491">
      <c r="H491" s="33"/>
      <c r="I491" s="33"/>
      <c r="J491" s="33"/>
      <c r="K491" s="33"/>
      <c r="L491" s="33"/>
    </row>
    <row r="492">
      <c r="H492" s="33"/>
      <c r="I492" s="33"/>
      <c r="J492" s="33"/>
      <c r="K492" s="33"/>
      <c r="L492" s="33"/>
    </row>
    <row r="493">
      <c r="H493" s="33"/>
      <c r="I493" s="33"/>
      <c r="J493" s="33"/>
      <c r="K493" s="33"/>
      <c r="L493" s="33"/>
    </row>
    <row r="494">
      <c r="H494" s="33"/>
      <c r="I494" s="33"/>
      <c r="J494" s="33"/>
      <c r="K494" s="33"/>
      <c r="L494" s="33"/>
    </row>
    <row r="495">
      <c r="H495" s="33"/>
      <c r="I495" s="33"/>
      <c r="J495" s="33"/>
      <c r="K495" s="33"/>
      <c r="L495" s="33"/>
    </row>
    <row r="496">
      <c r="H496" s="33"/>
      <c r="I496" s="33"/>
      <c r="J496" s="33"/>
      <c r="K496" s="33"/>
      <c r="L496" s="33"/>
    </row>
    <row r="497">
      <c r="H497" s="33"/>
      <c r="I497" s="33"/>
      <c r="J497" s="33"/>
      <c r="K497" s="33"/>
      <c r="L497" s="33"/>
    </row>
    <row r="498">
      <c r="H498" s="33"/>
      <c r="I498" s="33"/>
      <c r="J498" s="33"/>
      <c r="K498" s="33"/>
      <c r="L498" s="33"/>
    </row>
    <row r="499">
      <c r="H499" s="33"/>
      <c r="I499" s="33"/>
      <c r="J499" s="33"/>
      <c r="K499" s="33"/>
      <c r="L499" s="33"/>
    </row>
    <row r="500">
      <c r="H500" s="33"/>
      <c r="I500" s="33"/>
      <c r="J500" s="33"/>
      <c r="K500" s="33"/>
      <c r="L500" s="33"/>
    </row>
    <row r="501">
      <c r="H501" s="33"/>
      <c r="I501" s="33"/>
      <c r="J501" s="33"/>
      <c r="K501" s="33"/>
      <c r="L501" s="33"/>
    </row>
    <row r="502">
      <c r="H502" s="33"/>
      <c r="I502" s="33"/>
      <c r="J502" s="33"/>
      <c r="K502" s="33"/>
      <c r="L502" s="33"/>
    </row>
    <row r="503">
      <c r="H503" s="33"/>
      <c r="I503" s="33"/>
      <c r="J503" s="33"/>
      <c r="K503" s="33"/>
      <c r="L503" s="33"/>
    </row>
    <row r="504">
      <c r="H504" s="33"/>
      <c r="I504" s="33"/>
      <c r="J504" s="33"/>
      <c r="K504" s="33"/>
      <c r="L504" s="33"/>
    </row>
    <row r="505">
      <c r="H505" s="33"/>
      <c r="I505" s="33"/>
      <c r="J505" s="33"/>
      <c r="K505" s="33"/>
      <c r="L505" s="33"/>
    </row>
    <row r="506">
      <c r="H506" s="33"/>
      <c r="I506" s="33"/>
      <c r="J506" s="33"/>
      <c r="K506" s="33"/>
      <c r="L506" s="33"/>
    </row>
    <row r="507">
      <c r="H507" s="33"/>
      <c r="I507" s="33"/>
      <c r="J507" s="33"/>
      <c r="K507" s="33"/>
      <c r="L507" s="33"/>
    </row>
    <row r="508">
      <c r="H508" s="33"/>
      <c r="I508" s="33"/>
      <c r="J508" s="33"/>
      <c r="K508" s="33"/>
      <c r="L508" s="33"/>
    </row>
    <row r="509">
      <c r="H509" s="33"/>
      <c r="I509" s="33"/>
      <c r="J509" s="33"/>
      <c r="K509" s="33"/>
      <c r="L509" s="33"/>
    </row>
    <row r="510">
      <c r="H510" s="33"/>
      <c r="I510" s="33"/>
      <c r="J510" s="33"/>
      <c r="K510" s="33"/>
      <c r="L510" s="33"/>
    </row>
    <row r="511">
      <c r="H511" s="33"/>
      <c r="I511" s="33"/>
      <c r="J511" s="33"/>
      <c r="K511" s="33"/>
      <c r="L511" s="33"/>
    </row>
    <row r="512">
      <c r="H512" s="33"/>
      <c r="I512" s="33"/>
      <c r="J512" s="33"/>
      <c r="K512" s="33"/>
      <c r="L512" s="33"/>
    </row>
    <row r="513">
      <c r="H513" s="33"/>
      <c r="I513" s="33"/>
      <c r="J513" s="33"/>
      <c r="K513" s="33"/>
      <c r="L513" s="33"/>
    </row>
    <row r="514">
      <c r="H514" s="33"/>
      <c r="I514" s="33"/>
      <c r="J514" s="33"/>
      <c r="K514" s="33"/>
      <c r="L514" s="33"/>
    </row>
    <row r="515">
      <c r="H515" s="33"/>
      <c r="I515" s="33"/>
      <c r="J515" s="33"/>
      <c r="K515" s="33"/>
      <c r="L515" s="33"/>
    </row>
    <row r="516">
      <c r="H516" s="33"/>
      <c r="I516" s="33"/>
      <c r="J516" s="33"/>
      <c r="K516" s="33"/>
      <c r="L516" s="33"/>
    </row>
    <row r="517">
      <c r="H517" s="33"/>
      <c r="I517" s="33"/>
      <c r="J517" s="33"/>
      <c r="K517" s="33"/>
      <c r="L517" s="33"/>
    </row>
    <row r="518">
      <c r="H518" s="33"/>
      <c r="I518" s="33"/>
      <c r="J518" s="33"/>
      <c r="K518" s="33"/>
      <c r="L518" s="33"/>
    </row>
    <row r="519">
      <c r="H519" s="33"/>
      <c r="I519" s="33"/>
      <c r="J519" s="33"/>
      <c r="K519" s="33"/>
      <c r="L519" s="33"/>
    </row>
    <row r="520">
      <c r="H520" s="33"/>
      <c r="I520" s="33"/>
      <c r="J520" s="33"/>
      <c r="K520" s="33"/>
      <c r="L520" s="33"/>
    </row>
    <row r="521">
      <c r="H521" s="33"/>
      <c r="I521" s="33"/>
      <c r="J521" s="33"/>
      <c r="K521" s="33"/>
      <c r="L521" s="33"/>
    </row>
    <row r="522">
      <c r="H522" s="33"/>
      <c r="I522" s="33"/>
      <c r="J522" s="33"/>
      <c r="K522" s="33"/>
      <c r="L522" s="33"/>
    </row>
    <row r="523">
      <c r="H523" s="33"/>
      <c r="I523" s="33"/>
      <c r="J523" s="33"/>
      <c r="K523" s="33"/>
      <c r="L523" s="33"/>
    </row>
    <row r="524">
      <c r="H524" s="33"/>
      <c r="I524" s="33"/>
      <c r="J524" s="33"/>
      <c r="K524" s="33"/>
      <c r="L524" s="33"/>
    </row>
    <row r="525">
      <c r="H525" s="33"/>
      <c r="I525" s="33"/>
      <c r="J525" s="33"/>
      <c r="K525" s="33"/>
      <c r="L525" s="33"/>
    </row>
    <row r="526">
      <c r="H526" s="33"/>
      <c r="I526" s="33"/>
      <c r="J526" s="33"/>
      <c r="K526" s="33"/>
      <c r="L526" s="33"/>
    </row>
    <row r="527">
      <c r="H527" s="33"/>
      <c r="I527" s="33"/>
      <c r="J527" s="33"/>
      <c r="K527" s="33"/>
      <c r="L527" s="33"/>
    </row>
    <row r="528">
      <c r="H528" s="33"/>
      <c r="I528" s="33"/>
      <c r="J528" s="33"/>
      <c r="K528" s="33"/>
      <c r="L528" s="33"/>
    </row>
    <row r="529">
      <c r="H529" s="33"/>
      <c r="I529" s="33"/>
      <c r="J529" s="33"/>
      <c r="K529" s="33"/>
      <c r="L529" s="33"/>
    </row>
    <row r="530">
      <c r="H530" s="33"/>
      <c r="I530" s="33"/>
      <c r="J530" s="33"/>
      <c r="K530" s="33"/>
      <c r="L530" s="33"/>
    </row>
    <row r="531">
      <c r="H531" s="33"/>
      <c r="I531" s="33"/>
      <c r="J531" s="33"/>
      <c r="K531" s="33"/>
      <c r="L531" s="33"/>
    </row>
    <row r="532">
      <c r="H532" s="33"/>
      <c r="I532" s="33"/>
      <c r="J532" s="33"/>
      <c r="K532" s="33"/>
      <c r="L532" s="33"/>
    </row>
    <row r="533">
      <c r="H533" s="33"/>
      <c r="I533" s="33"/>
      <c r="J533" s="33"/>
      <c r="K533" s="33"/>
      <c r="L533" s="33"/>
    </row>
    <row r="534">
      <c r="H534" s="33"/>
      <c r="I534" s="33"/>
      <c r="J534" s="33"/>
      <c r="K534" s="33"/>
      <c r="L534" s="33"/>
    </row>
    <row r="535">
      <c r="H535" s="33"/>
      <c r="I535" s="33"/>
      <c r="J535" s="33"/>
      <c r="K535" s="33"/>
      <c r="L535" s="33"/>
    </row>
    <row r="536">
      <c r="H536" s="33"/>
      <c r="I536" s="33"/>
      <c r="J536" s="33"/>
      <c r="K536" s="33"/>
      <c r="L536" s="33"/>
    </row>
    <row r="537">
      <c r="H537" s="33"/>
      <c r="I537" s="33"/>
      <c r="J537" s="33"/>
      <c r="K537" s="33"/>
      <c r="L537" s="33"/>
    </row>
    <row r="538">
      <c r="H538" s="33"/>
      <c r="I538" s="33"/>
      <c r="J538" s="33"/>
      <c r="K538" s="33"/>
      <c r="L538" s="33"/>
    </row>
    <row r="539">
      <c r="H539" s="33"/>
      <c r="I539" s="33"/>
      <c r="J539" s="33"/>
      <c r="K539" s="33"/>
      <c r="L539" s="33"/>
    </row>
    <row r="540">
      <c r="H540" s="33"/>
      <c r="I540" s="33"/>
      <c r="J540" s="33"/>
      <c r="K540" s="33"/>
      <c r="L540" s="33"/>
    </row>
    <row r="541">
      <c r="H541" s="33"/>
      <c r="I541" s="33"/>
      <c r="J541" s="33"/>
      <c r="K541" s="33"/>
      <c r="L541" s="33"/>
    </row>
    <row r="542">
      <c r="H542" s="33"/>
      <c r="I542" s="33"/>
      <c r="J542" s="33"/>
      <c r="K542" s="33"/>
      <c r="L542" s="33"/>
    </row>
    <row r="543">
      <c r="H543" s="33"/>
      <c r="I543" s="33"/>
      <c r="J543" s="33"/>
      <c r="K543" s="33"/>
      <c r="L543" s="33"/>
    </row>
    <row r="544">
      <c r="H544" s="33"/>
      <c r="I544" s="33"/>
      <c r="J544" s="33"/>
      <c r="K544" s="33"/>
      <c r="L544" s="33"/>
    </row>
    <row r="545">
      <c r="H545" s="33"/>
      <c r="I545" s="33"/>
      <c r="J545" s="33"/>
      <c r="K545" s="33"/>
      <c r="L545" s="33"/>
    </row>
    <row r="546">
      <c r="H546" s="33"/>
      <c r="I546" s="33"/>
      <c r="J546" s="33"/>
      <c r="K546" s="33"/>
      <c r="L546" s="33"/>
    </row>
    <row r="547">
      <c r="H547" s="33"/>
      <c r="I547" s="33"/>
      <c r="J547" s="33"/>
      <c r="K547" s="33"/>
      <c r="L547" s="33"/>
    </row>
    <row r="548">
      <c r="H548" s="33"/>
      <c r="I548" s="33"/>
      <c r="J548" s="33"/>
      <c r="K548" s="33"/>
      <c r="L548" s="33"/>
    </row>
    <row r="549">
      <c r="H549" s="33"/>
      <c r="I549" s="33"/>
      <c r="J549" s="33"/>
      <c r="K549" s="33"/>
      <c r="L549" s="33"/>
    </row>
    <row r="550">
      <c r="H550" s="33"/>
      <c r="I550" s="33"/>
      <c r="J550" s="33"/>
      <c r="K550" s="33"/>
      <c r="L550" s="33"/>
    </row>
    <row r="551">
      <c r="H551" s="33"/>
      <c r="I551" s="33"/>
      <c r="J551" s="33"/>
      <c r="K551" s="33"/>
      <c r="L551" s="33"/>
    </row>
    <row r="552">
      <c r="H552" s="33"/>
      <c r="I552" s="33"/>
      <c r="J552" s="33"/>
      <c r="K552" s="33"/>
      <c r="L552" s="33"/>
    </row>
    <row r="553">
      <c r="H553" s="33"/>
      <c r="I553" s="33"/>
      <c r="J553" s="33"/>
      <c r="K553" s="33"/>
      <c r="L553" s="33"/>
    </row>
    <row r="554">
      <c r="H554" s="33"/>
      <c r="I554" s="33"/>
      <c r="J554" s="33"/>
      <c r="K554" s="33"/>
      <c r="L554" s="33"/>
    </row>
    <row r="555">
      <c r="H555" s="33"/>
      <c r="I555" s="33"/>
      <c r="J555" s="33"/>
      <c r="K555" s="33"/>
      <c r="L555" s="33"/>
    </row>
    <row r="556">
      <c r="H556" s="33"/>
      <c r="I556" s="33"/>
      <c r="J556" s="33"/>
      <c r="K556" s="33"/>
      <c r="L556" s="33"/>
    </row>
    <row r="557">
      <c r="H557" s="33"/>
      <c r="I557" s="33"/>
      <c r="J557" s="33"/>
      <c r="K557" s="33"/>
      <c r="L557" s="33"/>
    </row>
    <row r="558">
      <c r="H558" s="33"/>
      <c r="I558" s="33"/>
      <c r="J558" s="33"/>
      <c r="K558" s="33"/>
      <c r="L558" s="33"/>
    </row>
    <row r="559">
      <c r="H559" s="33"/>
      <c r="I559" s="33"/>
      <c r="J559" s="33"/>
      <c r="K559" s="33"/>
      <c r="L559" s="33"/>
    </row>
    <row r="560">
      <c r="H560" s="33"/>
      <c r="I560" s="33"/>
      <c r="J560" s="33"/>
      <c r="K560" s="33"/>
      <c r="L560" s="33"/>
    </row>
    <row r="561">
      <c r="H561" s="33"/>
      <c r="I561" s="33"/>
      <c r="J561" s="33"/>
      <c r="K561" s="33"/>
      <c r="L561" s="33"/>
    </row>
    <row r="562">
      <c r="H562" s="33"/>
      <c r="I562" s="33"/>
      <c r="J562" s="33"/>
      <c r="K562" s="33"/>
      <c r="L562" s="33"/>
    </row>
    <row r="563">
      <c r="H563" s="33"/>
      <c r="I563" s="33"/>
      <c r="J563" s="33"/>
      <c r="K563" s="33"/>
      <c r="L563" s="33"/>
    </row>
    <row r="564">
      <c r="H564" s="33"/>
      <c r="I564" s="33"/>
      <c r="J564" s="33"/>
      <c r="K564" s="33"/>
      <c r="L564" s="33"/>
    </row>
    <row r="565">
      <c r="H565" s="33"/>
      <c r="I565" s="33"/>
      <c r="J565" s="33"/>
      <c r="K565" s="33"/>
      <c r="L565" s="33"/>
    </row>
    <row r="566">
      <c r="H566" s="33"/>
      <c r="I566" s="33"/>
      <c r="J566" s="33"/>
      <c r="K566" s="33"/>
      <c r="L566" s="33"/>
    </row>
    <row r="567">
      <c r="H567" s="33"/>
      <c r="I567" s="33"/>
      <c r="J567" s="33"/>
      <c r="K567" s="33"/>
      <c r="L567" s="33"/>
    </row>
    <row r="568">
      <c r="H568" s="33"/>
      <c r="I568" s="33"/>
      <c r="J568" s="33"/>
      <c r="K568" s="33"/>
      <c r="L568" s="33"/>
    </row>
    <row r="569">
      <c r="H569" s="33"/>
      <c r="I569" s="33"/>
      <c r="J569" s="33"/>
      <c r="K569" s="33"/>
      <c r="L569" s="33"/>
    </row>
    <row r="570">
      <c r="H570" s="33"/>
      <c r="I570" s="33"/>
      <c r="J570" s="33"/>
      <c r="K570" s="33"/>
      <c r="L570" s="33"/>
    </row>
    <row r="571">
      <c r="H571" s="33"/>
      <c r="I571" s="33"/>
      <c r="J571" s="33"/>
      <c r="K571" s="33"/>
      <c r="L571" s="33"/>
    </row>
    <row r="572">
      <c r="H572" s="33"/>
      <c r="I572" s="33"/>
      <c r="J572" s="33"/>
      <c r="K572" s="33"/>
      <c r="L572" s="33"/>
    </row>
    <row r="573">
      <c r="H573" s="33"/>
      <c r="I573" s="33"/>
      <c r="J573" s="33"/>
      <c r="K573" s="33"/>
      <c r="L573" s="33"/>
    </row>
    <row r="574">
      <c r="H574" s="33"/>
      <c r="I574" s="33"/>
      <c r="J574" s="33"/>
      <c r="K574" s="33"/>
      <c r="L574" s="33"/>
    </row>
    <row r="575">
      <c r="H575" s="33"/>
      <c r="I575" s="33"/>
      <c r="J575" s="33"/>
      <c r="K575" s="33"/>
      <c r="L575" s="33"/>
    </row>
    <row r="576">
      <c r="H576" s="33"/>
      <c r="I576" s="33"/>
      <c r="J576" s="33"/>
      <c r="K576" s="33"/>
      <c r="L576" s="33"/>
    </row>
    <row r="577">
      <c r="H577" s="33"/>
      <c r="I577" s="33"/>
      <c r="J577" s="33"/>
      <c r="K577" s="33"/>
      <c r="L577" s="33"/>
    </row>
    <row r="578">
      <c r="H578" s="33"/>
      <c r="I578" s="33"/>
      <c r="J578" s="33"/>
      <c r="K578" s="33"/>
      <c r="L578" s="33"/>
    </row>
    <row r="579">
      <c r="H579" s="33"/>
      <c r="I579" s="33"/>
      <c r="J579" s="33"/>
      <c r="K579" s="33"/>
      <c r="L579" s="33"/>
    </row>
    <row r="580">
      <c r="H580" s="33"/>
      <c r="I580" s="33"/>
      <c r="J580" s="33"/>
      <c r="K580" s="33"/>
      <c r="L580" s="33"/>
    </row>
    <row r="581">
      <c r="H581" s="33"/>
      <c r="I581" s="33"/>
      <c r="J581" s="33"/>
      <c r="K581" s="33"/>
      <c r="L581" s="33"/>
    </row>
    <row r="582">
      <c r="H582" s="33"/>
      <c r="I582" s="33"/>
      <c r="J582" s="33"/>
      <c r="K582" s="33"/>
      <c r="L582" s="33"/>
    </row>
    <row r="583">
      <c r="H583" s="33"/>
      <c r="I583" s="33"/>
      <c r="J583" s="33"/>
      <c r="K583" s="33"/>
      <c r="L583" s="33"/>
    </row>
    <row r="584">
      <c r="H584" s="33"/>
      <c r="I584" s="33"/>
      <c r="J584" s="33"/>
      <c r="K584" s="33"/>
      <c r="L584" s="33"/>
    </row>
    <row r="585">
      <c r="H585" s="33"/>
      <c r="I585" s="33"/>
      <c r="J585" s="33"/>
      <c r="K585" s="33"/>
      <c r="L585" s="33"/>
    </row>
    <row r="586">
      <c r="H586" s="33"/>
      <c r="I586" s="33"/>
      <c r="J586" s="33"/>
      <c r="K586" s="33"/>
      <c r="L586" s="33"/>
    </row>
    <row r="587">
      <c r="H587" s="33"/>
      <c r="I587" s="33"/>
      <c r="J587" s="33"/>
      <c r="K587" s="33"/>
      <c r="L587" s="33"/>
    </row>
    <row r="588">
      <c r="H588" s="33"/>
      <c r="I588" s="33"/>
      <c r="J588" s="33"/>
      <c r="K588" s="33"/>
      <c r="L588" s="33"/>
    </row>
    <row r="589">
      <c r="H589" s="33"/>
      <c r="I589" s="33"/>
      <c r="J589" s="33"/>
      <c r="K589" s="33"/>
      <c r="L589" s="33"/>
    </row>
    <row r="590">
      <c r="H590" s="33"/>
      <c r="I590" s="33"/>
      <c r="J590" s="33"/>
      <c r="K590" s="33"/>
      <c r="L590" s="33"/>
    </row>
    <row r="591">
      <c r="H591" s="33"/>
      <c r="I591" s="33"/>
      <c r="J591" s="33"/>
      <c r="K591" s="33"/>
      <c r="L591" s="33"/>
    </row>
    <row r="592">
      <c r="H592" s="33"/>
      <c r="I592" s="33"/>
      <c r="J592" s="33"/>
      <c r="K592" s="33"/>
      <c r="L592" s="33"/>
    </row>
    <row r="593">
      <c r="H593" s="33"/>
      <c r="I593" s="33"/>
      <c r="J593" s="33"/>
      <c r="K593" s="33"/>
      <c r="L593" s="33"/>
    </row>
    <row r="594">
      <c r="H594" s="33"/>
      <c r="I594" s="33"/>
      <c r="J594" s="33"/>
      <c r="K594" s="33"/>
      <c r="L594" s="33"/>
    </row>
    <row r="595">
      <c r="H595" s="33"/>
      <c r="I595" s="33"/>
      <c r="J595" s="33"/>
      <c r="K595" s="33"/>
      <c r="L595" s="33"/>
    </row>
    <row r="596">
      <c r="H596" s="33"/>
      <c r="I596" s="33"/>
      <c r="J596" s="33"/>
      <c r="K596" s="33"/>
      <c r="L596" s="33"/>
    </row>
    <row r="597">
      <c r="H597" s="33"/>
      <c r="I597" s="33"/>
      <c r="J597" s="33"/>
      <c r="K597" s="33"/>
      <c r="L597" s="33"/>
    </row>
    <row r="598">
      <c r="H598" s="33"/>
      <c r="I598" s="33"/>
      <c r="J598" s="33"/>
      <c r="K598" s="33"/>
      <c r="L598" s="33"/>
    </row>
    <row r="599">
      <c r="H599" s="33"/>
      <c r="I599" s="33"/>
      <c r="J599" s="33"/>
      <c r="K599" s="33"/>
      <c r="L599" s="33"/>
    </row>
    <row r="600">
      <c r="H600" s="33"/>
      <c r="I600" s="33"/>
      <c r="J600" s="33"/>
      <c r="K600" s="33"/>
      <c r="L600" s="33"/>
    </row>
    <row r="601">
      <c r="H601" s="33"/>
      <c r="I601" s="33"/>
      <c r="J601" s="33"/>
      <c r="K601" s="33"/>
      <c r="L601" s="33"/>
    </row>
    <row r="602">
      <c r="H602" s="33"/>
      <c r="I602" s="33"/>
      <c r="J602" s="33"/>
      <c r="K602" s="33"/>
      <c r="L602" s="33"/>
    </row>
    <row r="603">
      <c r="H603" s="33"/>
      <c r="I603" s="33"/>
      <c r="J603" s="33"/>
      <c r="K603" s="33"/>
      <c r="L603" s="33"/>
    </row>
    <row r="604">
      <c r="H604" s="33"/>
      <c r="I604" s="33"/>
      <c r="J604" s="33"/>
      <c r="K604" s="33"/>
      <c r="L604" s="33"/>
    </row>
    <row r="605">
      <c r="H605" s="33"/>
      <c r="I605" s="33"/>
      <c r="J605" s="33"/>
      <c r="K605" s="33"/>
      <c r="L605" s="33"/>
    </row>
    <row r="606">
      <c r="H606" s="33"/>
      <c r="I606" s="33"/>
      <c r="J606" s="33"/>
      <c r="K606" s="33"/>
      <c r="L606" s="33"/>
    </row>
    <row r="607">
      <c r="H607" s="33"/>
      <c r="I607" s="33"/>
      <c r="J607" s="33"/>
      <c r="K607" s="33"/>
      <c r="L607" s="33"/>
    </row>
    <row r="608">
      <c r="H608" s="33"/>
      <c r="I608" s="33"/>
      <c r="J608" s="33"/>
      <c r="K608" s="33"/>
      <c r="L608" s="33"/>
    </row>
    <row r="609">
      <c r="H609" s="33"/>
      <c r="I609" s="33"/>
      <c r="J609" s="33"/>
      <c r="K609" s="33"/>
      <c r="L609" s="33"/>
    </row>
    <row r="610">
      <c r="H610" s="33"/>
      <c r="I610" s="33"/>
      <c r="J610" s="33"/>
      <c r="K610" s="33"/>
      <c r="L610" s="33"/>
    </row>
    <row r="611">
      <c r="H611" s="33"/>
      <c r="I611" s="33"/>
      <c r="J611" s="33"/>
      <c r="K611" s="33"/>
      <c r="L611" s="33"/>
    </row>
    <row r="612">
      <c r="H612" s="33"/>
      <c r="I612" s="33"/>
      <c r="J612" s="33"/>
      <c r="K612" s="33"/>
      <c r="L612" s="33"/>
    </row>
    <row r="613">
      <c r="H613" s="33"/>
      <c r="I613" s="33"/>
      <c r="J613" s="33"/>
      <c r="K613" s="33"/>
      <c r="L613" s="33"/>
    </row>
    <row r="614">
      <c r="H614" s="33"/>
      <c r="I614" s="33"/>
      <c r="J614" s="33"/>
      <c r="K614" s="33"/>
      <c r="L614" s="33"/>
    </row>
    <row r="615">
      <c r="H615" s="33"/>
      <c r="I615" s="33"/>
      <c r="J615" s="33"/>
      <c r="K615" s="33"/>
      <c r="L615" s="33"/>
    </row>
    <row r="616">
      <c r="H616" s="33"/>
      <c r="I616" s="33"/>
      <c r="J616" s="33"/>
      <c r="K616" s="33"/>
      <c r="L616" s="33"/>
    </row>
    <row r="617">
      <c r="H617" s="33"/>
      <c r="I617" s="33"/>
      <c r="J617" s="33"/>
      <c r="K617" s="33"/>
      <c r="L617" s="33"/>
    </row>
    <row r="618">
      <c r="H618" s="33"/>
      <c r="I618" s="33"/>
      <c r="J618" s="33"/>
      <c r="K618" s="33"/>
      <c r="L618" s="33"/>
    </row>
    <row r="619">
      <c r="H619" s="33"/>
      <c r="I619" s="33"/>
      <c r="J619" s="33"/>
      <c r="K619" s="33"/>
      <c r="L619" s="33"/>
    </row>
    <row r="620">
      <c r="H620" s="33"/>
      <c r="I620" s="33"/>
      <c r="J620" s="33"/>
      <c r="K620" s="33"/>
      <c r="L620" s="33"/>
    </row>
    <row r="621">
      <c r="H621" s="33"/>
      <c r="I621" s="33"/>
      <c r="J621" s="33"/>
      <c r="K621" s="33"/>
      <c r="L621" s="33"/>
    </row>
    <row r="622">
      <c r="H622" s="33"/>
      <c r="I622" s="33"/>
      <c r="J622" s="33"/>
      <c r="K622" s="33"/>
      <c r="L622" s="33"/>
    </row>
    <row r="623">
      <c r="H623" s="33"/>
      <c r="I623" s="33"/>
      <c r="J623" s="33"/>
      <c r="K623" s="33"/>
      <c r="L623" s="33"/>
    </row>
    <row r="624">
      <c r="H624" s="33"/>
      <c r="I624" s="33"/>
      <c r="J624" s="33"/>
      <c r="K624" s="33"/>
      <c r="L624" s="33"/>
    </row>
    <row r="625">
      <c r="H625" s="33"/>
      <c r="I625" s="33"/>
      <c r="J625" s="33"/>
      <c r="K625" s="33"/>
      <c r="L625" s="33"/>
    </row>
    <row r="626">
      <c r="H626" s="33"/>
      <c r="I626" s="33"/>
      <c r="J626" s="33"/>
      <c r="K626" s="33"/>
      <c r="L626" s="33"/>
    </row>
    <row r="627">
      <c r="H627" s="33"/>
      <c r="I627" s="33"/>
      <c r="J627" s="33"/>
      <c r="K627" s="33"/>
      <c r="L627" s="33"/>
    </row>
    <row r="628">
      <c r="H628" s="33"/>
      <c r="I628" s="33"/>
      <c r="J628" s="33"/>
      <c r="K628" s="33"/>
      <c r="L628" s="33"/>
    </row>
    <row r="629">
      <c r="H629" s="33"/>
      <c r="I629" s="33"/>
      <c r="J629" s="33"/>
      <c r="K629" s="33"/>
      <c r="L629" s="33"/>
    </row>
    <row r="630">
      <c r="H630" s="33"/>
      <c r="I630" s="33"/>
      <c r="J630" s="33"/>
      <c r="K630" s="33"/>
      <c r="L630" s="33"/>
    </row>
    <row r="631">
      <c r="H631" s="33"/>
      <c r="I631" s="33"/>
      <c r="J631" s="33"/>
      <c r="K631" s="33"/>
      <c r="L631" s="33"/>
    </row>
    <row r="632">
      <c r="H632" s="33"/>
      <c r="I632" s="33"/>
      <c r="J632" s="33"/>
      <c r="K632" s="33"/>
      <c r="L632" s="33"/>
    </row>
    <row r="633">
      <c r="H633" s="33"/>
      <c r="I633" s="33"/>
      <c r="J633" s="33"/>
      <c r="K633" s="33"/>
      <c r="L633" s="33"/>
    </row>
    <row r="634">
      <c r="H634" s="33"/>
      <c r="I634" s="33"/>
      <c r="J634" s="33"/>
      <c r="K634" s="33"/>
      <c r="L634" s="33"/>
    </row>
    <row r="635">
      <c r="H635" s="33"/>
      <c r="I635" s="33"/>
      <c r="J635" s="33"/>
      <c r="K635" s="33"/>
      <c r="L635" s="33"/>
    </row>
    <row r="636">
      <c r="H636" s="33"/>
      <c r="I636" s="33"/>
      <c r="J636" s="33"/>
      <c r="K636" s="33"/>
      <c r="L636" s="33"/>
    </row>
    <row r="637">
      <c r="H637" s="33"/>
      <c r="I637" s="33"/>
      <c r="J637" s="33"/>
      <c r="K637" s="33"/>
      <c r="L637" s="33"/>
    </row>
    <row r="638">
      <c r="H638" s="33"/>
      <c r="I638" s="33"/>
      <c r="J638" s="33"/>
      <c r="K638" s="33"/>
      <c r="L638" s="33"/>
    </row>
    <row r="639">
      <c r="H639" s="33"/>
      <c r="I639" s="33"/>
      <c r="J639" s="33"/>
      <c r="K639" s="33"/>
      <c r="L639" s="33"/>
    </row>
    <row r="640">
      <c r="H640" s="33"/>
      <c r="I640" s="33"/>
      <c r="J640" s="33"/>
      <c r="K640" s="33"/>
      <c r="L640" s="33"/>
    </row>
    <row r="641">
      <c r="H641" s="33"/>
      <c r="I641" s="33"/>
      <c r="J641" s="33"/>
      <c r="K641" s="33"/>
      <c r="L641" s="33"/>
    </row>
    <row r="642">
      <c r="H642" s="33"/>
      <c r="I642" s="33"/>
      <c r="J642" s="33"/>
      <c r="K642" s="33"/>
      <c r="L642" s="33"/>
    </row>
    <row r="643">
      <c r="H643" s="33"/>
      <c r="I643" s="33"/>
      <c r="J643" s="33"/>
      <c r="K643" s="33"/>
      <c r="L643" s="33"/>
    </row>
    <row r="644">
      <c r="H644" s="33"/>
      <c r="I644" s="33"/>
      <c r="J644" s="33"/>
      <c r="K644" s="33"/>
      <c r="L644" s="33"/>
    </row>
    <row r="645">
      <c r="H645" s="33"/>
      <c r="I645" s="33"/>
      <c r="J645" s="33"/>
      <c r="K645" s="33"/>
      <c r="L645" s="33"/>
    </row>
    <row r="646">
      <c r="H646" s="33"/>
      <c r="I646" s="33"/>
      <c r="J646" s="33"/>
      <c r="K646" s="33"/>
      <c r="L646" s="33"/>
    </row>
    <row r="647">
      <c r="H647" s="33"/>
      <c r="I647" s="33"/>
      <c r="J647" s="33"/>
      <c r="K647" s="33"/>
      <c r="L647" s="33"/>
    </row>
    <row r="648">
      <c r="H648" s="33"/>
      <c r="I648" s="33"/>
      <c r="J648" s="33"/>
      <c r="K648" s="33"/>
      <c r="L648" s="33"/>
    </row>
    <row r="649">
      <c r="H649" s="33"/>
      <c r="I649" s="33"/>
      <c r="J649" s="33"/>
      <c r="K649" s="33"/>
      <c r="L649" s="33"/>
    </row>
    <row r="650">
      <c r="H650" s="33"/>
      <c r="I650" s="33"/>
      <c r="J650" s="33"/>
      <c r="K650" s="33"/>
      <c r="L650" s="33"/>
    </row>
    <row r="651">
      <c r="H651" s="33"/>
      <c r="I651" s="33"/>
      <c r="J651" s="33"/>
      <c r="K651" s="33"/>
      <c r="L651" s="33"/>
    </row>
    <row r="652">
      <c r="H652" s="33"/>
      <c r="I652" s="33"/>
      <c r="J652" s="33"/>
      <c r="K652" s="33"/>
      <c r="L652" s="33"/>
    </row>
    <row r="653">
      <c r="H653" s="33"/>
      <c r="I653" s="33"/>
      <c r="J653" s="33"/>
      <c r="K653" s="33"/>
      <c r="L653" s="33"/>
    </row>
    <row r="654">
      <c r="H654" s="33"/>
      <c r="I654" s="33"/>
      <c r="J654" s="33"/>
      <c r="K654" s="33"/>
      <c r="L654" s="33"/>
    </row>
    <row r="655">
      <c r="H655" s="33"/>
      <c r="I655" s="33"/>
      <c r="J655" s="33"/>
      <c r="K655" s="33"/>
      <c r="L655" s="33"/>
    </row>
    <row r="656">
      <c r="H656" s="33"/>
      <c r="I656" s="33"/>
      <c r="J656" s="33"/>
      <c r="K656" s="33"/>
      <c r="L656" s="33"/>
    </row>
    <row r="657">
      <c r="H657" s="33"/>
      <c r="I657" s="33"/>
      <c r="J657" s="33"/>
      <c r="K657" s="33"/>
      <c r="L657" s="33"/>
    </row>
    <row r="658">
      <c r="H658" s="33"/>
      <c r="I658" s="33"/>
      <c r="J658" s="33"/>
      <c r="K658" s="33"/>
      <c r="L658" s="33"/>
    </row>
    <row r="659">
      <c r="H659" s="33"/>
      <c r="I659" s="33"/>
      <c r="J659" s="33"/>
      <c r="K659" s="33"/>
      <c r="L659" s="33"/>
    </row>
    <row r="660">
      <c r="H660" s="33"/>
      <c r="I660" s="33"/>
      <c r="J660" s="33"/>
      <c r="K660" s="33"/>
      <c r="L660" s="33"/>
    </row>
    <row r="661">
      <c r="H661" s="33"/>
      <c r="I661" s="33"/>
      <c r="J661" s="33"/>
      <c r="K661" s="33"/>
      <c r="L661" s="33"/>
    </row>
    <row r="662">
      <c r="H662" s="33"/>
      <c r="I662" s="33"/>
      <c r="J662" s="33"/>
      <c r="K662" s="33"/>
      <c r="L662" s="33"/>
    </row>
    <row r="663">
      <c r="H663" s="33"/>
      <c r="I663" s="33"/>
      <c r="J663" s="33"/>
      <c r="K663" s="33"/>
      <c r="L663" s="33"/>
    </row>
    <row r="664">
      <c r="H664" s="33"/>
      <c r="I664" s="33"/>
      <c r="J664" s="33"/>
      <c r="K664" s="33"/>
      <c r="L664" s="33"/>
    </row>
    <row r="665">
      <c r="H665" s="33"/>
      <c r="I665" s="33"/>
      <c r="J665" s="33"/>
      <c r="K665" s="33"/>
      <c r="L665" s="33"/>
    </row>
    <row r="666">
      <c r="H666" s="33"/>
      <c r="I666" s="33"/>
      <c r="J666" s="33"/>
      <c r="K666" s="33"/>
      <c r="L666" s="33"/>
    </row>
    <row r="667">
      <c r="H667" s="33"/>
      <c r="I667" s="33"/>
      <c r="J667" s="33"/>
      <c r="K667" s="33"/>
      <c r="L667" s="33"/>
    </row>
    <row r="668">
      <c r="H668" s="33"/>
      <c r="I668" s="33"/>
      <c r="J668" s="33"/>
      <c r="K668" s="33"/>
      <c r="L668" s="33"/>
    </row>
    <row r="669">
      <c r="H669" s="33"/>
      <c r="I669" s="33"/>
      <c r="J669" s="33"/>
      <c r="K669" s="33"/>
      <c r="L669" s="33"/>
    </row>
    <row r="670">
      <c r="H670" s="33"/>
      <c r="I670" s="33"/>
      <c r="J670" s="33"/>
      <c r="K670" s="33"/>
      <c r="L670" s="33"/>
    </row>
    <row r="671">
      <c r="H671" s="33"/>
      <c r="I671" s="33"/>
      <c r="J671" s="33"/>
      <c r="K671" s="33"/>
      <c r="L671" s="33"/>
    </row>
    <row r="672">
      <c r="H672" s="33"/>
      <c r="I672" s="33"/>
      <c r="J672" s="33"/>
      <c r="K672" s="33"/>
      <c r="L672" s="33"/>
    </row>
    <row r="673">
      <c r="H673" s="33"/>
      <c r="I673" s="33"/>
      <c r="J673" s="33"/>
      <c r="K673" s="33"/>
      <c r="L673" s="33"/>
    </row>
    <row r="674">
      <c r="H674" s="33"/>
      <c r="I674" s="33"/>
      <c r="J674" s="33"/>
      <c r="K674" s="33"/>
      <c r="L674" s="33"/>
    </row>
    <row r="675">
      <c r="H675" s="33"/>
      <c r="I675" s="33"/>
      <c r="J675" s="33"/>
      <c r="K675" s="33"/>
      <c r="L675" s="33"/>
    </row>
    <row r="676">
      <c r="H676" s="33"/>
      <c r="I676" s="33"/>
      <c r="J676" s="33"/>
      <c r="K676" s="33"/>
      <c r="L676" s="33"/>
    </row>
    <row r="677">
      <c r="H677" s="33"/>
      <c r="I677" s="33"/>
      <c r="J677" s="33"/>
      <c r="K677" s="33"/>
      <c r="L677" s="33"/>
    </row>
    <row r="678">
      <c r="H678" s="33"/>
      <c r="I678" s="33"/>
      <c r="J678" s="33"/>
      <c r="K678" s="33"/>
      <c r="L678" s="33"/>
    </row>
    <row r="679">
      <c r="H679" s="33"/>
      <c r="I679" s="33"/>
      <c r="J679" s="33"/>
      <c r="K679" s="33"/>
      <c r="L679" s="33"/>
    </row>
    <row r="680">
      <c r="H680" s="33"/>
      <c r="I680" s="33"/>
      <c r="J680" s="33"/>
      <c r="K680" s="33"/>
      <c r="L680" s="33"/>
    </row>
    <row r="681">
      <c r="H681" s="33"/>
      <c r="I681" s="33"/>
      <c r="J681" s="33"/>
      <c r="K681" s="33"/>
      <c r="L681" s="33"/>
    </row>
    <row r="682">
      <c r="H682" s="33"/>
      <c r="I682" s="33"/>
      <c r="J682" s="33"/>
      <c r="K682" s="33"/>
      <c r="L682" s="33"/>
    </row>
    <row r="683">
      <c r="H683" s="33"/>
      <c r="I683" s="33"/>
      <c r="J683" s="33"/>
      <c r="K683" s="33"/>
      <c r="L683" s="33"/>
    </row>
    <row r="684">
      <c r="H684" s="33"/>
      <c r="I684" s="33"/>
      <c r="J684" s="33"/>
      <c r="K684" s="33"/>
      <c r="L684" s="33"/>
    </row>
    <row r="685">
      <c r="H685" s="33"/>
      <c r="I685" s="33"/>
      <c r="J685" s="33"/>
      <c r="K685" s="33"/>
      <c r="L685" s="33"/>
    </row>
    <row r="686">
      <c r="H686" s="33"/>
      <c r="I686" s="33"/>
      <c r="J686" s="33"/>
      <c r="K686" s="33"/>
      <c r="L686" s="33"/>
    </row>
    <row r="687">
      <c r="H687" s="33"/>
      <c r="I687" s="33"/>
      <c r="J687" s="33"/>
      <c r="K687" s="33"/>
      <c r="L687" s="33"/>
    </row>
    <row r="688">
      <c r="H688" s="33"/>
      <c r="I688" s="33"/>
      <c r="J688" s="33"/>
      <c r="K688" s="33"/>
      <c r="L688" s="33"/>
    </row>
    <row r="689">
      <c r="H689" s="33"/>
      <c r="I689" s="33"/>
      <c r="J689" s="33"/>
      <c r="K689" s="33"/>
      <c r="L689" s="33"/>
    </row>
    <row r="690">
      <c r="H690" s="33"/>
      <c r="I690" s="33"/>
      <c r="J690" s="33"/>
      <c r="K690" s="33"/>
      <c r="L690" s="33"/>
    </row>
    <row r="691">
      <c r="H691" s="33"/>
      <c r="I691" s="33"/>
      <c r="J691" s="33"/>
      <c r="K691" s="33"/>
      <c r="L691" s="33"/>
    </row>
    <row r="692">
      <c r="H692" s="33"/>
      <c r="I692" s="33"/>
      <c r="J692" s="33"/>
      <c r="K692" s="33"/>
      <c r="L692" s="33"/>
    </row>
    <row r="693">
      <c r="H693" s="33"/>
      <c r="I693" s="33"/>
      <c r="J693" s="33"/>
      <c r="K693" s="33"/>
      <c r="L693" s="33"/>
    </row>
    <row r="694">
      <c r="H694" s="33"/>
      <c r="I694" s="33"/>
      <c r="J694" s="33"/>
      <c r="K694" s="33"/>
      <c r="L694" s="33"/>
    </row>
    <row r="695">
      <c r="H695" s="33"/>
      <c r="I695" s="33"/>
      <c r="J695" s="33"/>
      <c r="K695" s="33"/>
      <c r="L695" s="33"/>
    </row>
    <row r="696">
      <c r="H696" s="33"/>
      <c r="I696" s="33"/>
      <c r="J696" s="33"/>
      <c r="K696" s="33"/>
      <c r="L696" s="33"/>
    </row>
    <row r="697">
      <c r="H697" s="33"/>
      <c r="I697" s="33"/>
      <c r="J697" s="33"/>
      <c r="K697" s="33"/>
      <c r="L697" s="33"/>
    </row>
    <row r="698">
      <c r="H698" s="33"/>
      <c r="I698" s="33"/>
      <c r="J698" s="33"/>
      <c r="K698" s="33"/>
      <c r="L698" s="33"/>
    </row>
    <row r="699">
      <c r="H699" s="33"/>
      <c r="I699" s="33"/>
      <c r="J699" s="33"/>
      <c r="K699" s="33"/>
      <c r="L699" s="33"/>
    </row>
    <row r="700">
      <c r="H700" s="33"/>
      <c r="I700" s="33"/>
      <c r="J700" s="33"/>
      <c r="K700" s="33"/>
      <c r="L700" s="33"/>
    </row>
    <row r="701">
      <c r="H701" s="33"/>
      <c r="I701" s="33"/>
      <c r="J701" s="33"/>
      <c r="K701" s="33"/>
      <c r="L701" s="33"/>
    </row>
    <row r="702">
      <c r="H702" s="33"/>
      <c r="I702" s="33"/>
      <c r="J702" s="33"/>
      <c r="K702" s="33"/>
      <c r="L702" s="33"/>
    </row>
    <row r="703">
      <c r="H703" s="33"/>
      <c r="I703" s="33"/>
      <c r="J703" s="33"/>
      <c r="K703" s="33"/>
      <c r="L703" s="33"/>
    </row>
    <row r="704">
      <c r="H704" s="33"/>
      <c r="I704" s="33"/>
      <c r="J704" s="33"/>
      <c r="K704" s="33"/>
      <c r="L704" s="33"/>
    </row>
    <row r="705">
      <c r="H705" s="33"/>
      <c r="I705" s="33"/>
      <c r="J705" s="33"/>
      <c r="K705" s="33"/>
      <c r="L705" s="33"/>
    </row>
    <row r="706">
      <c r="H706" s="33"/>
      <c r="I706" s="33"/>
      <c r="J706" s="33"/>
      <c r="K706" s="33"/>
      <c r="L706" s="33"/>
    </row>
    <row r="707">
      <c r="H707" s="33"/>
      <c r="I707" s="33"/>
      <c r="J707" s="33"/>
      <c r="K707" s="33"/>
      <c r="L707" s="33"/>
    </row>
    <row r="708">
      <c r="H708" s="33"/>
      <c r="I708" s="33"/>
      <c r="J708" s="33"/>
      <c r="K708" s="33"/>
      <c r="L708" s="33"/>
    </row>
    <row r="709">
      <c r="H709" s="33"/>
      <c r="I709" s="33"/>
      <c r="J709" s="33"/>
      <c r="K709" s="33"/>
      <c r="L709" s="33"/>
    </row>
    <row r="710">
      <c r="H710" s="33"/>
      <c r="I710" s="33"/>
      <c r="J710" s="33"/>
      <c r="K710" s="33"/>
      <c r="L710" s="33"/>
    </row>
    <row r="711">
      <c r="H711" s="33"/>
      <c r="I711" s="33"/>
      <c r="J711" s="33"/>
      <c r="K711" s="33"/>
      <c r="L711" s="33"/>
    </row>
    <row r="712">
      <c r="H712" s="33"/>
      <c r="I712" s="33"/>
      <c r="J712" s="33"/>
      <c r="K712" s="33"/>
      <c r="L712" s="33"/>
    </row>
    <row r="713">
      <c r="H713" s="33"/>
      <c r="I713" s="33"/>
      <c r="J713" s="33"/>
      <c r="K713" s="33"/>
      <c r="L713" s="33"/>
    </row>
    <row r="714">
      <c r="H714" s="33"/>
      <c r="I714" s="33"/>
      <c r="J714" s="33"/>
      <c r="K714" s="33"/>
      <c r="L714" s="33"/>
    </row>
    <row r="715">
      <c r="H715" s="33"/>
      <c r="I715" s="33"/>
      <c r="J715" s="33"/>
      <c r="K715" s="33"/>
      <c r="L715" s="33"/>
    </row>
    <row r="716">
      <c r="H716" s="33"/>
      <c r="I716" s="33"/>
      <c r="J716" s="33"/>
      <c r="K716" s="33"/>
      <c r="L716" s="33"/>
    </row>
    <row r="717">
      <c r="H717" s="33"/>
      <c r="I717" s="33"/>
      <c r="J717" s="33"/>
      <c r="K717" s="33"/>
      <c r="L717" s="33"/>
    </row>
    <row r="718">
      <c r="H718" s="33"/>
      <c r="I718" s="33"/>
      <c r="J718" s="33"/>
      <c r="K718" s="33"/>
      <c r="L718" s="33"/>
    </row>
    <row r="719">
      <c r="H719" s="33"/>
      <c r="I719" s="33"/>
      <c r="J719" s="33"/>
      <c r="K719" s="33"/>
      <c r="L719" s="33"/>
    </row>
    <row r="720">
      <c r="H720" s="33"/>
      <c r="I720" s="33"/>
      <c r="J720" s="33"/>
      <c r="K720" s="33"/>
      <c r="L720" s="33"/>
    </row>
    <row r="721">
      <c r="H721" s="33"/>
      <c r="I721" s="33"/>
      <c r="J721" s="33"/>
      <c r="K721" s="33"/>
      <c r="L721" s="33"/>
    </row>
    <row r="722">
      <c r="H722" s="33"/>
      <c r="I722" s="33"/>
      <c r="J722" s="33"/>
      <c r="K722" s="33"/>
      <c r="L722" s="33"/>
    </row>
    <row r="723">
      <c r="H723" s="33"/>
      <c r="I723" s="33"/>
      <c r="J723" s="33"/>
      <c r="K723" s="33"/>
      <c r="L723" s="33"/>
    </row>
    <row r="724">
      <c r="H724" s="33"/>
      <c r="I724" s="33"/>
      <c r="J724" s="33"/>
      <c r="K724" s="33"/>
      <c r="L724" s="33"/>
    </row>
    <row r="725">
      <c r="H725" s="33"/>
      <c r="I725" s="33"/>
      <c r="J725" s="33"/>
      <c r="K725" s="33"/>
      <c r="L725" s="33"/>
    </row>
    <row r="726">
      <c r="H726" s="33"/>
      <c r="I726" s="33"/>
      <c r="J726" s="33"/>
      <c r="K726" s="33"/>
      <c r="L726" s="33"/>
    </row>
    <row r="727">
      <c r="H727" s="33"/>
      <c r="I727" s="33"/>
      <c r="J727" s="33"/>
      <c r="K727" s="33"/>
      <c r="L727" s="33"/>
    </row>
    <row r="728">
      <c r="H728" s="33"/>
      <c r="I728" s="33"/>
      <c r="J728" s="33"/>
      <c r="K728" s="33"/>
      <c r="L728" s="33"/>
    </row>
    <row r="729">
      <c r="H729" s="33"/>
      <c r="I729" s="33"/>
      <c r="J729" s="33"/>
      <c r="K729" s="33"/>
      <c r="L729" s="33"/>
    </row>
    <row r="730">
      <c r="H730" s="33"/>
      <c r="I730" s="33"/>
      <c r="J730" s="33"/>
      <c r="K730" s="33"/>
      <c r="L730" s="33"/>
    </row>
    <row r="731">
      <c r="H731" s="33"/>
      <c r="I731" s="33"/>
      <c r="J731" s="33"/>
      <c r="K731" s="33"/>
      <c r="L731" s="33"/>
    </row>
    <row r="732">
      <c r="H732" s="33"/>
      <c r="I732" s="33"/>
      <c r="J732" s="33"/>
      <c r="K732" s="33"/>
      <c r="L732" s="33"/>
    </row>
    <row r="733">
      <c r="H733" s="33"/>
      <c r="I733" s="33"/>
      <c r="J733" s="33"/>
      <c r="K733" s="33"/>
      <c r="L733" s="33"/>
    </row>
    <row r="734">
      <c r="H734" s="33"/>
      <c r="I734" s="33"/>
      <c r="J734" s="33"/>
      <c r="K734" s="33"/>
      <c r="L734" s="33"/>
    </row>
    <row r="735">
      <c r="H735" s="33"/>
      <c r="I735" s="33"/>
      <c r="J735" s="33"/>
      <c r="K735" s="33"/>
      <c r="L735" s="33"/>
    </row>
    <row r="736">
      <c r="H736" s="33"/>
      <c r="I736" s="33"/>
      <c r="J736" s="33"/>
      <c r="K736" s="33"/>
      <c r="L736" s="33"/>
    </row>
    <row r="737">
      <c r="H737" s="33"/>
      <c r="I737" s="33"/>
      <c r="J737" s="33"/>
      <c r="K737" s="33"/>
      <c r="L737" s="33"/>
    </row>
    <row r="738">
      <c r="H738" s="33"/>
      <c r="I738" s="33"/>
      <c r="J738" s="33"/>
      <c r="K738" s="33"/>
      <c r="L738" s="33"/>
    </row>
    <row r="739">
      <c r="H739" s="33"/>
      <c r="I739" s="33"/>
      <c r="J739" s="33"/>
      <c r="K739" s="33"/>
      <c r="L739" s="33"/>
    </row>
    <row r="740">
      <c r="H740" s="33"/>
      <c r="I740" s="33"/>
      <c r="J740" s="33"/>
      <c r="K740" s="33"/>
      <c r="L740" s="33"/>
    </row>
    <row r="741">
      <c r="H741" s="33"/>
      <c r="I741" s="33"/>
      <c r="J741" s="33"/>
      <c r="K741" s="33"/>
      <c r="L741" s="33"/>
    </row>
    <row r="742">
      <c r="H742" s="33"/>
      <c r="I742" s="33"/>
      <c r="J742" s="33"/>
      <c r="K742" s="33"/>
      <c r="L742" s="33"/>
    </row>
    <row r="743">
      <c r="H743" s="33"/>
      <c r="I743" s="33"/>
      <c r="J743" s="33"/>
      <c r="K743" s="33"/>
      <c r="L743" s="33"/>
    </row>
    <row r="744">
      <c r="H744" s="33"/>
      <c r="I744" s="33"/>
      <c r="J744" s="33"/>
      <c r="K744" s="33"/>
      <c r="L744" s="33"/>
    </row>
    <row r="745">
      <c r="H745" s="33"/>
      <c r="I745" s="33"/>
      <c r="J745" s="33"/>
      <c r="K745" s="33"/>
      <c r="L745" s="33"/>
    </row>
    <row r="746">
      <c r="H746" s="33"/>
      <c r="I746" s="33"/>
      <c r="J746" s="33"/>
      <c r="K746" s="33"/>
      <c r="L746" s="33"/>
    </row>
    <row r="747">
      <c r="H747" s="33"/>
      <c r="I747" s="33"/>
      <c r="J747" s="33"/>
      <c r="K747" s="33"/>
      <c r="L747" s="33"/>
    </row>
    <row r="748">
      <c r="H748" s="33"/>
      <c r="I748" s="33"/>
      <c r="J748" s="33"/>
      <c r="K748" s="33"/>
      <c r="L748" s="33"/>
    </row>
    <row r="749">
      <c r="H749" s="33"/>
      <c r="I749" s="33"/>
      <c r="J749" s="33"/>
      <c r="K749" s="33"/>
      <c r="L749" s="33"/>
    </row>
    <row r="750">
      <c r="H750" s="33"/>
      <c r="I750" s="33"/>
      <c r="J750" s="33"/>
      <c r="K750" s="33"/>
      <c r="L750" s="33"/>
    </row>
    <row r="751">
      <c r="H751" s="33"/>
      <c r="I751" s="33"/>
      <c r="J751" s="33"/>
      <c r="K751" s="33"/>
      <c r="L751" s="33"/>
    </row>
    <row r="752">
      <c r="H752" s="33"/>
      <c r="I752" s="33"/>
      <c r="J752" s="33"/>
      <c r="K752" s="33"/>
      <c r="L752" s="33"/>
    </row>
    <row r="753">
      <c r="H753" s="33"/>
      <c r="I753" s="33"/>
      <c r="J753" s="33"/>
      <c r="K753" s="33"/>
      <c r="L753" s="33"/>
    </row>
    <row r="754">
      <c r="H754" s="33"/>
      <c r="I754" s="33"/>
      <c r="J754" s="33"/>
      <c r="K754" s="33"/>
      <c r="L754" s="33"/>
    </row>
    <row r="755">
      <c r="H755" s="33"/>
      <c r="I755" s="33"/>
      <c r="J755" s="33"/>
      <c r="K755" s="33"/>
      <c r="L755" s="33"/>
    </row>
    <row r="756">
      <c r="H756" s="33"/>
      <c r="I756" s="33"/>
      <c r="J756" s="33"/>
      <c r="K756" s="33"/>
      <c r="L756" s="33"/>
    </row>
    <row r="757">
      <c r="H757" s="33"/>
      <c r="I757" s="33"/>
      <c r="J757" s="33"/>
      <c r="K757" s="33"/>
      <c r="L757" s="33"/>
    </row>
    <row r="758">
      <c r="H758" s="33"/>
      <c r="I758" s="33"/>
      <c r="J758" s="33"/>
      <c r="K758" s="33"/>
      <c r="L758" s="33"/>
    </row>
    <row r="759">
      <c r="H759" s="33"/>
      <c r="I759" s="33"/>
      <c r="J759" s="33"/>
      <c r="K759" s="33"/>
      <c r="L759" s="33"/>
    </row>
    <row r="760">
      <c r="H760" s="33"/>
      <c r="I760" s="33"/>
      <c r="J760" s="33"/>
      <c r="K760" s="33"/>
      <c r="L760" s="33"/>
    </row>
    <row r="761">
      <c r="H761" s="33"/>
      <c r="I761" s="33"/>
      <c r="J761" s="33"/>
      <c r="K761" s="33"/>
      <c r="L761" s="33"/>
    </row>
    <row r="762">
      <c r="H762" s="33"/>
      <c r="I762" s="33"/>
      <c r="J762" s="33"/>
      <c r="K762" s="33"/>
      <c r="L762" s="33"/>
    </row>
    <row r="763">
      <c r="H763" s="33"/>
      <c r="I763" s="33"/>
      <c r="J763" s="33"/>
      <c r="K763" s="33"/>
      <c r="L763" s="33"/>
    </row>
    <row r="764">
      <c r="H764" s="33"/>
      <c r="I764" s="33"/>
      <c r="J764" s="33"/>
      <c r="K764" s="33"/>
      <c r="L764" s="33"/>
    </row>
    <row r="765">
      <c r="H765" s="33"/>
      <c r="I765" s="33"/>
      <c r="J765" s="33"/>
      <c r="K765" s="33"/>
      <c r="L765" s="33"/>
    </row>
    <row r="766">
      <c r="H766" s="33"/>
      <c r="I766" s="33"/>
      <c r="J766" s="33"/>
      <c r="K766" s="33"/>
      <c r="L766" s="33"/>
    </row>
    <row r="767">
      <c r="H767" s="33"/>
      <c r="I767" s="33"/>
      <c r="J767" s="33"/>
      <c r="K767" s="33"/>
      <c r="L767" s="33"/>
    </row>
    <row r="768">
      <c r="H768" s="33"/>
      <c r="I768" s="33"/>
      <c r="J768" s="33"/>
      <c r="K768" s="33"/>
      <c r="L768" s="33"/>
    </row>
    <row r="769">
      <c r="H769" s="33"/>
      <c r="I769" s="33"/>
      <c r="J769" s="33"/>
      <c r="K769" s="33"/>
      <c r="L769" s="33"/>
    </row>
    <row r="770">
      <c r="H770" s="33"/>
      <c r="I770" s="33"/>
      <c r="J770" s="33"/>
      <c r="K770" s="33"/>
      <c r="L770" s="33"/>
    </row>
    <row r="771">
      <c r="H771" s="33"/>
      <c r="I771" s="33"/>
      <c r="J771" s="33"/>
      <c r="K771" s="33"/>
      <c r="L771" s="33"/>
    </row>
    <row r="772">
      <c r="H772" s="33"/>
      <c r="I772" s="33"/>
      <c r="J772" s="33"/>
      <c r="K772" s="33"/>
      <c r="L772" s="33"/>
    </row>
    <row r="773">
      <c r="H773" s="33"/>
      <c r="I773" s="33"/>
      <c r="J773" s="33"/>
      <c r="K773" s="33"/>
      <c r="L773" s="33"/>
    </row>
    <row r="774">
      <c r="H774" s="33"/>
      <c r="I774" s="33"/>
      <c r="J774" s="33"/>
      <c r="K774" s="33"/>
      <c r="L774" s="33"/>
    </row>
    <row r="775">
      <c r="H775" s="33"/>
      <c r="I775" s="33"/>
      <c r="J775" s="33"/>
      <c r="K775" s="33"/>
      <c r="L775" s="33"/>
    </row>
    <row r="776">
      <c r="H776" s="33"/>
      <c r="I776" s="33"/>
      <c r="J776" s="33"/>
      <c r="K776" s="33"/>
      <c r="L776" s="33"/>
    </row>
    <row r="777">
      <c r="H777" s="33"/>
      <c r="I777" s="33"/>
      <c r="J777" s="33"/>
      <c r="K777" s="33"/>
      <c r="L777" s="33"/>
    </row>
    <row r="778">
      <c r="H778" s="33"/>
      <c r="I778" s="33"/>
      <c r="J778" s="33"/>
      <c r="K778" s="33"/>
      <c r="L778" s="33"/>
    </row>
    <row r="779">
      <c r="H779" s="33"/>
      <c r="I779" s="33"/>
      <c r="J779" s="33"/>
      <c r="K779" s="33"/>
      <c r="L779" s="33"/>
    </row>
    <row r="780">
      <c r="H780" s="33"/>
      <c r="I780" s="33"/>
      <c r="J780" s="33"/>
      <c r="K780" s="33"/>
      <c r="L780" s="33"/>
    </row>
    <row r="781">
      <c r="H781" s="33"/>
      <c r="I781" s="33"/>
      <c r="J781" s="33"/>
      <c r="K781" s="33"/>
      <c r="L781" s="33"/>
    </row>
    <row r="782">
      <c r="H782" s="33"/>
      <c r="I782" s="33"/>
      <c r="J782" s="33"/>
      <c r="K782" s="33"/>
      <c r="L782" s="33"/>
    </row>
    <row r="783">
      <c r="H783" s="33"/>
      <c r="I783" s="33"/>
      <c r="J783" s="33"/>
      <c r="K783" s="33"/>
      <c r="L783" s="33"/>
    </row>
    <row r="784">
      <c r="H784" s="33"/>
      <c r="I784" s="33"/>
      <c r="J784" s="33"/>
      <c r="K784" s="33"/>
      <c r="L784" s="33"/>
    </row>
    <row r="785">
      <c r="H785" s="33"/>
      <c r="I785" s="33"/>
      <c r="J785" s="33"/>
      <c r="K785" s="33"/>
      <c r="L785" s="33"/>
    </row>
    <row r="786">
      <c r="H786" s="33"/>
      <c r="I786" s="33"/>
      <c r="J786" s="33"/>
      <c r="K786" s="33"/>
      <c r="L786" s="33"/>
    </row>
    <row r="787">
      <c r="H787" s="33"/>
      <c r="I787" s="33"/>
      <c r="J787" s="33"/>
      <c r="K787" s="33"/>
      <c r="L787" s="33"/>
    </row>
    <row r="788">
      <c r="H788" s="33"/>
      <c r="I788" s="33"/>
      <c r="J788" s="33"/>
      <c r="K788" s="33"/>
      <c r="L788" s="33"/>
    </row>
    <row r="789">
      <c r="H789" s="33"/>
      <c r="I789" s="33"/>
      <c r="J789" s="33"/>
      <c r="K789" s="33"/>
      <c r="L789" s="33"/>
    </row>
    <row r="790">
      <c r="H790" s="33"/>
      <c r="I790" s="33"/>
      <c r="J790" s="33"/>
      <c r="K790" s="33"/>
      <c r="L790" s="33"/>
    </row>
    <row r="791">
      <c r="H791" s="33"/>
      <c r="I791" s="33"/>
      <c r="J791" s="33"/>
      <c r="K791" s="33"/>
      <c r="L791" s="33"/>
    </row>
    <row r="792">
      <c r="H792" s="33"/>
      <c r="I792" s="33"/>
      <c r="J792" s="33"/>
      <c r="K792" s="33"/>
      <c r="L792" s="33"/>
    </row>
    <row r="793">
      <c r="H793" s="33"/>
      <c r="I793" s="33"/>
      <c r="J793" s="33"/>
      <c r="K793" s="33"/>
      <c r="L793" s="33"/>
    </row>
    <row r="794">
      <c r="H794" s="33"/>
      <c r="I794" s="33"/>
      <c r="J794" s="33"/>
      <c r="K794" s="33"/>
      <c r="L794" s="33"/>
    </row>
    <row r="795">
      <c r="H795" s="33"/>
      <c r="I795" s="33"/>
      <c r="J795" s="33"/>
      <c r="K795" s="33"/>
      <c r="L795" s="33"/>
    </row>
    <row r="796">
      <c r="H796" s="33"/>
      <c r="I796" s="33"/>
      <c r="J796" s="33"/>
      <c r="K796" s="33"/>
      <c r="L796" s="33"/>
    </row>
    <row r="797">
      <c r="H797" s="33"/>
      <c r="I797" s="33"/>
      <c r="J797" s="33"/>
      <c r="K797" s="33"/>
      <c r="L797" s="33"/>
    </row>
    <row r="798">
      <c r="H798" s="33"/>
      <c r="I798" s="33"/>
      <c r="J798" s="33"/>
      <c r="K798" s="33"/>
      <c r="L798" s="33"/>
    </row>
    <row r="799">
      <c r="H799" s="33"/>
      <c r="I799" s="33"/>
      <c r="J799" s="33"/>
      <c r="K799" s="33"/>
      <c r="L799" s="33"/>
    </row>
    <row r="800">
      <c r="H800" s="33"/>
      <c r="I800" s="33"/>
      <c r="J800" s="33"/>
      <c r="K800" s="33"/>
      <c r="L800" s="33"/>
    </row>
    <row r="801">
      <c r="H801" s="33"/>
      <c r="I801" s="33"/>
      <c r="J801" s="33"/>
      <c r="K801" s="33"/>
      <c r="L801" s="33"/>
    </row>
    <row r="802">
      <c r="H802" s="33"/>
      <c r="I802" s="33"/>
      <c r="J802" s="33"/>
      <c r="K802" s="33"/>
      <c r="L802" s="33"/>
    </row>
    <row r="803">
      <c r="H803" s="33"/>
      <c r="I803" s="33"/>
      <c r="J803" s="33"/>
      <c r="K803" s="33"/>
      <c r="L803" s="33"/>
    </row>
    <row r="804">
      <c r="H804" s="33"/>
      <c r="I804" s="33"/>
      <c r="J804" s="33"/>
      <c r="K804" s="33"/>
      <c r="L804" s="33"/>
    </row>
    <row r="805">
      <c r="H805" s="33"/>
      <c r="I805" s="33"/>
      <c r="J805" s="33"/>
      <c r="K805" s="33"/>
      <c r="L805" s="33"/>
    </row>
    <row r="806">
      <c r="H806" s="33"/>
      <c r="I806" s="33"/>
      <c r="J806" s="33"/>
      <c r="K806" s="33"/>
      <c r="L806" s="33"/>
    </row>
    <row r="807">
      <c r="H807" s="33"/>
      <c r="I807" s="33"/>
      <c r="J807" s="33"/>
      <c r="K807" s="33"/>
      <c r="L807" s="33"/>
    </row>
    <row r="808">
      <c r="H808" s="33"/>
      <c r="I808" s="33"/>
      <c r="J808" s="33"/>
      <c r="K808" s="33"/>
      <c r="L808" s="33"/>
    </row>
    <row r="809">
      <c r="H809" s="33"/>
      <c r="I809" s="33"/>
      <c r="J809" s="33"/>
      <c r="K809" s="33"/>
      <c r="L809" s="33"/>
    </row>
    <row r="810">
      <c r="H810" s="33"/>
      <c r="I810" s="33"/>
      <c r="J810" s="33"/>
      <c r="K810" s="33"/>
      <c r="L810" s="33"/>
    </row>
    <row r="811">
      <c r="H811" s="33"/>
      <c r="I811" s="33"/>
      <c r="J811" s="33"/>
      <c r="K811" s="33"/>
      <c r="L811" s="33"/>
    </row>
    <row r="812">
      <c r="H812" s="33"/>
      <c r="I812" s="33"/>
      <c r="J812" s="33"/>
      <c r="K812" s="33"/>
      <c r="L812" s="33"/>
    </row>
    <row r="813">
      <c r="H813" s="33"/>
      <c r="I813" s="33"/>
      <c r="J813" s="33"/>
      <c r="K813" s="33"/>
      <c r="L813" s="33"/>
    </row>
    <row r="814">
      <c r="H814" s="33"/>
      <c r="I814" s="33"/>
      <c r="J814" s="33"/>
      <c r="K814" s="33"/>
      <c r="L814" s="33"/>
    </row>
    <row r="815">
      <c r="H815" s="33"/>
      <c r="I815" s="33"/>
      <c r="J815" s="33"/>
      <c r="K815" s="33"/>
      <c r="L815" s="33"/>
    </row>
    <row r="816">
      <c r="H816" s="33"/>
      <c r="I816" s="33"/>
      <c r="J816" s="33"/>
      <c r="K816" s="33"/>
      <c r="L816" s="33"/>
    </row>
    <row r="817">
      <c r="H817" s="33"/>
      <c r="I817" s="33"/>
      <c r="J817" s="33"/>
      <c r="K817" s="33"/>
      <c r="L817" s="33"/>
    </row>
    <row r="818">
      <c r="H818" s="33"/>
      <c r="I818" s="33"/>
      <c r="J818" s="33"/>
      <c r="K818" s="33"/>
      <c r="L818" s="33"/>
    </row>
    <row r="819">
      <c r="H819" s="33"/>
      <c r="I819" s="33"/>
      <c r="J819" s="33"/>
      <c r="K819" s="33"/>
      <c r="L819" s="33"/>
    </row>
    <row r="820">
      <c r="H820" s="33"/>
      <c r="I820" s="33"/>
      <c r="J820" s="33"/>
      <c r="K820" s="33"/>
      <c r="L820" s="33"/>
    </row>
    <row r="821">
      <c r="H821" s="33"/>
      <c r="I821" s="33"/>
      <c r="J821" s="33"/>
      <c r="K821" s="33"/>
      <c r="L821" s="33"/>
    </row>
    <row r="822">
      <c r="H822" s="33"/>
      <c r="I822" s="33"/>
      <c r="J822" s="33"/>
      <c r="K822" s="33"/>
      <c r="L822" s="33"/>
    </row>
    <row r="823">
      <c r="H823" s="33"/>
      <c r="I823" s="33"/>
      <c r="J823" s="33"/>
      <c r="K823" s="33"/>
      <c r="L823" s="33"/>
    </row>
    <row r="824">
      <c r="H824" s="33"/>
      <c r="I824" s="33"/>
      <c r="J824" s="33"/>
      <c r="K824" s="33"/>
      <c r="L824" s="33"/>
    </row>
    <row r="825">
      <c r="H825" s="33"/>
      <c r="I825" s="33"/>
      <c r="J825" s="33"/>
      <c r="K825" s="33"/>
      <c r="L825" s="33"/>
    </row>
    <row r="826">
      <c r="H826" s="33"/>
      <c r="I826" s="33"/>
      <c r="J826" s="33"/>
      <c r="K826" s="33"/>
      <c r="L826" s="33"/>
    </row>
    <row r="827">
      <c r="H827" s="33"/>
      <c r="I827" s="33"/>
      <c r="J827" s="33"/>
      <c r="K827" s="33"/>
      <c r="L827" s="33"/>
    </row>
    <row r="828">
      <c r="H828" s="33"/>
      <c r="I828" s="33"/>
      <c r="J828" s="33"/>
      <c r="K828" s="33"/>
      <c r="L828" s="33"/>
    </row>
    <row r="829">
      <c r="H829" s="33"/>
      <c r="I829" s="33"/>
      <c r="J829" s="33"/>
      <c r="K829" s="33"/>
      <c r="L829" s="33"/>
    </row>
    <row r="830">
      <c r="H830" s="33"/>
      <c r="I830" s="33"/>
      <c r="J830" s="33"/>
      <c r="K830" s="33"/>
      <c r="L830" s="33"/>
    </row>
    <row r="831">
      <c r="H831" s="33"/>
      <c r="I831" s="33"/>
      <c r="J831" s="33"/>
      <c r="K831" s="33"/>
      <c r="L831" s="33"/>
    </row>
    <row r="832">
      <c r="H832" s="33"/>
      <c r="I832" s="33"/>
      <c r="J832" s="33"/>
      <c r="K832" s="33"/>
      <c r="L832" s="33"/>
    </row>
    <row r="833">
      <c r="H833" s="33"/>
      <c r="I833" s="33"/>
      <c r="J833" s="33"/>
      <c r="K833" s="33"/>
      <c r="L833" s="33"/>
    </row>
    <row r="834">
      <c r="H834" s="33"/>
      <c r="I834" s="33"/>
      <c r="J834" s="33"/>
      <c r="K834" s="33"/>
      <c r="L834" s="33"/>
    </row>
    <row r="835">
      <c r="H835" s="33"/>
      <c r="I835" s="33"/>
      <c r="J835" s="33"/>
      <c r="K835" s="33"/>
      <c r="L835" s="33"/>
    </row>
    <row r="836">
      <c r="H836" s="33"/>
      <c r="I836" s="33"/>
      <c r="J836" s="33"/>
      <c r="K836" s="33"/>
      <c r="L836" s="33"/>
    </row>
    <row r="837">
      <c r="H837" s="33"/>
      <c r="I837" s="33"/>
      <c r="J837" s="33"/>
      <c r="K837" s="33"/>
      <c r="L837" s="33"/>
    </row>
    <row r="838">
      <c r="H838" s="33"/>
      <c r="I838" s="33"/>
      <c r="J838" s="33"/>
      <c r="K838" s="33"/>
      <c r="L838" s="33"/>
    </row>
    <row r="839">
      <c r="H839" s="33"/>
      <c r="I839" s="33"/>
      <c r="J839" s="33"/>
      <c r="K839" s="33"/>
      <c r="L839" s="33"/>
    </row>
    <row r="840">
      <c r="H840" s="33"/>
      <c r="I840" s="33"/>
      <c r="J840" s="33"/>
      <c r="K840" s="33"/>
      <c r="L840" s="33"/>
    </row>
    <row r="841">
      <c r="H841" s="33"/>
      <c r="I841" s="33"/>
      <c r="J841" s="33"/>
      <c r="K841" s="33"/>
      <c r="L841" s="33"/>
    </row>
    <row r="842">
      <c r="H842" s="33"/>
      <c r="I842" s="33"/>
      <c r="J842" s="33"/>
      <c r="K842" s="33"/>
      <c r="L842" s="33"/>
    </row>
    <row r="843">
      <c r="H843" s="33"/>
      <c r="I843" s="33"/>
      <c r="J843" s="33"/>
      <c r="K843" s="33"/>
      <c r="L843" s="33"/>
    </row>
    <row r="844">
      <c r="H844" s="33"/>
      <c r="I844" s="33"/>
      <c r="J844" s="33"/>
      <c r="K844" s="33"/>
      <c r="L844" s="33"/>
    </row>
    <row r="845">
      <c r="H845" s="33"/>
      <c r="I845" s="33"/>
      <c r="J845" s="33"/>
      <c r="K845" s="33"/>
      <c r="L845" s="33"/>
    </row>
    <row r="846">
      <c r="H846" s="33"/>
      <c r="I846" s="33"/>
      <c r="J846" s="33"/>
      <c r="K846" s="33"/>
      <c r="L846" s="33"/>
    </row>
    <row r="847">
      <c r="H847" s="33"/>
      <c r="I847" s="33"/>
      <c r="J847" s="33"/>
      <c r="K847" s="33"/>
      <c r="L847" s="33"/>
    </row>
    <row r="848">
      <c r="H848" s="33"/>
      <c r="I848" s="33"/>
      <c r="J848" s="33"/>
      <c r="K848" s="33"/>
      <c r="L848" s="33"/>
    </row>
    <row r="849">
      <c r="H849" s="33"/>
      <c r="I849" s="33"/>
      <c r="J849" s="33"/>
      <c r="K849" s="33"/>
      <c r="L849" s="33"/>
    </row>
    <row r="850">
      <c r="H850" s="33"/>
      <c r="I850" s="33"/>
      <c r="J850" s="33"/>
      <c r="K850" s="33"/>
      <c r="L850" s="33"/>
    </row>
    <row r="851">
      <c r="H851" s="33"/>
      <c r="I851" s="33"/>
      <c r="J851" s="33"/>
      <c r="K851" s="33"/>
      <c r="L851" s="33"/>
    </row>
    <row r="852">
      <c r="H852" s="33"/>
      <c r="I852" s="33"/>
      <c r="J852" s="33"/>
      <c r="K852" s="33"/>
      <c r="L852" s="33"/>
    </row>
    <row r="853">
      <c r="H853" s="33"/>
      <c r="I853" s="33"/>
      <c r="J853" s="33"/>
      <c r="K853" s="33"/>
      <c r="L853" s="33"/>
    </row>
    <row r="854">
      <c r="H854" s="33"/>
      <c r="I854" s="33"/>
      <c r="J854" s="33"/>
      <c r="K854" s="33"/>
      <c r="L854" s="33"/>
    </row>
    <row r="855">
      <c r="H855" s="33"/>
      <c r="I855" s="33"/>
      <c r="J855" s="33"/>
      <c r="K855" s="33"/>
      <c r="L855" s="33"/>
    </row>
    <row r="856">
      <c r="H856" s="33"/>
      <c r="I856" s="33"/>
      <c r="J856" s="33"/>
      <c r="K856" s="33"/>
      <c r="L856" s="33"/>
    </row>
    <row r="857">
      <c r="H857" s="33"/>
      <c r="I857" s="33"/>
      <c r="J857" s="33"/>
      <c r="K857" s="33"/>
      <c r="L857" s="33"/>
    </row>
    <row r="858">
      <c r="H858" s="33"/>
      <c r="I858" s="33"/>
      <c r="J858" s="33"/>
      <c r="K858" s="33"/>
      <c r="L858" s="33"/>
    </row>
    <row r="859">
      <c r="H859" s="33"/>
      <c r="I859" s="33"/>
      <c r="J859" s="33"/>
      <c r="K859" s="33"/>
      <c r="L859" s="33"/>
    </row>
    <row r="860">
      <c r="H860" s="33"/>
      <c r="I860" s="33"/>
      <c r="J860" s="33"/>
      <c r="K860" s="33"/>
      <c r="L860" s="33"/>
    </row>
    <row r="861">
      <c r="H861" s="33"/>
      <c r="I861" s="33"/>
      <c r="J861" s="33"/>
      <c r="K861" s="33"/>
      <c r="L861" s="33"/>
    </row>
    <row r="862">
      <c r="H862" s="33"/>
      <c r="I862" s="33"/>
      <c r="J862" s="33"/>
      <c r="K862" s="33"/>
      <c r="L862" s="33"/>
    </row>
    <row r="863">
      <c r="H863" s="33"/>
      <c r="I863" s="33"/>
      <c r="J863" s="33"/>
      <c r="K863" s="33"/>
      <c r="L863" s="33"/>
    </row>
    <row r="864">
      <c r="H864" s="33"/>
      <c r="I864" s="33"/>
      <c r="J864" s="33"/>
      <c r="K864" s="33"/>
      <c r="L864" s="33"/>
    </row>
    <row r="865">
      <c r="H865" s="33"/>
      <c r="I865" s="33"/>
      <c r="J865" s="33"/>
      <c r="K865" s="33"/>
      <c r="L865" s="33"/>
    </row>
    <row r="866">
      <c r="H866" s="33"/>
      <c r="I866" s="33"/>
      <c r="J866" s="33"/>
      <c r="K866" s="33"/>
      <c r="L866" s="33"/>
    </row>
    <row r="867">
      <c r="H867" s="33"/>
      <c r="I867" s="33"/>
      <c r="J867" s="33"/>
      <c r="K867" s="33"/>
      <c r="L867" s="33"/>
    </row>
    <row r="868">
      <c r="H868" s="33"/>
      <c r="I868" s="33"/>
      <c r="J868" s="33"/>
      <c r="K868" s="33"/>
      <c r="L868" s="33"/>
    </row>
    <row r="869">
      <c r="H869" s="33"/>
      <c r="I869" s="33"/>
      <c r="J869" s="33"/>
      <c r="K869" s="33"/>
      <c r="L869" s="33"/>
    </row>
    <row r="870">
      <c r="H870" s="33"/>
      <c r="I870" s="33"/>
      <c r="J870" s="33"/>
      <c r="K870" s="33"/>
      <c r="L870" s="33"/>
    </row>
    <row r="871">
      <c r="H871" s="33"/>
      <c r="I871" s="33"/>
      <c r="J871" s="33"/>
      <c r="K871" s="33"/>
      <c r="L871" s="33"/>
    </row>
    <row r="872">
      <c r="H872" s="33"/>
      <c r="I872" s="33"/>
      <c r="J872" s="33"/>
      <c r="K872" s="33"/>
      <c r="L872" s="33"/>
    </row>
    <row r="873">
      <c r="H873" s="33"/>
      <c r="I873" s="33"/>
      <c r="J873" s="33"/>
      <c r="K873" s="33"/>
      <c r="L873" s="33"/>
    </row>
    <row r="874">
      <c r="H874" s="33"/>
      <c r="I874" s="33"/>
      <c r="J874" s="33"/>
      <c r="K874" s="33"/>
      <c r="L874" s="33"/>
    </row>
    <row r="875">
      <c r="H875" s="33"/>
      <c r="I875" s="33"/>
      <c r="J875" s="33"/>
      <c r="K875" s="33"/>
      <c r="L875" s="33"/>
    </row>
    <row r="876">
      <c r="H876" s="33"/>
      <c r="I876" s="33"/>
      <c r="J876" s="33"/>
      <c r="K876" s="33"/>
      <c r="L876" s="33"/>
    </row>
    <row r="877">
      <c r="H877" s="33"/>
      <c r="I877" s="33"/>
      <c r="J877" s="33"/>
      <c r="K877" s="33"/>
      <c r="L877" s="33"/>
    </row>
    <row r="878">
      <c r="H878" s="33"/>
      <c r="I878" s="33"/>
      <c r="J878" s="33"/>
      <c r="K878" s="33"/>
      <c r="L878" s="33"/>
    </row>
    <row r="879">
      <c r="H879" s="33"/>
      <c r="I879" s="33"/>
      <c r="J879" s="33"/>
      <c r="K879" s="33"/>
      <c r="L879" s="33"/>
    </row>
    <row r="880">
      <c r="H880" s="33"/>
      <c r="I880" s="33"/>
      <c r="J880" s="33"/>
      <c r="K880" s="33"/>
      <c r="L880" s="33"/>
    </row>
    <row r="881">
      <c r="H881" s="33"/>
      <c r="I881" s="33"/>
      <c r="J881" s="33"/>
      <c r="K881" s="33"/>
      <c r="L881" s="33"/>
    </row>
    <row r="882">
      <c r="H882" s="33"/>
      <c r="I882" s="33"/>
      <c r="J882" s="33"/>
      <c r="K882" s="33"/>
      <c r="L882" s="33"/>
    </row>
    <row r="883">
      <c r="H883" s="33"/>
      <c r="I883" s="33"/>
      <c r="J883" s="33"/>
      <c r="K883" s="33"/>
      <c r="L883" s="33"/>
    </row>
    <row r="884">
      <c r="H884" s="33"/>
      <c r="I884" s="33"/>
      <c r="J884" s="33"/>
      <c r="K884" s="33"/>
      <c r="L884" s="33"/>
    </row>
    <row r="885">
      <c r="H885" s="33"/>
      <c r="I885" s="33"/>
      <c r="J885" s="33"/>
      <c r="K885" s="33"/>
      <c r="L885" s="33"/>
    </row>
    <row r="886">
      <c r="H886" s="33"/>
      <c r="I886" s="33"/>
      <c r="J886" s="33"/>
      <c r="K886" s="33"/>
      <c r="L886" s="33"/>
    </row>
    <row r="887">
      <c r="H887" s="33"/>
      <c r="I887" s="33"/>
      <c r="J887" s="33"/>
      <c r="K887" s="33"/>
      <c r="L887" s="33"/>
    </row>
    <row r="888">
      <c r="H888" s="33"/>
      <c r="I888" s="33"/>
      <c r="J888" s="33"/>
      <c r="K888" s="33"/>
      <c r="L888" s="33"/>
    </row>
    <row r="889">
      <c r="H889" s="33"/>
      <c r="I889" s="33"/>
      <c r="J889" s="33"/>
      <c r="K889" s="33"/>
      <c r="L889" s="33"/>
    </row>
    <row r="890">
      <c r="H890" s="33"/>
      <c r="I890" s="33"/>
      <c r="J890" s="33"/>
      <c r="K890" s="33"/>
      <c r="L890" s="33"/>
    </row>
    <row r="891">
      <c r="H891" s="33"/>
      <c r="I891" s="33"/>
      <c r="J891" s="33"/>
      <c r="K891" s="33"/>
      <c r="L891" s="33"/>
    </row>
    <row r="892">
      <c r="H892" s="33"/>
      <c r="I892" s="33"/>
      <c r="J892" s="33"/>
      <c r="K892" s="33"/>
      <c r="L892" s="33"/>
    </row>
    <row r="893">
      <c r="H893" s="33"/>
      <c r="I893" s="33"/>
      <c r="J893" s="33"/>
      <c r="K893" s="33"/>
      <c r="L893" s="33"/>
    </row>
    <row r="894">
      <c r="H894" s="33"/>
      <c r="I894" s="33"/>
      <c r="J894" s="33"/>
      <c r="K894" s="33"/>
      <c r="L894" s="33"/>
    </row>
    <row r="895">
      <c r="H895" s="33"/>
      <c r="I895" s="33"/>
      <c r="J895" s="33"/>
      <c r="K895" s="33"/>
      <c r="L895" s="33"/>
    </row>
    <row r="896">
      <c r="H896" s="33"/>
      <c r="I896" s="33"/>
      <c r="J896" s="33"/>
      <c r="K896" s="33"/>
      <c r="L896" s="33"/>
    </row>
    <row r="897">
      <c r="H897" s="33"/>
      <c r="I897" s="33"/>
      <c r="J897" s="33"/>
      <c r="K897" s="33"/>
      <c r="L897" s="33"/>
    </row>
    <row r="898">
      <c r="H898" s="33"/>
      <c r="I898" s="33"/>
      <c r="J898" s="33"/>
      <c r="K898" s="33"/>
      <c r="L898" s="33"/>
    </row>
    <row r="899">
      <c r="H899" s="33"/>
      <c r="I899" s="33"/>
      <c r="J899" s="33"/>
      <c r="K899" s="33"/>
      <c r="L899" s="33"/>
    </row>
    <row r="900">
      <c r="H900" s="33"/>
      <c r="I900" s="33"/>
      <c r="J900" s="33"/>
      <c r="K900" s="33"/>
      <c r="L900" s="33"/>
    </row>
    <row r="901">
      <c r="H901" s="33"/>
      <c r="I901" s="33"/>
      <c r="J901" s="33"/>
      <c r="K901" s="33"/>
      <c r="L901" s="33"/>
    </row>
    <row r="902">
      <c r="H902" s="33"/>
      <c r="I902" s="33"/>
      <c r="J902" s="33"/>
      <c r="K902" s="33"/>
      <c r="L902" s="33"/>
    </row>
    <row r="903">
      <c r="H903" s="33"/>
      <c r="I903" s="33"/>
      <c r="J903" s="33"/>
      <c r="K903" s="33"/>
      <c r="L903" s="33"/>
    </row>
    <row r="904">
      <c r="H904" s="33"/>
      <c r="I904" s="33"/>
      <c r="J904" s="33"/>
      <c r="K904" s="33"/>
      <c r="L904" s="33"/>
    </row>
    <row r="905">
      <c r="H905" s="33"/>
      <c r="I905" s="33"/>
      <c r="J905" s="33"/>
      <c r="K905" s="33"/>
      <c r="L905" s="33"/>
    </row>
    <row r="906">
      <c r="H906" s="33"/>
      <c r="I906" s="33"/>
      <c r="J906" s="33"/>
      <c r="K906" s="33"/>
      <c r="L906" s="33"/>
    </row>
    <row r="907">
      <c r="H907" s="33"/>
      <c r="I907" s="33"/>
      <c r="J907" s="33"/>
      <c r="K907" s="33"/>
      <c r="L907" s="33"/>
    </row>
    <row r="908">
      <c r="H908" s="33"/>
      <c r="I908" s="33"/>
      <c r="J908" s="33"/>
      <c r="K908" s="33"/>
      <c r="L908" s="33"/>
    </row>
    <row r="909">
      <c r="H909" s="33"/>
      <c r="I909" s="33"/>
      <c r="J909" s="33"/>
      <c r="K909" s="33"/>
      <c r="L909" s="33"/>
    </row>
    <row r="910">
      <c r="H910" s="33"/>
      <c r="I910" s="33"/>
      <c r="J910" s="33"/>
      <c r="K910" s="33"/>
      <c r="L910" s="33"/>
    </row>
    <row r="911">
      <c r="H911" s="33"/>
      <c r="I911" s="33"/>
      <c r="J911" s="33"/>
      <c r="K911" s="33"/>
      <c r="L911" s="33"/>
    </row>
    <row r="912">
      <c r="H912" s="33"/>
      <c r="I912" s="33"/>
      <c r="J912" s="33"/>
      <c r="K912" s="33"/>
      <c r="L912" s="33"/>
    </row>
    <row r="913">
      <c r="H913" s="33"/>
      <c r="I913" s="33"/>
      <c r="J913" s="33"/>
      <c r="K913" s="33"/>
      <c r="L913" s="33"/>
    </row>
    <row r="914">
      <c r="H914" s="33"/>
      <c r="I914" s="33"/>
      <c r="J914" s="33"/>
      <c r="K914" s="33"/>
      <c r="L914" s="33"/>
    </row>
    <row r="915">
      <c r="H915" s="33"/>
      <c r="I915" s="33"/>
      <c r="J915" s="33"/>
      <c r="K915" s="33"/>
      <c r="L915" s="33"/>
    </row>
    <row r="916">
      <c r="H916" s="33"/>
      <c r="I916" s="33"/>
      <c r="J916" s="33"/>
      <c r="K916" s="33"/>
      <c r="L916" s="33"/>
    </row>
    <row r="917">
      <c r="H917" s="33"/>
      <c r="I917" s="33"/>
      <c r="J917" s="33"/>
      <c r="K917" s="33"/>
      <c r="L917" s="33"/>
    </row>
    <row r="918">
      <c r="H918" s="33"/>
      <c r="I918" s="33"/>
      <c r="J918" s="33"/>
      <c r="K918" s="33"/>
      <c r="L918" s="33"/>
    </row>
    <row r="919">
      <c r="H919" s="33"/>
      <c r="I919" s="33"/>
      <c r="J919" s="33"/>
      <c r="K919" s="33"/>
      <c r="L919" s="33"/>
    </row>
    <row r="920">
      <c r="H920" s="33"/>
      <c r="I920" s="33"/>
      <c r="J920" s="33"/>
      <c r="K920" s="33"/>
      <c r="L920" s="33"/>
    </row>
    <row r="921">
      <c r="H921" s="33"/>
      <c r="I921" s="33"/>
      <c r="J921" s="33"/>
      <c r="K921" s="33"/>
      <c r="L921" s="33"/>
    </row>
    <row r="922">
      <c r="H922" s="33"/>
      <c r="I922" s="33"/>
      <c r="J922" s="33"/>
      <c r="K922" s="33"/>
      <c r="L922" s="33"/>
    </row>
    <row r="923">
      <c r="H923" s="33"/>
      <c r="I923" s="33"/>
      <c r="J923" s="33"/>
      <c r="K923" s="33"/>
      <c r="L923" s="33"/>
    </row>
    <row r="924">
      <c r="H924" s="33"/>
      <c r="I924" s="33"/>
      <c r="J924" s="33"/>
      <c r="K924" s="33"/>
      <c r="L924" s="33"/>
    </row>
    <row r="925">
      <c r="H925" s="33"/>
      <c r="I925" s="33"/>
      <c r="J925" s="33"/>
      <c r="K925" s="33"/>
      <c r="L925" s="33"/>
    </row>
    <row r="926">
      <c r="H926" s="33"/>
      <c r="I926" s="33"/>
      <c r="J926" s="33"/>
      <c r="K926" s="33"/>
      <c r="L926" s="33"/>
    </row>
    <row r="927">
      <c r="H927" s="33"/>
      <c r="I927" s="33"/>
      <c r="J927" s="33"/>
      <c r="K927" s="33"/>
      <c r="L927" s="33"/>
    </row>
    <row r="928">
      <c r="H928" s="33"/>
      <c r="I928" s="33"/>
      <c r="J928" s="33"/>
      <c r="K928" s="33"/>
      <c r="L928" s="33"/>
    </row>
    <row r="929">
      <c r="H929" s="33"/>
      <c r="I929" s="33"/>
      <c r="J929" s="33"/>
      <c r="K929" s="33"/>
      <c r="L929" s="33"/>
    </row>
    <row r="930">
      <c r="H930" s="33"/>
      <c r="I930" s="33"/>
      <c r="J930" s="33"/>
      <c r="K930" s="33"/>
      <c r="L930" s="33"/>
    </row>
    <row r="931">
      <c r="H931" s="33"/>
      <c r="I931" s="33"/>
      <c r="J931" s="33"/>
      <c r="K931" s="33"/>
      <c r="L931" s="33"/>
    </row>
    <row r="932">
      <c r="H932" s="33"/>
      <c r="I932" s="33"/>
      <c r="J932" s="33"/>
      <c r="K932" s="33"/>
      <c r="L932" s="33"/>
    </row>
    <row r="933">
      <c r="H933" s="33"/>
      <c r="I933" s="33"/>
      <c r="J933" s="33"/>
      <c r="K933" s="33"/>
      <c r="L933" s="33"/>
    </row>
    <row r="934">
      <c r="H934" s="33"/>
      <c r="I934" s="33"/>
      <c r="J934" s="33"/>
      <c r="K934" s="33"/>
      <c r="L934" s="33"/>
    </row>
    <row r="935">
      <c r="H935" s="33"/>
      <c r="I935" s="33"/>
      <c r="J935" s="33"/>
      <c r="K935" s="33"/>
      <c r="L935" s="33"/>
    </row>
    <row r="936">
      <c r="H936" s="33"/>
      <c r="I936" s="33"/>
      <c r="J936" s="33"/>
      <c r="K936" s="33"/>
      <c r="L936" s="33"/>
    </row>
    <row r="937">
      <c r="H937" s="33"/>
      <c r="I937" s="33"/>
      <c r="J937" s="33"/>
      <c r="K937" s="33"/>
      <c r="L937" s="33"/>
    </row>
    <row r="938">
      <c r="H938" s="33"/>
      <c r="I938" s="33"/>
      <c r="J938" s="33"/>
      <c r="K938" s="33"/>
      <c r="L938" s="33"/>
    </row>
    <row r="939">
      <c r="H939" s="33"/>
      <c r="I939" s="33"/>
      <c r="J939" s="33"/>
      <c r="K939" s="33"/>
      <c r="L939" s="33"/>
    </row>
    <row r="940">
      <c r="H940" s="33"/>
      <c r="I940" s="33"/>
      <c r="J940" s="33"/>
      <c r="K940" s="33"/>
      <c r="L940" s="33"/>
    </row>
    <row r="941">
      <c r="H941" s="33"/>
      <c r="I941" s="33"/>
      <c r="J941" s="33"/>
      <c r="K941" s="33"/>
      <c r="L941" s="33"/>
    </row>
    <row r="942">
      <c r="H942" s="33"/>
      <c r="I942" s="33"/>
      <c r="J942" s="33"/>
      <c r="K942" s="33"/>
      <c r="L942" s="33"/>
    </row>
    <row r="943">
      <c r="H943" s="33"/>
      <c r="I943" s="33"/>
      <c r="J943" s="33"/>
      <c r="K943" s="33"/>
      <c r="L943" s="33"/>
    </row>
    <row r="944">
      <c r="H944" s="33"/>
      <c r="I944" s="33"/>
      <c r="J944" s="33"/>
      <c r="K944" s="33"/>
      <c r="L944" s="33"/>
    </row>
    <row r="945">
      <c r="H945" s="33"/>
      <c r="I945" s="33"/>
      <c r="J945" s="33"/>
      <c r="K945" s="33"/>
      <c r="L945" s="33"/>
    </row>
    <row r="946">
      <c r="H946" s="33"/>
      <c r="I946" s="33"/>
      <c r="J946" s="33"/>
      <c r="K946" s="33"/>
      <c r="L946" s="33"/>
    </row>
    <row r="947">
      <c r="H947" s="33"/>
      <c r="I947" s="33"/>
      <c r="J947" s="33"/>
      <c r="K947" s="33"/>
      <c r="L947" s="33"/>
    </row>
    <row r="948">
      <c r="H948" s="33"/>
      <c r="I948" s="33"/>
      <c r="J948" s="33"/>
      <c r="K948" s="33"/>
      <c r="L948" s="33"/>
    </row>
    <row r="949">
      <c r="H949" s="33"/>
      <c r="I949" s="33"/>
      <c r="J949" s="33"/>
      <c r="K949" s="33"/>
      <c r="L949" s="33"/>
    </row>
    <row r="950">
      <c r="H950" s="33"/>
      <c r="I950" s="33"/>
      <c r="J950" s="33"/>
      <c r="K950" s="33"/>
      <c r="L950" s="33"/>
    </row>
    <row r="951">
      <c r="H951" s="33"/>
      <c r="I951" s="33"/>
      <c r="J951" s="33"/>
      <c r="K951" s="33"/>
      <c r="L951" s="33"/>
    </row>
    <row r="952">
      <c r="H952" s="33"/>
      <c r="I952" s="33"/>
      <c r="J952" s="33"/>
      <c r="K952" s="33"/>
      <c r="L952" s="33"/>
    </row>
    <row r="953">
      <c r="H953" s="33"/>
      <c r="I953" s="33"/>
      <c r="J953" s="33"/>
      <c r="K953" s="33"/>
      <c r="L953" s="33"/>
    </row>
    <row r="954">
      <c r="H954" s="33"/>
      <c r="I954" s="33"/>
      <c r="J954" s="33"/>
      <c r="K954" s="33"/>
      <c r="L954" s="33"/>
    </row>
    <row r="955">
      <c r="H955" s="33"/>
      <c r="I955" s="33"/>
      <c r="J955" s="33"/>
      <c r="K955" s="33"/>
      <c r="L955" s="33"/>
    </row>
    <row r="956">
      <c r="H956" s="33"/>
      <c r="I956" s="33"/>
      <c r="J956" s="33"/>
      <c r="K956" s="33"/>
      <c r="L956" s="33"/>
    </row>
    <row r="957">
      <c r="H957" s="33"/>
      <c r="I957" s="33"/>
      <c r="J957" s="33"/>
      <c r="K957" s="33"/>
      <c r="L957" s="33"/>
    </row>
    <row r="958">
      <c r="H958" s="33"/>
      <c r="I958" s="33"/>
      <c r="J958" s="33"/>
      <c r="K958" s="33"/>
      <c r="L958" s="33"/>
    </row>
    <row r="959">
      <c r="H959" s="33"/>
      <c r="I959" s="33"/>
      <c r="J959" s="33"/>
      <c r="K959" s="33"/>
      <c r="L959" s="33"/>
    </row>
    <row r="960">
      <c r="H960" s="33"/>
      <c r="I960" s="33"/>
      <c r="J960" s="33"/>
      <c r="K960" s="33"/>
      <c r="L960" s="33"/>
    </row>
    <row r="961">
      <c r="H961" s="33"/>
      <c r="I961" s="33"/>
      <c r="J961" s="33"/>
      <c r="K961" s="33"/>
      <c r="L961" s="33"/>
    </row>
    <row r="962">
      <c r="H962" s="33"/>
      <c r="I962" s="33"/>
      <c r="J962" s="33"/>
      <c r="K962" s="33"/>
      <c r="L962" s="33"/>
    </row>
    <row r="963">
      <c r="H963" s="33"/>
      <c r="I963" s="33"/>
      <c r="J963" s="33"/>
      <c r="K963" s="33"/>
      <c r="L963" s="33"/>
    </row>
    <row r="964">
      <c r="H964" s="33"/>
      <c r="I964" s="33"/>
      <c r="J964" s="33"/>
      <c r="K964" s="33"/>
      <c r="L964" s="33"/>
    </row>
    <row r="965">
      <c r="H965" s="33"/>
      <c r="I965" s="33"/>
      <c r="J965" s="33"/>
      <c r="K965" s="33"/>
      <c r="L965" s="33"/>
    </row>
    <row r="966">
      <c r="H966" s="33"/>
      <c r="I966" s="33"/>
      <c r="J966" s="33"/>
      <c r="K966" s="33"/>
      <c r="L966" s="33"/>
    </row>
    <row r="967">
      <c r="H967" s="33"/>
      <c r="I967" s="33"/>
      <c r="J967" s="33"/>
      <c r="K967" s="33"/>
      <c r="L967" s="33"/>
    </row>
    <row r="968">
      <c r="H968" s="33"/>
      <c r="I968" s="33"/>
      <c r="J968" s="33"/>
      <c r="K968" s="33"/>
      <c r="L968" s="33"/>
    </row>
    <row r="969">
      <c r="H969" s="33"/>
      <c r="I969" s="33"/>
      <c r="J969" s="33"/>
      <c r="K969" s="33"/>
      <c r="L969" s="33"/>
    </row>
    <row r="970">
      <c r="H970" s="33"/>
      <c r="I970" s="33"/>
      <c r="J970" s="33"/>
      <c r="K970" s="33"/>
      <c r="L970" s="33"/>
    </row>
    <row r="971">
      <c r="H971" s="33"/>
      <c r="I971" s="33"/>
      <c r="J971" s="33"/>
      <c r="K971" s="33"/>
      <c r="L971" s="33"/>
    </row>
    <row r="972">
      <c r="H972" s="33"/>
      <c r="I972" s="33"/>
      <c r="J972" s="33"/>
      <c r="K972" s="33"/>
      <c r="L972" s="33"/>
    </row>
    <row r="973">
      <c r="H973" s="33"/>
      <c r="I973" s="33"/>
      <c r="J973" s="33"/>
      <c r="K973" s="33"/>
      <c r="L973" s="33"/>
    </row>
    <row r="974">
      <c r="H974" s="33"/>
      <c r="I974" s="33"/>
      <c r="J974" s="33"/>
      <c r="K974" s="33"/>
      <c r="L974" s="33"/>
    </row>
    <row r="975">
      <c r="H975" s="33"/>
      <c r="I975" s="33"/>
      <c r="J975" s="33"/>
      <c r="K975" s="33"/>
      <c r="L975" s="33"/>
    </row>
    <row r="976">
      <c r="H976" s="33"/>
      <c r="I976" s="33"/>
      <c r="J976" s="33"/>
      <c r="K976" s="33"/>
      <c r="L976" s="33"/>
    </row>
    <row r="977">
      <c r="H977" s="33"/>
      <c r="I977" s="33"/>
      <c r="J977" s="33"/>
      <c r="K977" s="33"/>
      <c r="L977" s="33"/>
    </row>
    <row r="978">
      <c r="H978" s="33"/>
      <c r="I978" s="33"/>
      <c r="J978" s="33"/>
      <c r="K978" s="33"/>
      <c r="L978" s="33"/>
    </row>
    <row r="979">
      <c r="H979" s="33"/>
      <c r="I979" s="33"/>
      <c r="J979" s="33"/>
      <c r="K979" s="33"/>
      <c r="L979" s="33"/>
    </row>
    <row r="980">
      <c r="H980" s="33"/>
      <c r="I980" s="33"/>
      <c r="J980" s="33"/>
      <c r="K980" s="33"/>
      <c r="L980" s="33"/>
    </row>
    <row r="981">
      <c r="H981" s="33"/>
      <c r="I981" s="33"/>
      <c r="J981" s="33"/>
      <c r="K981" s="33"/>
      <c r="L981" s="33"/>
    </row>
    <row r="982">
      <c r="H982" s="33"/>
      <c r="I982" s="33"/>
      <c r="J982" s="33"/>
      <c r="K982" s="33"/>
      <c r="L982" s="33"/>
    </row>
    <row r="983">
      <c r="H983" s="33"/>
      <c r="I983" s="33"/>
      <c r="J983" s="33"/>
      <c r="K983" s="33"/>
      <c r="L983" s="33"/>
    </row>
    <row r="984">
      <c r="H984" s="33"/>
      <c r="I984" s="33"/>
      <c r="J984" s="33"/>
      <c r="K984" s="33"/>
      <c r="L984" s="33"/>
    </row>
    <row r="985">
      <c r="H985" s="33"/>
      <c r="I985" s="33"/>
      <c r="J985" s="33"/>
      <c r="K985" s="33"/>
      <c r="L985" s="33"/>
    </row>
    <row r="986">
      <c r="H986" s="33"/>
      <c r="I986" s="33"/>
      <c r="J986" s="33"/>
      <c r="K986" s="33"/>
      <c r="L986" s="33"/>
    </row>
    <row r="987">
      <c r="H987" s="33"/>
      <c r="I987" s="33"/>
      <c r="J987" s="33"/>
      <c r="K987" s="33"/>
      <c r="L987" s="33"/>
    </row>
    <row r="988">
      <c r="H988" s="33"/>
      <c r="I988" s="33"/>
      <c r="J988" s="33"/>
      <c r="K988" s="33"/>
      <c r="L988" s="33"/>
    </row>
    <row r="989">
      <c r="H989" s="33"/>
      <c r="I989" s="33"/>
      <c r="J989" s="33"/>
      <c r="K989" s="33"/>
      <c r="L989" s="33"/>
    </row>
    <row r="990">
      <c r="H990" s="33"/>
      <c r="I990" s="33"/>
      <c r="J990" s="33"/>
      <c r="K990" s="33"/>
      <c r="L990" s="33"/>
    </row>
    <row r="991">
      <c r="H991" s="33"/>
      <c r="I991" s="33"/>
      <c r="J991" s="33"/>
      <c r="K991" s="33"/>
      <c r="L991" s="33"/>
    </row>
    <row r="992">
      <c r="H992" s="33"/>
      <c r="I992" s="33"/>
      <c r="J992" s="33"/>
      <c r="K992" s="33"/>
      <c r="L992" s="33"/>
    </row>
    <row r="993">
      <c r="H993" s="33"/>
      <c r="I993" s="33"/>
      <c r="J993" s="33"/>
      <c r="K993" s="33"/>
      <c r="L993" s="33"/>
    </row>
    <row r="994">
      <c r="H994" s="33"/>
      <c r="I994" s="33"/>
      <c r="J994" s="33"/>
      <c r="K994" s="33"/>
      <c r="L994" s="33"/>
    </row>
    <row r="995">
      <c r="H995" s="33"/>
      <c r="I995" s="33"/>
      <c r="J995" s="33"/>
      <c r="K995" s="33"/>
      <c r="L995" s="33"/>
    </row>
    <row r="996">
      <c r="H996" s="33"/>
      <c r="I996" s="33"/>
      <c r="J996" s="33"/>
      <c r="K996" s="33"/>
      <c r="L996" s="33"/>
    </row>
    <row r="997">
      <c r="H997" s="33"/>
      <c r="I997" s="33"/>
      <c r="J997" s="33"/>
      <c r="K997" s="33"/>
      <c r="L997" s="33"/>
    </row>
    <row r="998">
      <c r="H998" s="33"/>
      <c r="I998" s="33"/>
      <c r="J998" s="33"/>
      <c r="K998" s="33"/>
      <c r="L998" s="33"/>
    </row>
    <row r="999">
      <c r="H999" s="33"/>
      <c r="I999" s="33"/>
      <c r="J999" s="33"/>
      <c r="K999" s="33"/>
      <c r="L999" s="33"/>
    </row>
    <row r="1000">
      <c r="H1000" s="33"/>
      <c r="I1000" s="33"/>
      <c r="J1000" s="33"/>
      <c r="K1000" s="33"/>
      <c r="L1000" s="33"/>
    </row>
    <row r="1001">
      <c r="H1001" s="33"/>
      <c r="I1001" s="33"/>
      <c r="J1001" s="33"/>
      <c r="K1001" s="33"/>
      <c r="L1001" s="33"/>
    </row>
    <row r="1002">
      <c r="H1002" s="33"/>
      <c r="I1002" s="33"/>
      <c r="J1002" s="33"/>
      <c r="K1002" s="33"/>
      <c r="L1002" s="33"/>
    </row>
    <row r="1003">
      <c r="H1003" s="33"/>
      <c r="I1003" s="33"/>
      <c r="J1003" s="33"/>
      <c r="K1003" s="33"/>
      <c r="L1003" s="33"/>
    </row>
    <row r="1004">
      <c r="H1004" s="33"/>
      <c r="I1004" s="33"/>
      <c r="J1004" s="33"/>
      <c r="K1004" s="33"/>
      <c r="L1004" s="33"/>
    </row>
    <row r="1005">
      <c r="H1005" s="33"/>
      <c r="I1005" s="33"/>
      <c r="J1005" s="33"/>
      <c r="K1005" s="33"/>
      <c r="L1005" s="33"/>
    </row>
    <row r="1006">
      <c r="H1006" s="33"/>
      <c r="I1006" s="33"/>
      <c r="J1006" s="33"/>
      <c r="K1006" s="33"/>
      <c r="L1006" s="33"/>
    </row>
    <row r="1007">
      <c r="H1007" s="33"/>
      <c r="I1007" s="33"/>
      <c r="J1007" s="33"/>
      <c r="K1007" s="33"/>
      <c r="L1007" s="33"/>
    </row>
    <row r="1008">
      <c r="H1008" s="33"/>
      <c r="I1008" s="33"/>
      <c r="J1008" s="33"/>
      <c r="K1008" s="33"/>
      <c r="L1008" s="33"/>
    </row>
    <row r="1009">
      <c r="H1009" s="33"/>
      <c r="I1009" s="33"/>
      <c r="J1009" s="33"/>
      <c r="K1009" s="33"/>
      <c r="L1009" s="33"/>
    </row>
    <row r="1010">
      <c r="H1010" s="33"/>
      <c r="I1010" s="33"/>
      <c r="J1010" s="33"/>
      <c r="K1010" s="33"/>
      <c r="L1010" s="33"/>
    </row>
    <row r="1011">
      <c r="H1011" s="33"/>
      <c r="I1011" s="33"/>
      <c r="J1011" s="33"/>
      <c r="K1011" s="33"/>
      <c r="L1011" s="33"/>
    </row>
    <row r="1012">
      <c r="H1012" s="33"/>
      <c r="I1012" s="33"/>
      <c r="J1012" s="33"/>
      <c r="K1012" s="33"/>
      <c r="L1012" s="33"/>
    </row>
    <row r="1013">
      <c r="H1013" s="33"/>
      <c r="I1013" s="33"/>
      <c r="J1013" s="33"/>
      <c r="K1013" s="33"/>
      <c r="L1013" s="33"/>
    </row>
    <row r="1014">
      <c r="H1014" s="33"/>
      <c r="I1014" s="33"/>
      <c r="J1014" s="33"/>
      <c r="K1014" s="33"/>
      <c r="L1014" s="33"/>
    </row>
    <row r="1015">
      <c r="H1015" s="33"/>
      <c r="I1015" s="33"/>
      <c r="J1015" s="33"/>
      <c r="K1015" s="33"/>
      <c r="L1015" s="33"/>
    </row>
    <row r="1016">
      <c r="H1016" s="33"/>
      <c r="I1016" s="33"/>
      <c r="J1016" s="33"/>
      <c r="K1016" s="33"/>
      <c r="L1016" s="33"/>
    </row>
    <row r="1017">
      <c r="H1017" s="33"/>
      <c r="I1017" s="33"/>
      <c r="J1017" s="33"/>
      <c r="K1017" s="33"/>
      <c r="L1017" s="33"/>
    </row>
  </sheetData>
  <drawing r:id="rId1"/>
</worksheet>
</file>